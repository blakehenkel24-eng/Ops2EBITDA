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blakehenkelsmacbook/Desktop/Blake's-Vault/Projects/Ops2EBITDA/Marketing/Offerings/Excel Models/Excel Models/"/>
    </mc:Choice>
  </mc:AlternateContent>
  <xr:revisionPtr revIDLastSave="0" documentId="13_ncr:1_{4F961BD3-7591-7349-9139-1979C4356FB4}" xr6:coauthVersionLast="47" xr6:coauthVersionMax="47" xr10:uidLastSave="{00000000-0000-0000-0000-000000000000}"/>
  <bookViews>
    <workbookView xWindow="0" yWindow="760" windowWidth="29400" windowHeight="18360" firstSheet="3" activeTab="10" xr2:uid="{00000000-000D-0000-FFFF-FFFF00000000}"/>
  </bookViews>
  <sheets>
    <sheet name="Dashboard" sheetId="1" r:id="rId1"/>
    <sheet name="Instructions" sheetId="2" r:id="rId2"/>
    <sheet name="Inputs" sheetId="3" r:id="rId3"/>
    <sheet name="Customer_MRR_Data" sheetId="4" r:id="rId4"/>
    <sheet name="Cohort_Retention" sheetId="5" r:id="rId5"/>
    <sheet name="NRR_Bridge" sheetId="6" r:id="rId6"/>
    <sheet name="Churn_Analysis" sheetId="7" r:id="rId7"/>
    <sheet name="Renewal_Risk" sheetId="8" r:id="rId8"/>
    <sheet name="Scenarios" sheetId="9" r:id="rId9"/>
    <sheet name="EBITDA_Impact" sheetId="10" r:id="rId10"/>
    <sheet name="Sourc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0" l="1"/>
  <c r="C12" i="10"/>
  <c r="D12" i="10" s="1"/>
  <c r="B12" i="10"/>
  <c r="B11" i="10"/>
  <c r="C10" i="10"/>
  <c r="D10" i="10" s="1"/>
  <c r="B10" i="10"/>
  <c r="B9" i="10"/>
  <c r="C8" i="10"/>
  <c r="C7" i="10"/>
  <c r="B6" i="10"/>
  <c r="B5" i="10"/>
  <c r="C6" i="10" s="1"/>
  <c r="D6" i="10" s="1"/>
  <c r="G7" i="9"/>
  <c r="E7" i="9"/>
  <c r="D7" i="9"/>
  <c r="F7" i="9" s="1"/>
  <c r="H7" i="9" s="1"/>
  <c r="G6" i="9"/>
  <c r="E6" i="9"/>
  <c r="D6" i="9"/>
  <c r="F6" i="9" s="1"/>
  <c r="H6" i="9" s="1"/>
  <c r="J9" i="1" s="1"/>
  <c r="G5" i="9"/>
  <c r="E5" i="9"/>
  <c r="D5" i="9"/>
  <c r="F5" i="9" s="1"/>
  <c r="H5" i="9" s="1"/>
  <c r="F18" i="7"/>
  <c r="E18" i="7"/>
  <c r="D18" i="7"/>
  <c r="C18" i="7"/>
  <c r="B18" i="7"/>
  <c r="H18" i="7" s="1"/>
  <c r="F17" i="7"/>
  <c r="E17" i="7"/>
  <c r="D17" i="7"/>
  <c r="C17" i="7"/>
  <c r="B17" i="7"/>
  <c r="H17" i="7" s="1"/>
  <c r="F16" i="7"/>
  <c r="E16" i="7"/>
  <c r="D16" i="7"/>
  <c r="C16" i="7"/>
  <c r="B16" i="7"/>
  <c r="H16" i="7" s="1"/>
  <c r="F11" i="7"/>
  <c r="D11" i="7"/>
  <c r="C11" i="7"/>
  <c r="B11" i="7"/>
  <c r="D10" i="7"/>
  <c r="F10" i="7" s="1"/>
  <c r="C10" i="7"/>
  <c r="B10" i="7"/>
  <c r="C9" i="7"/>
  <c r="D9" i="7" s="1"/>
  <c r="F9" i="7" s="1"/>
  <c r="B9" i="7"/>
  <c r="C8" i="7"/>
  <c r="D8" i="7" s="1"/>
  <c r="F8" i="7" s="1"/>
  <c r="B8" i="7"/>
  <c r="D7" i="7"/>
  <c r="F7" i="7" s="1"/>
  <c r="C7" i="7"/>
  <c r="B7" i="7"/>
  <c r="F6" i="7"/>
  <c r="D6" i="7"/>
  <c r="C6" i="7"/>
  <c r="B6" i="7"/>
  <c r="B9" i="6"/>
  <c r="B10" i="6" s="1"/>
  <c r="B8" i="6"/>
  <c r="C8" i="6" s="1"/>
  <c r="C7" i="6"/>
  <c r="B7" i="6"/>
  <c r="B6" i="6"/>
  <c r="C6" i="6" s="1"/>
  <c r="B5" i="6"/>
  <c r="J11" i="5"/>
  <c r="G10" i="5"/>
  <c r="F10" i="5"/>
  <c r="E10" i="5"/>
  <c r="D10" i="5"/>
  <c r="C10" i="5"/>
  <c r="B10" i="5"/>
  <c r="J10" i="5" s="1"/>
  <c r="J9" i="5"/>
  <c r="G9" i="5"/>
  <c r="F9" i="5"/>
  <c r="E9" i="5"/>
  <c r="D9" i="5"/>
  <c r="C9" i="5"/>
  <c r="B9" i="5"/>
  <c r="G8" i="5"/>
  <c r="F8" i="5"/>
  <c r="E8" i="5"/>
  <c r="D8" i="5"/>
  <c r="C8" i="5"/>
  <c r="B8" i="5"/>
  <c r="J8" i="5" s="1"/>
  <c r="G7" i="5"/>
  <c r="F7" i="5"/>
  <c r="E7" i="5"/>
  <c r="D7" i="5"/>
  <c r="C7" i="5"/>
  <c r="B7" i="5"/>
  <c r="J7" i="5" s="1"/>
  <c r="G6" i="5"/>
  <c r="F6" i="5"/>
  <c r="E6" i="5"/>
  <c r="D6" i="5"/>
  <c r="C6" i="5"/>
  <c r="C11" i="5" s="1"/>
  <c r="B6" i="5"/>
  <c r="J6" i="5" s="1"/>
  <c r="J5" i="5"/>
  <c r="G5" i="5"/>
  <c r="G11" i="5" s="1"/>
  <c r="F5" i="5"/>
  <c r="F11" i="5" s="1"/>
  <c r="E5" i="5"/>
  <c r="E11" i="5" s="1"/>
  <c r="D5" i="5"/>
  <c r="D11" i="5" s="1"/>
  <c r="C5" i="5"/>
  <c r="B5" i="5"/>
  <c r="B11" i="5" s="1"/>
  <c r="W37" i="4"/>
  <c r="Y37" i="4" s="1"/>
  <c r="O37" i="4"/>
  <c r="M37" i="4"/>
  <c r="N37" i="4" s="1"/>
  <c r="P37" i="4" s="1"/>
  <c r="Y36" i="4"/>
  <c r="W36" i="4"/>
  <c r="X36" i="4" s="1"/>
  <c r="O36" i="4"/>
  <c r="N36" i="4"/>
  <c r="P36" i="4" s="1"/>
  <c r="M36" i="4"/>
  <c r="W35" i="4"/>
  <c r="Y35" i="4" s="1"/>
  <c r="P35" i="4"/>
  <c r="O35" i="4"/>
  <c r="N35" i="4"/>
  <c r="M35" i="4"/>
  <c r="Y34" i="4"/>
  <c r="X34" i="4"/>
  <c r="W34" i="4"/>
  <c r="M34" i="4"/>
  <c r="X33" i="4"/>
  <c r="W33" i="4"/>
  <c r="Y33" i="4" s="1"/>
  <c r="P33" i="4"/>
  <c r="O33" i="4"/>
  <c r="N33" i="4"/>
  <c r="M33" i="4"/>
  <c r="W32" i="4"/>
  <c r="M32" i="4"/>
  <c r="O32" i="4" s="1"/>
  <c r="W31" i="4"/>
  <c r="Y31" i="4" s="1"/>
  <c r="O31" i="4"/>
  <c r="N31" i="4"/>
  <c r="P31" i="4" s="1"/>
  <c r="M31" i="4"/>
  <c r="W30" i="4"/>
  <c r="Y30" i="4" s="1"/>
  <c r="P30" i="4"/>
  <c r="O30" i="4"/>
  <c r="N30" i="4"/>
  <c r="M30" i="4"/>
  <c r="Y29" i="4"/>
  <c r="X29" i="4"/>
  <c r="W29" i="4"/>
  <c r="N29" i="4"/>
  <c r="P29" i="4" s="1"/>
  <c r="M29" i="4"/>
  <c r="O29" i="4" s="1"/>
  <c r="W28" i="4"/>
  <c r="Y28" i="4" s="1"/>
  <c r="O28" i="4"/>
  <c r="M28" i="4"/>
  <c r="N28" i="4" s="1"/>
  <c r="P28" i="4" s="1"/>
  <c r="X27" i="4"/>
  <c r="W27" i="4"/>
  <c r="Y27" i="4" s="1"/>
  <c r="M27" i="4"/>
  <c r="G5" i="1" s="1"/>
  <c r="Y26" i="4"/>
  <c r="W26" i="4"/>
  <c r="X26" i="4" s="1"/>
  <c r="O26" i="4"/>
  <c r="N26" i="4"/>
  <c r="P26" i="4" s="1"/>
  <c r="M26" i="4"/>
  <c r="W25" i="4"/>
  <c r="P25" i="4"/>
  <c r="O25" i="4"/>
  <c r="N25" i="4"/>
  <c r="M25" i="4"/>
  <c r="Y24" i="4"/>
  <c r="X24" i="4"/>
  <c r="W24" i="4"/>
  <c r="N24" i="4"/>
  <c r="P24" i="4" s="1"/>
  <c r="M24" i="4"/>
  <c r="O24" i="4" s="1"/>
  <c r="X23" i="4"/>
  <c r="W23" i="4"/>
  <c r="Y23" i="4" s="1"/>
  <c r="O23" i="4"/>
  <c r="M23" i="4"/>
  <c r="N23" i="4" s="1"/>
  <c r="P23" i="4" s="1"/>
  <c r="X22" i="4"/>
  <c r="W22" i="4"/>
  <c r="Y22" i="4" s="1"/>
  <c r="M22" i="4"/>
  <c r="Y21" i="4"/>
  <c r="W21" i="4"/>
  <c r="X21" i="4" s="1"/>
  <c r="O21" i="4"/>
  <c r="N21" i="4"/>
  <c r="P21" i="4" s="1"/>
  <c r="M21" i="4"/>
  <c r="W20" i="4"/>
  <c r="M20" i="4"/>
  <c r="O20" i="4" s="1"/>
  <c r="Y19" i="4"/>
  <c r="X19" i="4"/>
  <c r="W19" i="4"/>
  <c r="N19" i="4"/>
  <c r="P19" i="4" s="1"/>
  <c r="M19" i="4"/>
  <c r="O19" i="4" s="1"/>
  <c r="W18" i="4"/>
  <c r="Y18" i="4" s="1"/>
  <c r="O18" i="4"/>
  <c r="M18" i="4"/>
  <c r="N18" i="4" s="1"/>
  <c r="P18" i="4" s="1"/>
  <c r="X17" i="4"/>
  <c r="W17" i="4"/>
  <c r="Y17" i="4" s="1"/>
  <c r="M17" i="4"/>
  <c r="Y16" i="4"/>
  <c r="W16" i="4"/>
  <c r="X16" i="4" s="1"/>
  <c r="O16" i="4"/>
  <c r="N16" i="4"/>
  <c r="P16" i="4" s="1"/>
  <c r="M16" i="4"/>
  <c r="W15" i="4"/>
  <c r="P15" i="4"/>
  <c r="O15" i="4"/>
  <c r="N15" i="4"/>
  <c r="M15" i="4"/>
  <c r="Y14" i="4"/>
  <c r="X14" i="4"/>
  <c r="W14" i="4"/>
  <c r="M14" i="4"/>
  <c r="O14" i="4" s="1"/>
  <c r="X13" i="4"/>
  <c r="W13" i="4"/>
  <c r="Y13" i="4" s="1"/>
  <c r="P13" i="4"/>
  <c r="O13" i="4"/>
  <c r="M13" i="4"/>
  <c r="N13" i="4" s="1"/>
  <c r="W12" i="4"/>
  <c r="Y12" i="4" s="1"/>
  <c r="M12" i="4"/>
  <c r="Y11" i="4"/>
  <c r="W11" i="4"/>
  <c r="X11" i="4" s="1"/>
  <c r="O11" i="4"/>
  <c r="N11" i="4"/>
  <c r="P11" i="4" s="1"/>
  <c r="M11" i="4"/>
  <c r="W10" i="4"/>
  <c r="M10" i="4"/>
  <c r="O10" i="4" s="1"/>
  <c r="Y9" i="4"/>
  <c r="X9" i="4"/>
  <c r="W9" i="4"/>
  <c r="M9" i="4"/>
  <c r="O9" i="4" s="1"/>
  <c r="W8" i="4"/>
  <c r="Y8" i="4" s="1"/>
  <c r="P8" i="4"/>
  <c r="O8" i="4"/>
  <c r="M8" i="4"/>
  <c r="N8" i="4" s="1"/>
  <c r="W7" i="4"/>
  <c r="Y7" i="4" s="1"/>
  <c r="M7" i="4"/>
  <c r="Y6" i="4"/>
  <c r="W6" i="4"/>
  <c r="X6" i="4" s="1"/>
  <c r="O6" i="4"/>
  <c r="N6" i="4"/>
  <c r="M6" i="4"/>
  <c r="H9" i="5" s="1"/>
  <c r="K9" i="5" s="1"/>
  <c r="W5" i="4"/>
  <c r="P5" i="4"/>
  <c r="N5" i="4"/>
  <c r="M5" i="4"/>
  <c r="O5" i="4" s="1"/>
  <c r="Y4" i="4"/>
  <c r="X4" i="4"/>
  <c r="W4" i="4"/>
  <c r="M4" i="4"/>
  <c r="X3" i="4"/>
  <c r="W3" i="4"/>
  <c r="Y3" i="4" s="1"/>
  <c r="O3" i="4"/>
  <c r="M3" i="4"/>
  <c r="H6" i="5" s="1"/>
  <c r="K6" i="5" s="1"/>
  <c r="W2" i="4"/>
  <c r="M2" i="4"/>
  <c r="A23" i="1"/>
  <c r="A22" i="1"/>
  <c r="A21" i="1"/>
  <c r="A20" i="1"/>
  <c r="A19" i="1"/>
  <c r="A18" i="1"/>
  <c r="A17" i="1"/>
  <c r="A16" i="1"/>
  <c r="A15" i="1"/>
  <c r="A14" i="1"/>
  <c r="G9" i="1"/>
  <c r="A9" i="1"/>
  <c r="D5" i="1"/>
  <c r="A5" i="1"/>
  <c r="O22" i="4" l="1"/>
  <c r="N22" i="4"/>
  <c r="P22" i="4" s="1"/>
  <c r="B11" i="6"/>
  <c r="I8" i="5"/>
  <c r="L8" i="5" s="1"/>
  <c r="X7" i="4"/>
  <c r="X12" i="4"/>
  <c r="O17" i="4"/>
  <c r="N17" i="4"/>
  <c r="P17" i="4" s="1"/>
  <c r="Y5" i="4"/>
  <c r="X5" i="4"/>
  <c r="Y10" i="4"/>
  <c r="X10" i="4"/>
  <c r="H7" i="5"/>
  <c r="K7" i="5" s="1"/>
  <c r="O4" i="4"/>
  <c r="I9" i="5"/>
  <c r="L9" i="5" s="1"/>
  <c r="P6" i="4"/>
  <c r="Y20" i="4"/>
  <c r="X20" i="4"/>
  <c r="Y25" i="4"/>
  <c r="X25" i="4"/>
  <c r="N34" i="4"/>
  <c r="P34" i="4" s="1"/>
  <c r="O34" i="4"/>
  <c r="O27" i="4"/>
  <c r="N27" i="4"/>
  <c r="P27" i="4" s="1"/>
  <c r="N4" i="4"/>
  <c r="Y15" i="4"/>
  <c r="X15" i="4"/>
  <c r="X32" i="4"/>
  <c r="Y32" i="4"/>
  <c r="B7" i="10"/>
  <c r="D7" i="10" s="1"/>
  <c r="O2" i="4"/>
  <c r="N2" i="4"/>
  <c r="H5" i="5"/>
  <c r="N9" i="4"/>
  <c r="P9" i="4" s="1"/>
  <c r="D9" i="1"/>
  <c r="Y2" i="4"/>
  <c r="N14" i="4"/>
  <c r="P14" i="4" s="1"/>
  <c r="X2" i="4"/>
  <c r="H10" i="5"/>
  <c r="K10" i="5" s="1"/>
  <c r="O7" i="4"/>
  <c r="N7" i="4"/>
  <c r="O12" i="4"/>
  <c r="N12" i="4"/>
  <c r="P12" i="4" s="1"/>
  <c r="X35" i="4"/>
  <c r="G17" i="7"/>
  <c r="X8" i="4"/>
  <c r="N10" i="4"/>
  <c r="P10" i="4" s="1"/>
  <c r="X18" i="4"/>
  <c r="N20" i="4"/>
  <c r="P20" i="4" s="1"/>
  <c r="X28" i="4"/>
  <c r="N3" i="4"/>
  <c r="X31" i="4"/>
  <c r="C9" i="6"/>
  <c r="C5" i="6"/>
  <c r="G16" i="7"/>
  <c r="C5" i="10"/>
  <c r="D5" i="10" s="1"/>
  <c r="X37" i="4"/>
  <c r="X30" i="4"/>
  <c r="N32" i="4"/>
  <c r="P32" i="4" s="1"/>
  <c r="H8" i="5"/>
  <c r="K8" i="5" s="1"/>
  <c r="G18" i="7"/>
  <c r="I7" i="5" l="1"/>
  <c r="L7" i="5" s="1"/>
  <c r="P4" i="4"/>
  <c r="H11" i="5"/>
  <c r="K11" i="5" s="1"/>
  <c r="K5" i="5"/>
  <c r="P2" i="4"/>
  <c r="I5" i="5"/>
  <c r="B8" i="10"/>
  <c r="J5" i="1"/>
  <c r="B16" i="8"/>
  <c r="B6" i="8"/>
  <c r="B7" i="8"/>
  <c r="B8" i="8"/>
  <c r="B9" i="8"/>
  <c r="B10" i="8"/>
  <c r="B11" i="8"/>
  <c r="B12" i="8"/>
  <c r="B13" i="8"/>
  <c r="B14" i="8"/>
  <c r="B15" i="8"/>
  <c r="B5" i="8"/>
  <c r="I6" i="5"/>
  <c r="L6" i="5" s="1"/>
  <c r="P3" i="4"/>
  <c r="I10" i="5"/>
  <c r="L10" i="5" s="1"/>
  <c r="P7" i="4"/>
  <c r="J6" i="8" l="1"/>
  <c r="J15" i="1" s="1"/>
  <c r="I6" i="8"/>
  <c r="I15" i="1" s="1"/>
  <c r="H6" i="8"/>
  <c r="H15" i="1" s="1"/>
  <c r="B15" i="1"/>
  <c r="G6" i="8"/>
  <c r="G15" i="1" s="1"/>
  <c r="F6" i="8"/>
  <c r="F15" i="1" s="1"/>
  <c r="E6" i="8"/>
  <c r="E15" i="1" s="1"/>
  <c r="D6" i="8"/>
  <c r="D15" i="1" s="1"/>
  <c r="C6" i="8"/>
  <c r="C15" i="1" s="1"/>
  <c r="J16" i="8"/>
  <c r="I16" i="8"/>
  <c r="H16" i="8"/>
  <c r="G16" i="8"/>
  <c r="F16" i="8"/>
  <c r="E16" i="8"/>
  <c r="D16" i="8"/>
  <c r="C16" i="8"/>
  <c r="J14" i="8"/>
  <c r="J23" i="1" s="1"/>
  <c r="I14" i="8"/>
  <c r="I23" i="1" s="1"/>
  <c r="H14" i="8"/>
  <c r="H23" i="1" s="1"/>
  <c r="G14" i="8"/>
  <c r="G23" i="1" s="1"/>
  <c r="F14" i="8"/>
  <c r="F23" i="1" s="1"/>
  <c r="B23" i="1"/>
  <c r="E14" i="8"/>
  <c r="E23" i="1" s="1"/>
  <c r="D14" i="8"/>
  <c r="D23" i="1" s="1"/>
  <c r="C14" i="8"/>
  <c r="C23" i="1" s="1"/>
  <c r="I13" i="8"/>
  <c r="I22" i="1" s="1"/>
  <c r="H13" i="8"/>
  <c r="H22" i="1" s="1"/>
  <c r="G13" i="8"/>
  <c r="G22" i="1" s="1"/>
  <c r="F13" i="8"/>
  <c r="F22" i="1" s="1"/>
  <c r="E13" i="8"/>
  <c r="E22" i="1" s="1"/>
  <c r="B22" i="1"/>
  <c r="D13" i="8"/>
  <c r="D22" i="1" s="1"/>
  <c r="C13" i="8"/>
  <c r="C22" i="1" s="1"/>
  <c r="J13" i="8"/>
  <c r="J22" i="1" s="1"/>
  <c r="D8" i="10"/>
  <c r="C9" i="10"/>
  <c r="H12" i="8"/>
  <c r="H21" i="1" s="1"/>
  <c r="G12" i="8"/>
  <c r="G21" i="1" s="1"/>
  <c r="F12" i="8"/>
  <c r="F21" i="1" s="1"/>
  <c r="E12" i="8"/>
  <c r="E21" i="1" s="1"/>
  <c r="D12" i="8"/>
  <c r="D21" i="1" s="1"/>
  <c r="B21" i="1"/>
  <c r="C12" i="8"/>
  <c r="C21" i="1" s="1"/>
  <c r="J12" i="8"/>
  <c r="J21" i="1" s="1"/>
  <c r="I12" i="8"/>
  <c r="I21" i="1" s="1"/>
  <c r="I11" i="5"/>
  <c r="L11" i="5" s="1"/>
  <c r="L5" i="5"/>
  <c r="J15" i="8"/>
  <c r="I15" i="8"/>
  <c r="H15" i="8"/>
  <c r="G15" i="8"/>
  <c r="F15" i="8"/>
  <c r="E15" i="8"/>
  <c r="D15" i="8"/>
  <c r="C15" i="8"/>
  <c r="G11" i="8"/>
  <c r="G20" i="1" s="1"/>
  <c r="F11" i="8"/>
  <c r="F20" i="1" s="1"/>
  <c r="E11" i="8"/>
  <c r="E20" i="1" s="1"/>
  <c r="D11" i="8"/>
  <c r="D20" i="1" s="1"/>
  <c r="C11" i="8"/>
  <c r="C20" i="1" s="1"/>
  <c r="B20" i="1"/>
  <c r="J11" i="8"/>
  <c r="J20" i="1" s="1"/>
  <c r="I11" i="8"/>
  <c r="I20" i="1" s="1"/>
  <c r="H11" i="8"/>
  <c r="H20" i="1" s="1"/>
  <c r="F10" i="8"/>
  <c r="F19" i="1" s="1"/>
  <c r="E10" i="8"/>
  <c r="E19" i="1" s="1"/>
  <c r="D10" i="8"/>
  <c r="D19" i="1" s="1"/>
  <c r="C10" i="8"/>
  <c r="C19" i="1" s="1"/>
  <c r="B19" i="1"/>
  <c r="J10" i="8"/>
  <c r="J19" i="1" s="1"/>
  <c r="I10" i="8"/>
  <c r="I19" i="1" s="1"/>
  <c r="H10" i="8"/>
  <c r="H19" i="1" s="1"/>
  <c r="G10" i="8"/>
  <c r="G19" i="1" s="1"/>
  <c r="J5" i="8"/>
  <c r="J14" i="1" s="1"/>
  <c r="I5" i="8"/>
  <c r="I14" i="1" s="1"/>
  <c r="H5" i="8"/>
  <c r="H14" i="1" s="1"/>
  <c r="G5" i="8"/>
  <c r="G14" i="1" s="1"/>
  <c r="B14" i="1"/>
  <c r="F5" i="8"/>
  <c r="F14" i="1" s="1"/>
  <c r="E5" i="8"/>
  <c r="E14" i="1" s="1"/>
  <c r="D5" i="8"/>
  <c r="D14" i="1" s="1"/>
  <c r="C5" i="8"/>
  <c r="C14" i="1" s="1"/>
  <c r="E9" i="8"/>
  <c r="E18" i="1" s="1"/>
  <c r="D9" i="8"/>
  <c r="D18" i="1" s="1"/>
  <c r="C9" i="8"/>
  <c r="C18" i="1" s="1"/>
  <c r="B18" i="1"/>
  <c r="J9" i="8"/>
  <c r="J18" i="1" s="1"/>
  <c r="I9" i="8"/>
  <c r="I18" i="1" s="1"/>
  <c r="H9" i="8"/>
  <c r="H18" i="1" s="1"/>
  <c r="G9" i="8"/>
  <c r="G18" i="1" s="1"/>
  <c r="F9" i="8"/>
  <c r="F18" i="1" s="1"/>
  <c r="D8" i="8"/>
  <c r="D17" i="1" s="1"/>
  <c r="C8" i="8"/>
  <c r="C17" i="1" s="1"/>
  <c r="J8" i="8"/>
  <c r="J17" i="1" s="1"/>
  <c r="B17" i="1"/>
  <c r="I8" i="8"/>
  <c r="I17" i="1" s="1"/>
  <c r="H8" i="8"/>
  <c r="H17" i="1" s="1"/>
  <c r="G8" i="8"/>
  <c r="G17" i="1" s="1"/>
  <c r="F8" i="8"/>
  <c r="F17" i="1" s="1"/>
  <c r="E8" i="8"/>
  <c r="E17" i="1" s="1"/>
  <c r="C7" i="8"/>
  <c r="C16" i="1" s="1"/>
  <c r="J7" i="8"/>
  <c r="J16" i="1" s="1"/>
  <c r="I7" i="8"/>
  <c r="I16" i="1" s="1"/>
  <c r="B16" i="1"/>
  <c r="H7" i="8"/>
  <c r="H16" i="1" s="1"/>
  <c r="G7" i="8"/>
  <c r="G16" i="1" s="1"/>
  <c r="F7" i="8"/>
  <c r="F16" i="1" s="1"/>
  <c r="E7" i="8"/>
  <c r="E16" i="1" s="1"/>
  <c r="D7" i="8"/>
  <c r="D16" i="1" s="1"/>
  <c r="D9" i="10" l="1"/>
  <c r="C11" i="10"/>
  <c r="C13" i="10" l="1"/>
  <c r="D13" i="10" s="1"/>
  <c r="D11" i="10"/>
</calcChain>
</file>

<file path=xl/sharedStrings.xml><?xml version="1.0" encoding="utf-8"?>
<sst xmlns="http://schemas.openxmlformats.org/spreadsheetml/2006/main" count="534" uniqueCount="273">
  <si>
    <t>Ops2EBITDA · Customer Retention / NRR Cohort Model</t>
  </si>
  <si>
    <t>Diagnose GRR, NRR, logo churn, expansion, renewal risk, and retention-driven EBITDA impact.</t>
  </si>
  <si>
    <t>Beginning ARR</t>
  </si>
  <si>
    <t>Ending ARR</t>
  </si>
  <si>
    <t>GRR</t>
  </si>
  <si>
    <t>NRR</t>
  </si>
  <si>
    <t>Logo Retention</t>
  </si>
  <si>
    <t>At-Risk ARR</t>
  </si>
  <si>
    <t>Churned ARR</t>
  </si>
  <si>
    <t>Base EV Upside</t>
  </si>
  <si>
    <t>At-Risk Renewal Priorities</t>
  </si>
  <si>
    <t>Rank</t>
  </si>
  <si>
    <t>Customer</t>
  </si>
  <si>
    <t>Segment</t>
  </si>
  <si>
    <t>CSM</t>
  </si>
  <si>
    <t>Renewal Date</t>
  </si>
  <si>
    <t>Health</t>
  </si>
  <si>
    <t>Usage</t>
  </si>
  <si>
    <t>ARR at Risk</t>
  </si>
  <si>
    <t>Risk</t>
  </si>
  <si>
    <t>Action</t>
  </si>
  <si>
    <t>How to Use This Model</t>
  </si>
  <si>
    <t>Workflow, data requirements, and interpretation guide.</t>
  </si>
  <si>
    <t>Step</t>
  </si>
  <si>
    <t>Notes</t>
  </si>
  <si>
    <t>1</t>
  </si>
  <si>
    <t>Replace sample customer data</t>
  </si>
  <si>
    <t>Paste customer-level ARR / MRR, renewal, health, support, and churn data into Customer_MRR_Data.</t>
  </si>
  <si>
    <t>2</t>
  </si>
  <si>
    <t>Review Inputs</t>
  </si>
  <si>
    <t>Update target NRR, contribution margin, exit multiple, and risk thresholds on Inputs.</t>
  </si>
  <si>
    <t>3</t>
  </si>
  <si>
    <t>Read retention output</t>
  </si>
  <si>
    <t>Use Cohort_Retention, NRR_Bridge, and Churn_Analysis to diagnose where retention leakage lives.</t>
  </si>
  <si>
    <t>4</t>
  </si>
  <si>
    <t>Prioritize accounts</t>
  </si>
  <si>
    <t>Use Renewal_Risk and Dashboard to identify high-risk ARR and recommended save actions.</t>
  </si>
  <si>
    <t>5</t>
  </si>
  <si>
    <t>Size value impact</t>
  </si>
  <si>
    <t>Use Scenarios and EBITDA_Impact to translate retention improvement into EBITDA and enterprise value impact.</t>
  </si>
  <si>
    <t>6</t>
  </si>
  <si>
    <t>Turn into management actions</t>
  </si>
  <si>
    <t>Move high-risk accounts into a customer success save plan with owners, dates, and weekly review cadence.</t>
  </si>
  <si>
    <t>Editable assumptions for retention, churn, expansion, and valuation impact.</t>
  </si>
  <si>
    <t>Assumption</t>
  </si>
  <si>
    <t>Value</t>
  </si>
  <si>
    <t>Units / Notes</t>
  </si>
  <si>
    <t>Validation Lists</t>
  </si>
  <si>
    <t>Values</t>
  </si>
  <si>
    <t>Analysis Start Date</t>
  </si>
  <si>
    <t>Start of performance period</t>
  </si>
  <si>
    <t>Enterprise</t>
  </si>
  <si>
    <t>Analysis End Date</t>
  </si>
  <si>
    <t>End of performance period</t>
  </si>
  <si>
    <t>Mid-Market</t>
  </si>
  <si>
    <t>Target NRR</t>
  </si>
  <si>
    <t>Management case target</t>
  </si>
  <si>
    <t>SMB</t>
  </si>
  <si>
    <t>Target GRR</t>
  </si>
  <si>
    <t>Gross retention target</t>
  </si>
  <si>
    <t>Region</t>
  </si>
  <si>
    <t>North America</t>
  </si>
  <si>
    <t>Contribution Margin</t>
  </si>
  <si>
    <t>Incremental ARR drop-through to EBITDA</t>
  </si>
  <si>
    <t>EMEA</t>
  </si>
  <si>
    <t>Exit Multiple</t>
  </si>
  <si>
    <t>EBITDA multiple</t>
  </si>
  <si>
    <t>APAC</t>
  </si>
  <si>
    <t>High Risk Health Score Threshold</t>
  </si>
  <si>
    <t>Below threshold = high risk</t>
  </si>
  <si>
    <t>Logo Status</t>
  </si>
  <si>
    <t>Active</t>
  </si>
  <si>
    <t>Medium Risk Health Score Threshold</t>
  </si>
  <si>
    <t>Below threshold = medium risk</t>
  </si>
  <si>
    <t>Churned</t>
  </si>
  <si>
    <t>High Risk Usage Threshold</t>
  </si>
  <si>
    <t>Low</t>
  </si>
  <si>
    <t>Medium Risk Usage Threshold</t>
  </si>
  <si>
    <t>Medium</t>
  </si>
  <si>
    <t>High Ticket Threshold</t>
  </si>
  <si>
    <t>Above threshold = high risk</t>
  </si>
  <si>
    <t>High</t>
  </si>
  <si>
    <t>Medium Ticket Threshold</t>
  </si>
  <si>
    <t>Above threshold = medium risk</t>
  </si>
  <si>
    <t>Lost</t>
  </si>
  <si>
    <t>Renewal Window Days</t>
  </si>
  <si>
    <t>Renewals inside window get risk premium</t>
  </si>
  <si>
    <t>Customer_ID</t>
  </si>
  <si>
    <t>Cohort_Month</t>
  </si>
  <si>
    <t>Industry</t>
  </si>
  <si>
    <t>Beginning_ARR_$</t>
  </si>
  <si>
    <t>Ending_ARR_$</t>
  </si>
  <si>
    <t>Expansion_$</t>
  </si>
  <si>
    <t>Contraction_$</t>
  </si>
  <si>
    <t>Churned_ARR_$</t>
  </si>
  <si>
    <t>Gross_Retained_ARR_$</t>
  </si>
  <si>
    <t>Net_Retained_ARR_$</t>
  </si>
  <si>
    <t>GRR_%</t>
  </si>
  <si>
    <t>NRR_%</t>
  </si>
  <si>
    <t>Logo_Status</t>
  </si>
  <si>
    <t>Churn_Reason</t>
  </si>
  <si>
    <t>Renewal_Date</t>
  </si>
  <si>
    <t>Health_Score</t>
  </si>
  <si>
    <t>Usage_%</t>
  </si>
  <si>
    <t>Support_Tickets</t>
  </si>
  <si>
    <t>Renewal_Risk</t>
  </si>
  <si>
    <t>Recommended_Action</t>
  </si>
  <si>
    <t>Priority_Score</t>
  </si>
  <si>
    <t>C001</t>
  </si>
  <si>
    <t>Atlas Industrial</t>
  </si>
  <si>
    <t>Manufacturing</t>
  </si>
  <si>
    <t>Jordan Chen</t>
  </si>
  <si>
    <t>No Churn</t>
  </si>
  <si>
    <t>C002</t>
  </si>
  <si>
    <t>BlueRiver Health</t>
  </si>
  <si>
    <t>Healthcare</t>
  </si>
  <si>
    <t>Maya Singh</t>
  </si>
  <si>
    <t>C003</t>
  </si>
  <si>
    <t>Cedar Logistics</t>
  </si>
  <si>
    <t>Distribution</t>
  </si>
  <si>
    <t>C004</t>
  </si>
  <si>
    <t>Dover Claims</t>
  </si>
  <si>
    <t>Insurance</t>
  </si>
  <si>
    <t>Leo Park</t>
  </si>
  <si>
    <t>Poor onboarding</t>
  </si>
  <si>
    <t>C005</t>
  </si>
  <si>
    <t>Eastfield Dental</t>
  </si>
  <si>
    <t>C006</t>
  </si>
  <si>
    <t>Falcon Components</t>
  </si>
  <si>
    <t>Nora Patel</t>
  </si>
  <si>
    <t>C007</t>
  </si>
  <si>
    <t>Granite Payroll</t>
  </si>
  <si>
    <t>Business Services</t>
  </si>
  <si>
    <t>C008</t>
  </si>
  <si>
    <t>Harbor Foods</t>
  </si>
  <si>
    <t>Price / value mismatch</t>
  </si>
  <si>
    <t>C009</t>
  </si>
  <si>
    <t>IronGate Security</t>
  </si>
  <si>
    <t>C010</t>
  </si>
  <si>
    <t>Juniper Clinics</t>
  </si>
  <si>
    <t>C011</t>
  </si>
  <si>
    <t>Keystone Plastics</t>
  </si>
  <si>
    <t>C012</t>
  </si>
  <si>
    <t>Lakeview Supply</t>
  </si>
  <si>
    <t>C013</t>
  </si>
  <si>
    <t>Meridian Labs</t>
  </si>
  <si>
    <t>C014</t>
  </si>
  <si>
    <t>Northstar Tax</t>
  </si>
  <si>
    <t>Budget cut</t>
  </si>
  <si>
    <t>C015</t>
  </si>
  <si>
    <t>OakBridge SaaS</t>
  </si>
  <si>
    <t>Software</t>
  </si>
  <si>
    <t>C016</t>
  </si>
  <si>
    <t>Pioneer Freight</t>
  </si>
  <si>
    <t>Logistics</t>
  </si>
  <si>
    <t>C017</t>
  </si>
  <si>
    <t>Quarry Equipment</t>
  </si>
  <si>
    <t>C018</t>
  </si>
  <si>
    <t>Redwood Services</t>
  </si>
  <si>
    <t>C019</t>
  </si>
  <si>
    <t>Summit Ortho</t>
  </si>
  <si>
    <t>C020</t>
  </si>
  <si>
    <t>Titan Warehousing</t>
  </si>
  <si>
    <t>Service issue</t>
  </si>
  <si>
    <t>C021</t>
  </si>
  <si>
    <t>Union Billing</t>
  </si>
  <si>
    <t>C022</t>
  </si>
  <si>
    <t>Vector Industrial</t>
  </si>
  <si>
    <t>C023</t>
  </si>
  <si>
    <t>Westlake Benefits</t>
  </si>
  <si>
    <t>C024</t>
  </si>
  <si>
    <t>Yardline Medical</t>
  </si>
  <si>
    <t>C025</t>
  </si>
  <si>
    <t>Zephyr Tools</t>
  </si>
  <si>
    <t>C026</t>
  </si>
  <si>
    <t>Apex Claims</t>
  </si>
  <si>
    <t>C027</t>
  </si>
  <si>
    <t>Beacon Marine</t>
  </si>
  <si>
    <t>Competitor loss</t>
  </si>
  <si>
    <t>C028</t>
  </si>
  <si>
    <t>Cobalt Packaging</t>
  </si>
  <si>
    <t>C029</t>
  </si>
  <si>
    <t>Delta Urgent Care</t>
  </si>
  <si>
    <t>C030</t>
  </si>
  <si>
    <t>Evergreen Fleet</t>
  </si>
  <si>
    <t>C031</t>
  </si>
  <si>
    <t>Frontier Dental</t>
  </si>
  <si>
    <t>C032</t>
  </si>
  <si>
    <t>Garnet Software</t>
  </si>
  <si>
    <t>C033</t>
  </si>
  <si>
    <t>Horizon Parts</t>
  </si>
  <si>
    <t>C034</t>
  </si>
  <si>
    <t>Ivy Claims</t>
  </si>
  <si>
    <t>C035</t>
  </si>
  <si>
    <t>Jasper Foods</t>
  </si>
  <si>
    <t>M&amp;A consolidation</t>
  </si>
  <si>
    <t>C036</t>
  </si>
  <si>
    <t>Kingsley Components</t>
  </si>
  <si>
    <t>Cohort Retention Analysis</t>
  </si>
  <si>
    <t>ARR, logo, GRR, and NRR by customer cohort.</t>
  </si>
  <si>
    <t>Cohort</t>
  </si>
  <si>
    <t>Customer Count</t>
  </si>
  <si>
    <t>Expansion</t>
  </si>
  <si>
    <t>Contraction</t>
  </si>
  <si>
    <t>Gross Retained ARR</t>
  </si>
  <si>
    <t>Net Retained ARR</t>
  </si>
  <si>
    <t>Logo Retention %</t>
  </si>
  <si>
    <t>GRR %</t>
  </si>
  <si>
    <t>NRR %</t>
  </si>
  <si>
    <t>Total</t>
  </si>
  <si>
    <t>NRR Bridge</t>
  </si>
  <si>
    <t>Beginning ARR to ending ARR via expansion, contraction, and churn.</t>
  </si>
  <si>
    <t>Bridge Item</t>
  </si>
  <si>
    <t>Amount ($)</t>
  </si>
  <si>
    <t>% of Beginning ARR</t>
  </si>
  <si>
    <t>Net Revenue Retention</t>
  </si>
  <si>
    <t>Gross Revenue Retention</t>
  </si>
  <si>
    <t>Churn &amp; Contraction Analysis</t>
  </si>
  <si>
    <t>Root causes and segment-level retention performance.</t>
  </si>
  <si>
    <t>Churn Reason Summary</t>
  </si>
  <si>
    <t>Churn Reason</t>
  </si>
  <si>
    <t>Customers</t>
  </si>
  <si>
    <t>% of Churned ARR</t>
  </si>
  <si>
    <t>Recommended Management Action</t>
  </si>
  <si>
    <t>Priority</t>
  </si>
  <si>
    <t>Redesign onboarding journey</t>
  </si>
  <si>
    <t>Reassess packaging / value proof</t>
  </si>
  <si>
    <t>Segment budget-risk customers</t>
  </si>
  <si>
    <t>Escalate service recovery</t>
  </si>
  <si>
    <t>Competitive win-back review</t>
  </si>
  <si>
    <t>Track consolidation-driven losses</t>
  </si>
  <si>
    <t>Segment Retention Summary</t>
  </si>
  <si>
    <t>Renewal Risk Register</t>
  </si>
  <si>
    <t>Top at-risk accounts by health, usage, support load, and renewal timing.</t>
  </si>
  <si>
    <t>Health Score</t>
  </si>
  <si>
    <t>Usage %</t>
  </si>
  <si>
    <t>Recommended Action</t>
  </si>
  <si>
    <t>NRR Improvement Scenarios</t>
  </si>
  <si>
    <t>Scenario logic for retention/expansion improvement and financial impact.</t>
  </si>
  <si>
    <t>Scenario</t>
  </si>
  <si>
    <t>NRR Improvement</t>
  </si>
  <si>
    <t>GRR Improvement</t>
  </si>
  <si>
    <t>Incremental Ending ARR</t>
  </si>
  <si>
    <t>Incremental EBITDA</t>
  </si>
  <si>
    <t>Enterprise Value Impact</t>
  </si>
  <si>
    <t>Conservative</t>
  </si>
  <si>
    <t>Base</t>
  </si>
  <si>
    <t>Upside</t>
  </si>
  <si>
    <t>EBITDA &amp; Enterprise Value Impact</t>
  </si>
  <si>
    <t>How retention improvement converts to EBITDA and valuation impact.</t>
  </si>
  <si>
    <t>Metric</t>
  </si>
  <si>
    <t>Current</t>
  </si>
  <si>
    <t>Target</t>
  </si>
  <si>
    <t>Delta</t>
  </si>
  <si>
    <t>Incremental ARR from NRR Lift</t>
  </si>
  <si>
    <t>Sources &amp; Assumptions</t>
  </si>
  <si>
    <t>Plain-English assumptions and source posture.</t>
  </si>
  <si>
    <t>Item</t>
  </si>
  <si>
    <t>Source / Basis</t>
  </si>
  <si>
    <t>Sample customer data</t>
  </si>
  <si>
    <t>Illustrative Ops2EBITDA synthetic dataset</t>
  </si>
  <si>
    <t>Replace with CRM, billing, customer success, and support exports.</t>
  </si>
  <si>
    <t>Retention formulas</t>
  </si>
  <si>
    <t>Standard SaaS / recurring revenue metrics</t>
  </si>
  <si>
    <t>GRR = gross retained ARR / beginning ARR; NRR = net retained ARR / beginning ARR.</t>
  </si>
  <si>
    <t>Contribution margin</t>
  </si>
  <si>
    <t>User input on Inputs sheet</t>
  </si>
  <si>
    <t>Use incremental contribution margin, not gross margin, where possible.</t>
  </si>
  <si>
    <t>Exit multiple</t>
  </si>
  <si>
    <t>Use company-specific valuation assumptions or sponsor underwriting case.</t>
  </si>
  <si>
    <t>Risk scoring</t>
  </si>
  <si>
    <t>Illustrative logic based on health score, usage, support tickets, and renewal timing</t>
  </si>
  <si>
    <t>Calibrate to actual churn predictors and business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</si>
</sst>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8" formatCode="0.0%"/>
    <numFmt numFmtId="169" formatCode="&quot;$&quot;#,##0;\(&quot;$&quot;#,##0\);\-"/>
    <numFmt numFmtId="170" formatCode="#,##0;\(#,##0\);\-"/>
    <numFmt numFmtId="171" formatCode="0.0%;\(0.0%\);\-"/>
    <numFmt numFmtId="172" formatCode="mm/dd/yy"/>
    <numFmt numFmtId="173" formatCode="0.0&quot;x&quot;"/>
    <numFmt numFmtId="174" formatCode="&quot;$&quot;#,##0"/>
    <numFmt numFmtId="175" formatCode="mm/dd/yyyy"/>
    <numFmt numFmtId="176" formatCode="mmm\ yyyy"/>
    <numFmt numFmtId="177" formatCode="#,##0.0"/>
  </numFmts>
  <fonts count="31">
    <font>
      <sz val="11"/>
      <name val="Carlito"/>
    </font>
    <font>
      <sz val="11"/>
      <name val="Arial"/>
      <family val="2"/>
    </font>
    <font>
      <sz val="9"/>
      <color rgb="FF928B7E"/>
      <name val="Calibri"/>
      <family val="2"/>
    </font>
    <font>
      <b/>
      <sz val="8"/>
      <color rgb="FFF4EFE6"/>
      <name val="Calibri"/>
      <family val="2"/>
    </font>
    <font>
      <sz val="9"/>
      <color rgb="FF161413"/>
      <name val="Calibri"/>
      <family val="2"/>
    </font>
    <font>
      <b/>
      <sz val="9"/>
      <color rgb="FF161413"/>
      <name val="Calibri"/>
      <family val="2"/>
    </font>
    <font>
      <sz val="7"/>
      <color rgb="FF928B7E"/>
      <name val="Calibri"/>
      <family val="2"/>
    </font>
    <font>
      <b/>
      <sz val="20"/>
      <color rgb="FF161413"/>
      <name val="Calibri"/>
      <family val="2"/>
    </font>
    <font>
      <b/>
      <sz val="9"/>
      <color rgb="FFF4EFE6"/>
      <name val="Calibri"/>
      <family val="2"/>
    </font>
    <font>
      <sz val="9"/>
      <color rgb="FF0000FF"/>
      <name val="Calibri"/>
      <family val="2"/>
    </font>
    <font>
      <sz val="11"/>
      <name val="Calibri"/>
      <family val="2"/>
    </font>
    <font>
      <sz val="10"/>
      <color rgb="FF928B7E"/>
      <name val="Calibri"/>
      <family val="2"/>
    </font>
    <font>
      <sz val="10"/>
      <color rgb="FF161413"/>
      <name val="Calibri"/>
      <family val="2"/>
    </font>
    <font>
      <sz val="10"/>
      <color rgb="FF7A2E1F"/>
      <name val="Calibri"/>
      <family val="2"/>
    </font>
    <font>
      <b/>
      <sz val="10"/>
      <color rgb="FF161413"/>
      <name val="Calibri"/>
      <family val="2"/>
    </font>
    <font>
      <b/>
      <sz val="10"/>
      <color rgb="FFB8862F"/>
      <name val="Calibri"/>
      <family val="2"/>
    </font>
    <font>
      <i/>
      <sz val="10"/>
      <color rgb="FF161413"/>
      <name val="Calibri"/>
      <family val="2"/>
    </font>
    <font>
      <i/>
      <sz val="10"/>
      <color rgb="FF7A2E1F"/>
      <name val="Calibri"/>
      <family val="2"/>
    </font>
    <font>
      <b/>
      <i/>
      <sz val="10"/>
      <color rgb="FF161413"/>
      <name val="Calibri"/>
      <family val="2"/>
    </font>
    <font>
      <b/>
      <i/>
      <sz val="9"/>
      <color rgb="FFF4EFE6"/>
      <name val="Calibri"/>
      <family val="2"/>
    </font>
    <font>
      <b/>
      <sz val="11"/>
      <color rgb="FFF4EFE6"/>
      <name val="Calibri"/>
      <family val="2"/>
    </font>
    <font>
      <b/>
      <i/>
      <sz val="10"/>
      <color rgb="FFB8862F"/>
      <name val="Calibri"/>
      <family val="2"/>
    </font>
    <font>
      <b/>
      <sz val="10"/>
      <color rgb="FF7A2E1F"/>
      <name val="Calibri"/>
      <family val="2"/>
    </font>
    <font>
      <sz val="10"/>
      <color rgb="FFB8862F"/>
      <name val="Calibri"/>
      <family val="2"/>
    </font>
    <font>
      <b/>
      <sz val="10"/>
      <name val="Calibri"/>
      <family val="2"/>
    </font>
    <font>
      <i/>
      <sz val="10"/>
      <color rgb="FFB8862F"/>
      <name val="Calibri"/>
      <family val="2"/>
    </font>
    <font>
      <b/>
      <sz val="22"/>
      <color rgb="FF161413"/>
      <name val="Calibri"/>
      <family val="2"/>
    </font>
    <font>
      <sz val="10"/>
      <color rgb="FF0000FF"/>
      <name val="Calibri"/>
      <family val="2"/>
    </font>
    <font>
      <i/>
      <sz val="9"/>
      <color rgb="FF161413"/>
      <name val="Calibri"/>
      <family val="2"/>
    </font>
    <font>
      <i/>
      <sz val="9"/>
      <color rgb="FF0000FF"/>
      <name val="Calibri"/>
      <family val="2"/>
    </font>
    <font>
      <b/>
      <i/>
      <sz val="9"/>
      <color rgb="FF16141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4EFE6"/>
        <bgColor indexed="64"/>
      </patternFill>
    </fill>
    <fill>
      <patternFill patternType="solid">
        <fgColor rgb="FF1614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8F2"/>
        <bgColor indexed="64"/>
      </patternFill>
    </fill>
    <fill>
      <patternFill patternType="solid">
        <fgColor rgb="FF928B7E"/>
        <bgColor indexed="64"/>
      </patternFill>
    </fill>
    <fill>
      <patternFill patternType="solid">
        <fgColor rgb="FFFFFDE6"/>
        <bgColor indexed="64"/>
      </patternFill>
    </fill>
    <fill>
      <patternFill patternType="solid">
        <fgColor rgb="FFF4EFE7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B8862F"/>
      </bottom>
      <diagonal/>
    </border>
    <border>
      <left/>
      <right/>
      <top/>
      <bottom style="thin">
        <color rgb="FF928B7E"/>
      </bottom>
      <diagonal/>
    </border>
    <border>
      <left/>
      <right/>
      <top style="thin">
        <color rgb="FFF4EFE6"/>
      </top>
      <bottom/>
      <diagonal/>
    </border>
    <border>
      <left/>
      <right/>
      <top style="thin">
        <color rgb="FFF4EFE6"/>
      </top>
      <bottom style="thin">
        <color rgb="FF928B7E"/>
      </bottom>
      <diagonal/>
    </border>
    <border>
      <left/>
      <right/>
      <top style="thin">
        <color rgb="FF928B7E"/>
      </top>
      <bottom style="medium">
        <color rgb="FF928B7E"/>
      </bottom>
      <diagonal/>
    </border>
    <border>
      <left/>
      <right/>
      <top/>
      <bottom style="medium">
        <color rgb="FF928B7E"/>
      </bottom>
      <diagonal/>
    </border>
    <border>
      <left/>
      <right/>
      <top style="thin">
        <color rgb="FFB8862F"/>
      </top>
      <bottom/>
      <diagonal/>
    </border>
    <border>
      <left/>
      <right/>
      <top style="thin">
        <color rgb="FFB8862F"/>
      </top>
      <bottom style="medium">
        <color rgb="FF928B7E"/>
      </bottom>
      <diagonal/>
    </border>
    <border>
      <left/>
      <right/>
      <top style="thin">
        <color rgb="FF928B7E"/>
      </top>
      <bottom style="double">
        <color rgb="FF928B7E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2" xfId="0" applyFill="1" applyBorder="1"/>
    <xf numFmtId="0" fontId="3" fillId="3" borderId="0" xfId="0" applyFont="1" applyFill="1" applyAlignment="1">
      <alignment horizontal="left" indent="1"/>
    </xf>
    <xf numFmtId="0" fontId="0" fillId="4" borderId="0" xfId="0" applyFill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wrapText="1" indent="1"/>
    </xf>
    <xf numFmtId="0" fontId="4" fillId="4" borderId="3" xfId="0" applyFont="1" applyFill="1" applyBorder="1" applyAlignment="1">
      <alignment wrapText="1" indent="1"/>
    </xf>
    <xf numFmtId="0" fontId="0" fillId="5" borderId="0" xfId="0" applyFill="1"/>
    <xf numFmtId="0" fontId="6" fillId="5" borderId="0" xfId="0" applyFont="1" applyFill="1" applyAlignment="1">
      <alignment horizontal="left" indent="1"/>
    </xf>
    <xf numFmtId="0" fontId="7" fillId="5" borderId="0" xfId="0" applyFont="1" applyFill="1" applyAlignment="1">
      <alignment horizontal="left" indent="1"/>
    </xf>
    <xf numFmtId="0" fontId="0" fillId="5" borderId="3" xfId="0" applyFill="1" applyBorder="1"/>
    <xf numFmtId="0" fontId="8" fillId="3" borderId="0" xfId="0" applyFont="1" applyFill="1" applyAlignment="1">
      <alignment horizontal="left" indent="1"/>
    </xf>
    <xf numFmtId="0" fontId="3" fillId="6" borderId="0" xfId="0" applyFont="1" applyFill="1" applyAlignment="1">
      <alignment horizontal="left" indent="1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left" indent="1"/>
    </xf>
    <xf numFmtId="0" fontId="2" fillId="4" borderId="1" xfId="0" applyFont="1" applyFill="1" applyBorder="1" applyAlignment="1">
      <alignment horizontal="left" indent="1"/>
    </xf>
    <xf numFmtId="0" fontId="4" fillId="4" borderId="4" xfId="0" applyFont="1" applyFill="1" applyBorder="1" applyAlignment="1">
      <alignment horizontal="left" indent="1"/>
    </xf>
    <xf numFmtId="0" fontId="2" fillId="4" borderId="4" xfId="0" applyFont="1" applyFill="1" applyBorder="1" applyAlignment="1">
      <alignment horizontal="left" indent="1"/>
    </xf>
    <xf numFmtId="0" fontId="2" fillId="4" borderId="0" xfId="0" applyFont="1" applyFill="1" applyAlignment="1">
      <alignment indent="1"/>
    </xf>
    <xf numFmtId="0" fontId="4" fillId="4" borderId="5" xfId="0" applyFont="1" applyFill="1" applyBorder="1" applyAlignment="1">
      <alignment horizontal="left" indent="1"/>
    </xf>
    <xf numFmtId="0" fontId="2" fillId="4" borderId="5" xfId="0" applyFont="1" applyFill="1" applyBorder="1" applyAlignment="1">
      <alignment horizontal="left" indent="1"/>
    </xf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left" indent="1"/>
    </xf>
    <xf numFmtId="0" fontId="4" fillId="5" borderId="0" xfId="0" applyFont="1" applyFill="1" applyAlignment="1">
      <alignment horizontal="center"/>
    </xf>
    <xf numFmtId="0" fontId="5" fillId="2" borderId="6" xfId="0" applyFont="1" applyFill="1" applyBorder="1" applyAlignment="1">
      <alignment horizontal="left" indent="1"/>
    </xf>
    <xf numFmtId="0" fontId="5" fillId="2" borderId="6" xfId="0" applyFont="1" applyFill="1" applyBorder="1" applyAlignment="1">
      <alignment horizontal="center"/>
    </xf>
    <xf numFmtId="0" fontId="2" fillId="5" borderId="0" xfId="0" applyFont="1" applyFill="1" applyAlignment="1">
      <alignment wrapText="1" indent="1"/>
    </xf>
    <xf numFmtId="0" fontId="2" fillId="4" borderId="0" xfId="0" applyFont="1" applyFill="1" applyAlignment="1">
      <alignment wrapText="1" indent="1"/>
    </xf>
    <xf numFmtId="0" fontId="2" fillId="5" borderId="7" xfId="0" applyFont="1" applyFill="1" applyBorder="1" applyAlignment="1">
      <alignment wrapText="1" indent="1"/>
    </xf>
    <xf numFmtId="0" fontId="10" fillId="2" borderId="0" xfId="0" applyFont="1" applyFill="1"/>
    <xf numFmtId="0" fontId="10" fillId="2" borderId="2" xfId="0" applyFont="1" applyFill="1" applyBorder="1"/>
    <xf numFmtId="0" fontId="7" fillId="2" borderId="0" xfId="0" applyFont="1" applyFill="1"/>
    <xf numFmtId="0" fontId="11" fillId="2" borderId="0" xfId="0" applyFont="1" applyFill="1"/>
    <xf numFmtId="0" fontId="8" fillId="3" borderId="0" xfId="0" applyFont="1" applyFill="1" applyAlignment="1">
      <alignment horizontal="right"/>
    </xf>
    <xf numFmtId="0" fontId="12" fillId="4" borderId="1" xfId="0" applyFont="1" applyFill="1" applyBorder="1" applyAlignment="1">
      <alignment indent="1"/>
    </xf>
    <xf numFmtId="0" fontId="12" fillId="4" borderId="4" xfId="0" applyFont="1" applyFill="1" applyBorder="1" applyAlignment="1">
      <alignment indent="1"/>
    </xf>
    <xf numFmtId="0" fontId="12" fillId="4" borderId="0" xfId="0" applyFont="1" applyFill="1" applyAlignment="1">
      <alignment indent="1"/>
    </xf>
    <xf numFmtId="0" fontId="12" fillId="4" borderId="0" xfId="0" applyFont="1" applyFill="1"/>
    <xf numFmtId="169" fontId="12" fillId="4" borderId="1" xfId="0" applyNumberFormat="1" applyFont="1" applyFill="1" applyBorder="1" applyAlignment="1">
      <alignment horizontal="right"/>
    </xf>
    <xf numFmtId="170" fontId="12" fillId="4" borderId="4" xfId="0" applyNumberFormat="1" applyFont="1" applyFill="1" applyBorder="1" applyAlignment="1">
      <alignment horizontal="right"/>
    </xf>
    <xf numFmtId="170" fontId="13" fillId="4" borderId="4" xfId="0" applyNumberFormat="1" applyFont="1" applyFill="1" applyBorder="1" applyAlignment="1">
      <alignment horizontal="right"/>
    </xf>
    <xf numFmtId="171" fontId="15" fillId="4" borderId="0" xfId="0" applyNumberFormat="1" applyFont="1" applyFill="1" applyAlignment="1">
      <alignment horizontal="right"/>
    </xf>
    <xf numFmtId="171" fontId="16" fillId="4" borderId="1" xfId="0" applyNumberFormat="1" applyFont="1" applyFill="1" applyBorder="1" applyAlignment="1">
      <alignment horizontal="right"/>
    </xf>
    <xf numFmtId="171" fontId="16" fillId="4" borderId="4" xfId="0" applyNumberFormat="1" applyFont="1" applyFill="1" applyBorder="1" applyAlignment="1">
      <alignment horizontal="right"/>
    </xf>
    <xf numFmtId="171" fontId="17" fillId="4" borderId="4" xfId="0" applyNumberFormat="1" applyFont="1" applyFill="1" applyBorder="1" applyAlignment="1">
      <alignment horizontal="right"/>
    </xf>
    <xf numFmtId="0" fontId="19" fillId="3" borderId="0" xfId="0" applyFont="1" applyFill="1" applyAlignment="1">
      <alignment horizontal="right"/>
    </xf>
    <xf numFmtId="0" fontId="14" fillId="2" borderId="10" xfId="0" applyFont="1" applyFill="1" applyBorder="1" applyAlignment="1">
      <alignment indent="1"/>
    </xf>
    <xf numFmtId="169" fontId="14" fillId="2" borderId="10" xfId="0" applyNumberFormat="1" applyFont="1" applyFill="1" applyBorder="1" applyAlignment="1">
      <alignment horizontal="right"/>
    </xf>
    <xf numFmtId="171" fontId="18" fillId="2" borderId="10" xfId="0" applyNumberFormat="1" applyFont="1" applyFill="1" applyBorder="1" applyAlignment="1">
      <alignment horizontal="right"/>
    </xf>
    <xf numFmtId="0" fontId="10" fillId="4" borderId="0" xfId="0" applyFont="1" applyFill="1"/>
    <xf numFmtId="0" fontId="20" fillId="3" borderId="0" xfId="0" applyFont="1" applyFill="1" applyAlignment="1">
      <alignment horizontal="left" indent="1"/>
    </xf>
    <xf numFmtId="0" fontId="8" fillId="6" borderId="0" xfId="0" applyFont="1" applyFill="1" applyAlignment="1">
      <alignment horizontal="left" indent="1"/>
    </xf>
    <xf numFmtId="0" fontId="8" fillId="6" borderId="0" xfId="0" applyFont="1" applyFill="1" applyAlignment="1">
      <alignment horizontal="right"/>
    </xf>
    <xf numFmtId="0" fontId="14" fillId="4" borderId="0" xfId="0" applyFont="1" applyFill="1" applyAlignment="1">
      <alignment horizontal="center"/>
    </xf>
    <xf numFmtId="0" fontId="12" fillId="5" borderId="0" xfId="0" applyFont="1" applyFill="1" applyAlignment="1">
      <alignment indent="1"/>
    </xf>
    <xf numFmtId="0" fontId="14" fillId="5" borderId="0" xfId="0" applyFont="1" applyFill="1" applyAlignment="1">
      <alignment horizontal="center"/>
    </xf>
    <xf numFmtId="0" fontId="12" fillId="5" borderId="3" xfId="0" applyFont="1" applyFill="1" applyBorder="1" applyAlignment="1">
      <alignment indent="1"/>
    </xf>
    <xf numFmtId="0" fontId="14" fillId="5" borderId="3" xfId="0" applyFont="1" applyFill="1" applyBorder="1" applyAlignment="1">
      <alignment horizontal="center"/>
    </xf>
    <xf numFmtId="0" fontId="12" fillId="4" borderId="7" xfId="0" applyFont="1" applyFill="1" applyBorder="1" applyAlignment="1">
      <alignment indent="1"/>
    </xf>
    <xf numFmtId="3" fontId="12" fillId="4" borderId="0" xfId="0" applyNumberFormat="1" applyFont="1" applyFill="1" applyAlignment="1">
      <alignment horizontal="center"/>
    </xf>
    <xf numFmtId="3" fontId="12" fillId="5" borderId="0" xfId="0" applyNumberFormat="1" applyFont="1" applyFill="1" applyAlignment="1">
      <alignment horizontal="center"/>
    </xf>
    <xf numFmtId="3" fontId="12" fillId="5" borderId="3" xfId="0" applyNumberFormat="1" applyFont="1" applyFill="1" applyBorder="1" applyAlignment="1">
      <alignment horizontal="center"/>
    </xf>
    <xf numFmtId="169" fontId="12" fillId="4" borderId="0" xfId="0" applyNumberFormat="1" applyFont="1" applyFill="1" applyAlignment="1">
      <alignment horizontal="right"/>
    </xf>
    <xf numFmtId="170" fontId="12" fillId="5" borderId="0" xfId="0" applyNumberFormat="1" applyFont="1" applyFill="1" applyAlignment="1">
      <alignment horizontal="right"/>
    </xf>
    <xf numFmtId="170" fontId="12" fillId="4" borderId="0" xfId="0" applyNumberFormat="1" applyFont="1" applyFill="1" applyAlignment="1">
      <alignment horizontal="right"/>
    </xf>
    <xf numFmtId="169" fontId="12" fillId="5" borderId="3" xfId="0" applyNumberFormat="1" applyFont="1" applyFill="1" applyBorder="1" applyAlignment="1">
      <alignment horizontal="right"/>
    </xf>
    <xf numFmtId="168" fontId="16" fillId="4" borderId="0" xfId="0" applyNumberFormat="1" applyFont="1" applyFill="1" applyAlignment="1">
      <alignment horizontal="right"/>
    </xf>
    <xf numFmtId="168" fontId="16" fillId="5" borderId="0" xfId="0" applyNumberFormat="1" applyFont="1" applyFill="1" applyAlignment="1">
      <alignment horizontal="right"/>
    </xf>
    <xf numFmtId="168" fontId="16" fillId="5" borderId="3" xfId="0" applyNumberFormat="1" applyFont="1" applyFill="1" applyBorder="1" applyAlignment="1">
      <alignment horizontal="right"/>
    </xf>
    <xf numFmtId="169" fontId="12" fillId="4" borderId="7" xfId="0" applyNumberFormat="1" applyFont="1" applyFill="1" applyBorder="1" applyAlignment="1">
      <alignment horizontal="right"/>
    </xf>
    <xf numFmtId="168" fontId="21" fillId="4" borderId="0" xfId="0" applyNumberFormat="1" applyFont="1" applyFill="1" applyAlignment="1">
      <alignment horizontal="right"/>
    </xf>
    <xf numFmtId="168" fontId="21" fillId="5" borderId="0" xfId="0" applyNumberFormat="1" applyFont="1" applyFill="1" applyAlignment="1">
      <alignment horizontal="right"/>
    </xf>
    <xf numFmtId="168" fontId="21" fillId="4" borderId="7" xfId="0" applyNumberFormat="1" applyFont="1" applyFill="1" applyBorder="1" applyAlignment="1">
      <alignment horizontal="right"/>
    </xf>
    <xf numFmtId="0" fontId="8" fillId="3" borderId="0" xfId="0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0" fontId="12" fillId="5" borderId="0" xfId="0" applyFont="1" applyFill="1" applyAlignment="1">
      <alignment horizontal="left" indent="1"/>
    </xf>
    <xf numFmtId="0" fontId="12" fillId="5" borderId="0" xfId="0" applyFont="1" applyFill="1" applyAlignment="1">
      <alignment horizontal="left"/>
    </xf>
    <xf numFmtId="0" fontId="22" fillId="4" borderId="0" xfId="0" applyFont="1" applyFill="1" applyAlignment="1">
      <alignment horizontal="center"/>
    </xf>
    <xf numFmtId="0" fontId="12" fillId="4" borderId="0" xfId="0" applyFont="1" applyFill="1" applyAlignment="1">
      <alignment horizontal="left" indent="1"/>
    </xf>
    <xf numFmtId="0" fontId="12" fillId="4" borderId="0" xfId="0" applyFont="1" applyFill="1" applyAlignment="1">
      <alignment horizontal="left"/>
    </xf>
    <xf numFmtId="0" fontId="22" fillId="4" borderId="3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left" indent="1"/>
    </xf>
    <xf numFmtId="0" fontId="12" fillId="4" borderId="3" xfId="0" applyFont="1" applyFill="1" applyBorder="1" applyAlignment="1">
      <alignment horizontal="left"/>
    </xf>
    <xf numFmtId="0" fontId="15" fillId="5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4" borderId="7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left" indent="1"/>
    </xf>
    <xf numFmtId="0" fontId="12" fillId="4" borderId="7" xfId="0" applyFont="1" applyFill="1" applyBorder="1" applyAlignment="1">
      <alignment horizontal="left"/>
    </xf>
    <xf numFmtId="172" fontId="12" fillId="5" borderId="0" xfId="0" applyNumberFormat="1" applyFont="1" applyFill="1" applyAlignment="1">
      <alignment horizontal="center"/>
    </xf>
    <xf numFmtId="172" fontId="12" fillId="4" borderId="0" xfId="0" applyNumberFormat="1" applyFont="1" applyFill="1" applyAlignment="1">
      <alignment horizontal="center"/>
    </xf>
    <xf numFmtId="172" fontId="12" fillId="4" borderId="3" xfId="0" applyNumberFormat="1" applyFont="1" applyFill="1" applyBorder="1" applyAlignment="1">
      <alignment horizontal="center"/>
    </xf>
    <xf numFmtId="172" fontId="12" fillId="4" borderId="7" xfId="0" applyNumberFormat="1" applyFont="1" applyFill="1" applyBorder="1" applyAlignment="1">
      <alignment horizontal="center"/>
    </xf>
    <xf numFmtId="3" fontId="13" fillId="5" borderId="0" xfId="0" applyNumberFormat="1" applyFont="1" applyFill="1" applyAlignment="1">
      <alignment horizontal="center"/>
    </xf>
    <xf numFmtId="3" fontId="13" fillId="4" borderId="0" xfId="0" applyNumberFormat="1" applyFont="1" applyFill="1" applyAlignment="1">
      <alignment horizontal="center"/>
    </xf>
    <xf numFmtId="3" fontId="13" fillId="4" borderId="3" xfId="0" applyNumberFormat="1" applyFont="1" applyFill="1" applyBorder="1" applyAlignment="1">
      <alignment horizontal="center"/>
    </xf>
    <xf numFmtId="3" fontId="12" fillId="4" borderId="7" xfId="0" applyNumberFormat="1" applyFont="1" applyFill="1" applyBorder="1" applyAlignment="1">
      <alignment horizontal="center"/>
    </xf>
    <xf numFmtId="168" fontId="16" fillId="4" borderId="3" xfId="0" applyNumberFormat="1" applyFont="1" applyFill="1" applyBorder="1" applyAlignment="1">
      <alignment horizontal="right"/>
    </xf>
    <xf numFmtId="168" fontId="16" fillId="4" borderId="7" xfId="0" applyNumberFormat="1" applyFont="1" applyFill="1" applyBorder="1" applyAlignment="1">
      <alignment horizontal="right"/>
    </xf>
    <xf numFmtId="169" fontId="22" fillId="5" borderId="0" xfId="0" applyNumberFormat="1" applyFont="1" applyFill="1" applyAlignment="1">
      <alignment horizontal="right"/>
    </xf>
    <xf numFmtId="170" fontId="22" fillId="4" borderId="0" xfId="0" applyNumberFormat="1" applyFont="1" applyFill="1" applyAlignment="1">
      <alignment horizontal="right"/>
    </xf>
    <xf numFmtId="170" fontId="22" fillId="5" borderId="0" xfId="0" applyNumberFormat="1" applyFont="1" applyFill="1" applyAlignment="1">
      <alignment horizontal="right"/>
    </xf>
    <xf numFmtId="170" fontId="22" fillId="4" borderId="3" xfId="0" applyNumberFormat="1" applyFont="1" applyFill="1" applyBorder="1" applyAlignment="1">
      <alignment horizontal="right"/>
    </xf>
    <xf numFmtId="170" fontId="14" fillId="5" borderId="0" xfId="0" applyNumberFormat="1" applyFont="1" applyFill="1" applyAlignment="1">
      <alignment horizontal="right"/>
    </xf>
    <xf numFmtId="170" fontId="14" fillId="4" borderId="0" xfId="0" applyNumberFormat="1" applyFont="1" applyFill="1" applyAlignment="1">
      <alignment horizontal="right"/>
    </xf>
    <xf numFmtId="169" fontId="14" fillId="4" borderId="7" xfId="0" applyNumberFormat="1" applyFont="1" applyFill="1" applyBorder="1" applyAlignment="1">
      <alignment horizontal="right"/>
    </xf>
    <xf numFmtId="1" fontId="22" fillId="5" borderId="0" xfId="0" applyNumberFormat="1" applyFont="1" applyFill="1" applyAlignment="1">
      <alignment horizontal="center"/>
    </xf>
    <xf numFmtId="1" fontId="22" fillId="4" borderId="0" xfId="0" applyNumberFormat="1" applyFont="1" applyFill="1" applyAlignment="1">
      <alignment horizontal="center"/>
    </xf>
    <xf numFmtId="1" fontId="22" fillId="4" borderId="3" xfId="0" applyNumberFormat="1" applyFont="1" applyFill="1" applyBorder="1" applyAlignment="1">
      <alignment horizontal="center"/>
    </xf>
    <xf numFmtId="1" fontId="15" fillId="5" borderId="0" xfId="0" applyNumberFormat="1" applyFont="1" applyFill="1" applyAlignment="1">
      <alignment horizontal="center"/>
    </xf>
    <xf numFmtId="1" fontId="15" fillId="4" borderId="0" xfId="0" applyNumberFormat="1" applyFont="1" applyFill="1" applyAlignment="1">
      <alignment horizontal="center"/>
    </xf>
    <xf numFmtId="1" fontId="15" fillId="4" borderId="7" xfId="0" applyNumberFormat="1" applyFont="1" applyFill="1" applyBorder="1" applyAlignment="1">
      <alignment horizontal="center"/>
    </xf>
    <xf numFmtId="0" fontId="12" fillId="4" borderId="9" xfId="0" applyFont="1" applyFill="1" applyBorder="1" applyAlignment="1">
      <alignment horizontal="left" indent="1"/>
    </xf>
    <xf numFmtId="168" fontId="16" fillId="4" borderId="9" xfId="0" applyNumberFormat="1" applyFont="1" applyFill="1" applyBorder="1" applyAlignment="1">
      <alignment horizontal="right"/>
    </xf>
    <xf numFmtId="169" fontId="12" fillId="5" borderId="0" xfId="0" applyNumberFormat="1" applyFont="1" applyFill="1" applyAlignment="1">
      <alignment horizontal="right"/>
    </xf>
    <xf numFmtId="169" fontId="12" fillId="4" borderId="9" xfId="0" applyNumberFormat="1" applyFont="1" applyFill="1" applyBorder="1" applyAlignment="1">
      <alignment horizontal="right"/>
    </xf>
    <xf numFmtId="173" fontId="12" fillId="5" borderId="0" xfId="0" applyNumberFormat="1" applyFont="1" applyFill="1" applyAlignment="1">
      <alignment horizontal="right"/>
    </xf>
    <xf numFmtId="173" fontId="12" fillId="4" borderId="9" xfId="0" applyNumberFormat="1" applyFont="1" applyFill="1" applyBorder="1" applyAlignment="1">
      <alignment horizontal="right"/>
    </xf>
    <xf numFmtId="169" fontId="14" fillId="5" borderId="0" xfId="0" applyNumberFormat="1" applyFont="1" applyFill="1" applyAlignment="1">
      <alignment horizontal="right"/>
    </xf>
    <xf numFmtId="169" fontId="14" fillId="4" borderId="9" xfId="0" applyNumberFormat="1" applyFont="1" applyFill="1" applyBorder="1" applyAlignment="1">
      <alignment horizontal="right"/>
    </xf>
    <xf numFmtId="0" fontId="15" fillId="7" borderId="8" xfId="0" applyFont="1" applyFill="1" applyBorder="1" applyAlignment="1">
      <alignment horizontal="left" indent="1"/>
    </xf>
    <xf numFmtId="168" fontId="16" fillId="7" borderId="8" xfId="0" applyNumberFormat="1" applyFont="1" applyFill="1" applyBorder="1" applyAlignment="1">
      <alignment horizontal="right"/>
    </xf>
    <xf numFmtId="169" fontId="12" fillId="7" borderId="8" xfId="0" applyNumberFormat="1" applyFont="1" applyFill="1" applyBorder="1" applyAlignment="1">
      <alignment horizontal="right"/>
    </xf>
    <xf numFmtId="173" fontId="12" fillId="7" borderId="8" xfId="0" applyNumberFormat="1" applyFont="1" applyFill="1" applyBorder="1" applyAlignment="1">
      <alignment horizontal="right"/>
    </xf>
    <xf numFmtId="169" fontId="15" fillId="7" borderId="8" xfId="0" applyNumberFormat="1" applyFont="1" applyFill="1" applyBorder="1" applyAlignment="1">
      <alignment horizontal="right"/>
    </xf>
    <xf numFmtId="0" fontId="12" fillId="5" borderId="3" xfId="0" applyFont="1" applyFill="1" applyBorder="1" applyAlignment="1">
      <alignment horizontal="left" indent="1"/>
    </xf>
    <xf numFmtId="168" fontId="25" fillId="5" borderId="0" xfId="0" applyNumberFormat="1" applyFont="1" applyFill="1" applyAlignment="1">
      <alignment horizontal="right"/>
    </xf>
    <xf numFmtId="168" fontId="25" fillId="4" borderId="3" xfId="0" applyNumberFormat="1" applyFont="1" applyFill="1" applyBorder="1" applyAlignment="1">
      <alignment horizontal="right"/>
    </xf>
    <xf numFmtId="170" fontId="23" fillId="5" borderId="0" xfId="0" applyNumberFormat="1" applyFont="1" applyFill="1" applyAlignment="1">
      <alignment horizontal="right"/>
    </xf>
    <xf numFmtId="170" fontId="12" fillId="5" borderId="3" xfId="0" applyNumberFormat="1" applyFont="1" applyFill="1" applyBorder="1" applyAlignment="1">
      <alignment horizontal="right"/>
    </xf>
    <xf numFmtId="170" fontId="23" fillId="5" borderId="3" xfId="0" applyNumberFormat="1" applyFont="1" applyFill="1" applyBorder="1" applyAlignment="1">
      <alignment horizontal="right"/>
    </xf>
    <xf numFmtId="173" fontId="12" fillId="4" borderId="0" xfId="0" applyNumberFormat="1" applyFont="1" applyFill="1" applyAlignment="1">
      <alignment horizontal="right"/>
    </xf>
    <xf numFmtId="0" fontId="24" fillId="2" borderId="10" xfId="0" applyFont="1" applyFill="1" applyBorder="1" applyAlignment="1">
      <alignment horizontal="left" indent="1"/>
    </xf>
    <xf numFmtId="169" fontId="24" fillId="2" borderId="10" xfId="0" applyNumberFormat="1" applyFont="1" applyFill="1" applyBorder="1" applyAlignment="1">
      <alignment horizontal="right"/>
    </xf>
    <xf numFmtId="169" fontId="15" fillId="2" borderId="10" xfId="0" applyNumberFormat="1" applyFont="1" applyFill="1" applyBorder="1" applyAlignment="1">
      <alignment horizontal="right"/>
    </xf>
    <xf numFmtId="169" fontId="22" fillId="2" borderId="10" xfId="0" applyNumberFormat="1" applyFont="1" applyFill="1" applyBorder="1" applyAlignment="1">
      <alignment horizontal="right"/>
    </xf>
    <xf numFmtId="0" fontId="10" fillId="5" borderId="0" xfId="0" applyFont="1" applyFill="1"/>
    <xf numFmtId="0" fontId="10" fillId="5" borderId="3" xfId="0" applyFont="1" applyFill="1" applyBorder="1"/>
    <xf numFmtId="0" fontId="2" fillId="5" borderId="0" xfId="0" applyFont="1" applyFill="1" applyAlignment="1">
      <alignment horizontal="left" indent="1"/>
    </xf>
    <xf numFmtId="0" fontId="8" fillId="6" borderId="0" xfId="0" applyFont="1" applyFill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left"/>
    </xf>
    <xf numFmtId="174" fontId="26" fillId="5" borderId="0" xfId="0" applyNumberFormat="1" applyFont="1" applyFill="1" applyAlignment="1">
      <alignment horizontal="left" indent="1"/>
    </xf>
    <xf numFmtId="168" fontId="26" fillId="5" borderId="0" xfId="0" applyNumberFormat="1" applyFont="1" applyFill="1" applyAlignment="1">
      <alignment horizontal="left" indent="1"/>
    </xf>
    <xf numFmtId="172" fontId="12" fillId="4" borderId="0" xfId="0" applyNumberFormat="1" applyFont="1" applyFill="1" applyAlignment="1">
      <alignment horizontal="left"/>
    </xf>
    <xf numFmtId="172" fontId="12" fillId="5" borderId="0" xfId="0" applyNumberFormat="1" applyFont="1" applyFill="1" applyAlignment="1">
      <alignment horizontal="left"/>
    </xf>
    <xf numFmtId="172" fontId="12" fillId="5" borderId="3" xfId="0" applyNumberFormat="1" applyFont="1" applyFill="1" applyBorder="1" applyAlignment="1">
      <alignment horizontal="left"/>
    </xf>
    <xf numFmtId="3" fontId="12" fillId="4" borderId="0" xfId="0" applyNumberFormat="1" applyFont="1" applyFill="1" applyAlignment="1">
      <alignment horizontal="right"/>
    </xf>
    <xf numFmtId="3" fontId="12" fillId="5" borderId="0" xfId="0" applyNumberFormat="1" applyFont="1" applyFill="1" applyAlignment="1">
      <alignment horizontal="right"/>
    </xf>
    <xf numFmtId="3" fontId="12" fillId="5" borderId="3" xfId="0" applyNumberFormat="1" applyFont="1" applyFill="1" applyBorder="1" applyAlignment="1">
      <alignment horizontal="right"/>
    </xf>
    <xf numFmtId="0" fontId="12" fillId="4" borderId="1" xfId="0" applyFont="1" applyFill="1" applyBorder="1" applyAlignment="1">
      <alignment horizontal="left" indent="1"/>
    </xf>
    <xf numFmtId="0" fontId="12" fillId="4" borderId="4" xfId="0" applyFont="1" applyFill="1" applyBorder="1" applyAlignment="1">
      <alignment horizontal="left" indent="1"/>
    </xf>
    <xf numFmtId="175" fontId="27" fillId="5" borderId="1" xfId="0" applyNumberFormat="1" applyFont="1" applyFill="1" applyBorder="1" applyAlignment="1">
      <alignment horizontal="right"/>
    </xf>
    <xf numFmtId="175" fontId="27" fillId="5" borderId="4" xfId="0" applyNumberFormat="1" applyFont="1" applyFill="1" applyBorder="1" applyAlignment="1">
      <alignment horizontal="right"/>
    </xf>
    <xf numFmtId="168" fontId="27" fillId="5" borderId="4" xfId="0" applyNumberFormat="1" applyFont="1" applyFill="1" applyBorder="1" applyAlignment="1">
      <alignment horizontal="right"/>
    </xf>
    <xf numFmtId="173" fontId="27" fillId="5" borderId="4" xfId="0" applyNumberFormat="1" applyFont="1" applyFill="1" applyBorder="1" applyAlignment="1">
      <alignment horizontal="right"/>
    </xf>
    <xf numFmtId="3" fontId="27" fillId="5" borderId="4" xfId="0" applyNumberFormat="1" applyFont="1" applyFill="1" applyBorder="1" applyAlignment="1">
      <alignment horizontal="right"/>
    </xf>
    <xf numFmtId="176" fontId="12" fillId="5" borderId="0" xfId="0" applyNumberFormat="1" applyFont="1" applyFill="1" applyAlignment="1">
      <alignment horizontal="left" indent="1"/>
    </xf>
    <xf numFmtId="176" fontId="12" fillId="4" borderId="0" xfId="0" applyNumberFormat="1" applyFont="1" applyFill="1" applyAlignment="1">
      <alignment horizontal="left" indent="1"/>
    </xf>
    <xf numFmtId="0" fontId="15" fillId="4" borderId="3" xfId="0" applyFont="1" applyFill="1" applyBorder="1" applyAlignment="1">
      <alignment horizontal="center"/>
    </xf>
    <xf numFmtId="0" fontId="12" fillId="4" borderId="3" xfId="0" applyFont="1" applyFill="1" applyBorder="1" applyAlignment="1">
      <alignment indent="1"/>
    </xf>
    <xf numFmtId="0" fontId="11" fillId="5" borderId="0" xfId="0" applyFont="1" applyFill="1" applyAlignment="1">
      <alignment indent="1"/>
    </xf>
    <xf numFmtId="0" fontId="11" fillId="4" borderId="0" xfId="0" applyFont="1" applyFill="1" applyAlignment="1">
      <alignment indent="1"/>
    </xf>
    <xf numFmtId="0" fontId="12" fillId="5" borderId="7" xfId="0" applyFont="1" applyFill="1" applyBorder="1" applyAlignment="1">
      <alignment indent="1"/>
    </xf>
    <xf numFmtId="0" fontId="11" fillId="5" borderId="7" xfId="0" applyFont="1" applyFill="1" applyBorder="1" applyAlignment="1">
      <alignment indent="1"/>
    </xf>
    <xf numFmtId="0" fontId="4" fillId="5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left" indent="1"/>
    </xf>
    <xf numFmtId="0" fontId="4" fillId="5" borderId="7" xfId="0" applyFont="1" applyFill="1" applyBorder="1" applyAlignment="1">
      <alignment horizontal="left"/>
    </xf>
    <xf numFmtId="176" fontId="4" fillId="4" borderId="0" xfId="0" applyNumberFormat="1" applyFont="1" applyFill="1" applyAlignment="1">
      <alignment horizontal="center"/>
    </xf>
    <xf numFmtId="176" fontId="4" fillId="5" borderId="0" xfId="0" applyNumberFormat="1" applyFont="1" applyFill="1" applyAlignment="1">
      <alignment horizontal="center"/>
    </xf>
    <xf numFmtId="176" fontId="4" fillId="5" borderId="7" xfId="0" applyNumberFormat="1" applyFont="1" applyFill="1" applyBorder="1" applyAlignment="1">
      <alignment horizontal="center"/>
    </xf>
    <xf numFmtId="170" fontId="4" fillId="4" borderId="0" xfId="0" applyNumberFormat="1" applyFont="1" applyFill="1" applyAlignment="1">
      <alignment horizontal="right"/>
    </xf>
    <xf numFmtId="170" fontId="4" fillId="5" borderId="0" xfId="0" applyNumberFormat="1" applyFont="1" applyFill="1" applyAlignment="1">
      <alignment horizontal="right"/>
    </xf>
    <xf numFmtId="170" fontId="4" fillId="5" borderId="7" xfId="0" applyNumberFormat="1" applyFont="1" applyFill="1" applyBorder="1" applyAlignment="1">
      <alignment horizontal="right"/>
    </xf>
    <xf numFmtId="168" fontId="28" fillId="4" borderId="0" xfId="0" applyNumberFormat="1" applyFont="1" applyFill="1" applyAlignment="1">
      <alignment horizontal="right"/>
    </xf>
    <xf numFmtId="168" fontId="28" fillId="5" borderId="0" xfId="0" applyNumberFormat="1" applyFont="1" applyFill="1" applyAlignment="1">
      <alignment horizontal="right"/>
    </xf>
    <xf numFmtId="168" fontId="28" fillId="5" borderId="7" xfId="0" applyNumberFormat="1" applyFont="1" applyFill="1" applyBorder="1" applyAlignment="1">
      <alignment horizontal="right"/>
    </xf>
    <xf numFmtId="172" fontId="4" fillId="4" borderId="0" xfId="0" applyNumberFormat="1" applyFont="1" applyFill="1" applyAlignment="1">
      <alignment horizontal="center"/>
    </xf>
    <xf numFmtId="172" fontId="4" fillId="5" borderId="0" xfId="0" applyNumberFormat="1" applyFont="1" applyFill="1" applyAlignment="1">
      <alignment horizontal="center"/>
    </xf>
    <xf numFmtId="172" fontId="4" fillId="5" borderId="7" xfId="0" applyNumberFormat="1" applyFont="1" applyFill="1" applyBorder="1" applyAlignment="1">
      <alignment horizontal="center"/>
    </xf>
    <xf numFmtId="3" fontId="4" fillId="4" borderId="0" xfId="0" applyNumberFormat="1" applyFont="1" applyFill="1" applyAlignment="1">
      <alignment horizontal="center"/>
    </xf>
    <xf numFmtId="3" fontId="4" fillId="5" borderId="0" xfId="0" applyNumberFormat="1" applyFont="1" applyFill="1" applyAlignment="1">
      <alignment horizontal="center"/>
    </xf>
    <xf numFmtId="3" fontId="4" fillId="5" borderId="7" xfId="0" applyNumberFormat="1" applyFont="1" applyFill="1" applyBorder="1" applyAlignment="1">
      <alignment horizontal="center"/>
    </xf>
    <xf numFmtId="177" fontId="4" fillId="4" borderId="0" xfId="0" applyNumberFormat="1" applyFont="1" applyFill="1" applyAlignment="1">
      <alignment horizontal="right"/>
    </xf>
    <xf numFmtId="177" fontId="4" fillId="5" borderId="0" xfId="0" applyNumberFormat="1" applyFont="1" applyFill="1" applyAlignment="1">
      <alignment horizontal="right"/>
    </xf>
    <xf numFmtId="177" fontId="4" fillId="5" borderId="7" xfId="0" applyNumberFormat="1" applyFont="1" applyFill="1" applyBorder="1" applyAlignment="1">
      <alignment horizontal="right"/>
    </xf>
    <xf numFmtId="168" fontId="29" fillId="5" borderId="4" xfId="0" applyNumberFormat="1" applyFont="1" applyFill="1" applyBorder="1" applyAlignment="1">
      <alignment horizontal="right"/>
    </xf>
    <xf numFmtId="3" fontId="9" fillId="5" borderId="4" xfId="0" applyNumberFormat="1" applyFont="1" applyFill="1" applyBorder="1" applyAlignment="1">
      <alignment horizontal="right"/>
    </xf>
    <xf numFmtId="3" fontId="9" fillId="5" borderId="5" xfId="0" applyNumberFormat="1" applyFont="1" applyFill="1" applyBorder="1" applyAlignment="1">
      <alignment horizontal="right"/>
    </xf>
    <xf numFmtId="169" fontId="5" fillId="2" borderId="6" xfId="0" applyNumberFormat="1" applyFont="1" applyFill="1" applyBorder="1" applyAlignment="1">
      <alignment horizontal="right"/>
    </xf>
    <xf numFmtId="170" fontId="5" fillId="2" borderId="6" xfId="0" applyNumberFormat="1" applyFont="1" applyFill="1" applyBorder="1" applyAlignment="1">
      <alignment horizontal="right"/>
    </xf>
    <xf numFmtId="168" fontId="30" fillId="2" borderId="6" xfId="0" applyNumberFormat="1" applyFont="1" applyFill="1" applyBorder="1" applyAlignment="1">
      <alignment horizontal="right"/>
    </xf>
    <xf numFmtId="0" fontId="10" fillId="8" borderId="0" xfId="0" applyFont="1" applyFill="1"/>
    <xf numFmtId="0" fontId="0" fillId="8" borderId="0" xfId="0" applyFill="1"/>
    <xf numFmtId="0" fontId="1" fillId="8" borderId="0" xfId="0" applyFont="1" applyFill="1"/>
    <xf numFmtId="0" fontId="10" fillId="8" borderId="2" xfId="0" applyFont="1" applyFill="1" applyBorder="1"/>
    <xf numFmtId="0" fontId="0" fillId="8" borderId="2" xfId="0" applyFill="1" applyBorder="1"/>
  </cellXfs>
  <cellStyles count="1">
    <cellStyle name="Normal" xfId="0" builtinId="0"/>
  </cellStyles>
  <dxfs count="36">
    <dxf>
      <font>
        <sz val="9"/>
        <name val="Calibri"/>
      </font>
      <numFmt numFmtId="177" formatCode="#,##0.0"/>
    </dxf>
    <dxf>
      <font>
        <sz val="9"/>
        <name val="Calibri"/>
      </font>
      <numFmt numFmtId="3" formatCode="#,##0"/>
    </dxf>
    <dxf>
      <font>
        <i/>
        <sz val="9"/>
        <name val="Calibri"/>
      </font>
      <numFmt numFmtId="168" formatCode="0.0%"/>
    </dxf>
    <dxf>
      <font>
        <sz val="9"/>
        <name val="Calibri"/>
      </font>
      <numFmt numFmtId="3" formatCode="#,##0"/>
    </dxf>
    <dxf>
      <font>
        <sz val="9"/>
        <name val="Calibri"/>
      </font>
      <numFmt numFmtId="172" formatCode="mm/dd/yy"/>
    </dxf>
    <dxf>
      <font>
        <i/>
        <sz val="9"/>
        <name val="Calibri"/>
      </font>
      <numFmt numFmtId="168" formatCode="0.0%"/>
    </dxf>
    <dxf>
      <font>
        <i/>
        <sz val="9"/>
        <name val="Calibri"/>
      </font>
      <numFmt numFmtId="168" formatCode="0.0%"/>
    </dxf>
    <dxf>
      <font>
        <sz val="9"/>
        <name val="Calibri"/>
      </font>
      <numFmt numFmtId="170" formatCode="#,##0;\(#,##0\);\-"/>
    </dxf>
    <dxf>
      <font>
        <sz val="9"/>
        <name val="Calibri"/>
      </font>
      <numFmt numFmtId="170" formatCode="#,##0;\(#,##0\);\-"/>
    </dxf>
    <dxf>
      <font>
        <sz val="9"/>
        <name val="Calibri"/>
      </font>
      <numFmt numFmtId="170" formatCode="#,##0;\(#,##0\);\-"/>
    </dxf>
    <dxf>
      <font>
        <sz val="9"/>
        <name val="Calibri"/>
      </font>
      <numFmt numFmtId="170" formatCode="#,##0;\(#,##0\);\-"/>
    </dxf>
    <dxf>
      <font>
        <sz val="9"/>
        <name val="Calibri"/>
      </font>
      <numFmt numFmtId="170" formatCode="#,##0;\(#,##0\);\-"/>
    </dxf>
    <dxf>
      <font>
        <sz val="9"/>
        <name val="Calibri"/>
      </font>
      <numFmt numFmtId="170" formatCode="#,##0;\(#,##0\);\-"/>
    </dxf>
    <dxf>
      <font>
        <sz val="9"/>
        <name val="Calibri"/>
      </font>
      <numFmt numFmtId="170" formatCode="#,##0;\(#,##0\);\-"/>
    </dxf>
    <dxf>
      <font>
        <sz val="9"/>
        <name val="Calibri"/>
      </font>
      <numFmt numFmtId="176" formatCode="mmm\ yyyy"/>
    </dxf>
    <dxf>
      <font>
        <b/>
        <sz val="9"/>
        <color rgb="FFF4EFE6"/>
        <name val="Calibri"/>
      </font>
      <fill>
        <patternFill patternType="solid">
          <fgColor indexed="64"/>
          <bgColor rgb="FF161413"/>
        </patternFill>
      </fill>
      <alignment horizontal="center" wrapText="0"/>
    </dxf>
    <dxf>
      <font>
        <sz val="9"/>
        <name val="Calibri"/>
      </font>
    </dxf>
    <dxf>
      <font>
        <sz val="9"/>
        <name val="Calibri"/>
      </font>
    </dxf>
    <dxf>
      <font>
        <sz val="9"/>
        <name val="Calibri"/>
      </font>
    </dxf>
    <dxf>
      <font>
        <sz val="9"/>
        <name val="Calibri"/>
      </font>
    </dxf>
    <dxf>
      <font>
        <sz val="9"/>
        <name val="Calibri"/>
      </font>
    </dxf>
    <dxf>
      <font>
        <sz val="9"/>
        <name val="Calibri"/>
      </font>
    </dxf>
    <dxf>
      <font>
        <sz val="9"/>
        <name val="Calibri"/>
      </font>
    </dxf>
    <dxf>
      <font>
        <sz val="9"/>
        <name val="Calibri"/>
      </font>
    </dxf>
    <dxf>
      <font>
        <sz val="9"/>
        <name val="Calibri"/>
      </font>
    </dxf>
    <dxf>
      <font>
        <sz val="9"/>
        <name val="Calibri"/>
      </font>
    </dxf>
    <dxf>
      <font>
        <sz val="9"/>
        <name val="Calibri"/>
      </font>
    </dxf>
    <dxf>
      <font>
        <sz val="9"/>
        <name val="Calibri"/>
      </font>
    </dxf>
    <dxf>
      <font>
        <b/>
        <sz val="9"/>
        <color rgb="FFF4EFE6"/>
        <name val="Calibri"/>
      </font>
      <fill>
        <patternFill patternType="solid">
          <fgColor indexed="64"/>
          <bgColor rgb="FF161413"/>
        </patternFill>
      </fill>
      <alignment horizontal="right"/>
    </dxf>
    <dxf>
      <font>
        <b/>
        <i val="0"/>
        <color rgb="FFB8862F"/>
      </font>
    </dxf>
    <dxf>
      <font>
        <b/>
        <i val="0"/>
        <color rgb="FF7A2E1F"/>
      </font>
    </dxf>
    <dxf>
      <font>
        <b/>
        <i val="0"/>
        <color rgb="FFB8862F"/>
      </font>
    </dxf>
    <dxf>
      <font>
        <b/>
        <i val="0"/>
        <color rgb="FF7A2E1F"/>
      </font>
    </dxf>
    <dxf>
      <font>
        <color rgb="FF161413"/>
      </font>
      <fill>
        <patternFill patternType="solid">
          <bgColor rgb="FFFBF8F2"/>
        </patternFill>
      </fill>
    </dxf>
    <dxf>
      <font>
        <color rgb="FFB8862F"/>
      </font>
      <fill>
        <patternFill patternType="solid">
          <bgColor rgb="FFF4EFE6"/>
        </patternFill>
      </fill>
    </dxf>
    <dxf>
      <font>
        <color rgb="FF7A2E1F"/>
      </font>
      <fill>
        <patternFill patternType="solid">
          <bgColor rgb="FFF1E4DC"/>
        </patternFill>
      </fill>
    </dxf>
  </dxfs>
  <tableStyles count="0" defaultTableStyle="TableStyleMedium2" defaultPivotStyle="PivotStyleLight16"/>
  <colors>
    <mruColors>
      <color rgb="FFF4E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ARR Bridge</c:v>
          </c:tx>
          <c:invertIfNegative val="1"/>
          <c:cat>
            <c:strRef>
              <c:f>NRR_Bridge!$A$5:$A$9</c:f>
              <c:strCache>
                <c:ptCount val="5"/>
                <c:pt idx="0">
                  <c:v>Beginning ARR</c:v>
                </c:pt>
                <c:pt idx="1">
                  <c:v>Expansion</c:v>
                </c:pt>
                <c:pt idx="2">
                  <c:v>Contraction</c:v>
                </c:pt>
                <c:pt idx="3">
                  <c:v>Churned ARR</c:v>
                </c:pt>
                <c:pt idx="4">
                  <c:v>Ending ARR</c:v>
                </c:pt>
              </c:strCache>
            </c:strRef>
          </c:cat>
          <c:val>
            <c:numRef>
              <c:f>NRR_Bridge!$B$5:$B$9</c:f>
              <c:numCache>
                <c:formatCode>#,##0;\(#,##0\);\-</c:formatCode>
                <c:ptCount val="5"/>
                <c:pt idx="0" formatCode="&quot;$&quot;#,##0;\(&quot;$&quot;#,##0\);\-">
                  <c:v>6395000</c:v>
                </c:pt>
                <c:pt idx="1">
                  <c:v>216000</c:v>
                </c:pt>
                <c:pt idx="2">
                  <c:v>-78000</c:v>
                </c:pt>
                <c:pt idx="3">
                  <c:v>-707000</c:v>
                </c:pt>
                <c:pt idx="4" formatCode="&quot;$&quot;#,##0;\(&quot;$&quot;#,##0\);\-">
                  <c:v>5826000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5-3C40-8B5D-D79632292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$&quot;#,##0;\(&quot;$&quot;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NRR</c:v>
          </c:tx>
          <c:invertIfNegative val="1"/>
          <c:cat>
            <c:numRef>
              <c:f>Cohort_Retention!$A$5:$A$10</c:f>
              <c:numCache>
                <c:formatCode>mmm\ 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Cohort_Retention!$L$5:$L$10</c:f>
              <c:numCache>
                <c:formatCode>0.0%</c:formatCode>
                <c:ptCount val="6"/>
                <c:pt idx="0">
                  <c:v>1.0605285592497868</c:v>
                </c:pt>
                <c:pt idx="1">
                  <c:v>0.67811579980372916</c:v>
                </c:pt>
                <c:pt idx="2">
                  <c:v>1.0019230769230769</c:v>
                </c:pt>
                <c:pt idx="3">
                  <c:v>0.9453345900094251</c:v>
                </c:pt>
                <c:pt idx="4">
                  <c:v>0.8175725986597171</c:v>
                </c:pt>
                <c:pt idx="5">
                  <c:v>0.98550724637681164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E-DD41-B871-338C42324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 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ARR Bridge</c:v>
          </c:tx>
          <c:invertIfNegative val="1"/>
          <c:cat>
            <c:strRef>
              <c:f>NRR_Bridge!$A$5:$A$9</c:f>
              <c:strCache>
                <c:ptCount val="5"/>
                <c:pt idx="0">
                  <c:v>Beginning ARR</c:v>
                </c:pt>
                <c:pt idx="1">
                  <c:v>Expansion</c:v>
                </c:pt>
                <c:pt idx="2">
                  <c:v>Contraction</c:v>
                </c:pt>
                <c:pt idx="3">
                  <c:v>Churned ARR</c:v>
                </c:pt>
                <c:pt idx="4">
                  <c:v>Ending ARR</c:v>
                </c:pt>
              </c:strCache>
            </c:strRef>
          </c:cat>
          <c:val>
            <c:numRef>
              <c:f>NRR_Bridge!$B$5:$B$9</c:f>
              <c:numCache>
                <c:formatCode>#,##0;\(#,##0\);\-</c:formatCode>
                <c:ptCount val="5"/>
                <c:pt idx="0" formatCode="&quot;$&quot;#,##0;\(&quot;$&quot;#,##0\);\-">
                  <c:v>6395000</c:v>
                </c:pt>
                <c:pt idx="1">
                  <c:v>216000</c:v>
                </c:pt>
                <c:pt idx="2">
                  <c:v>-78000</c:v>
                </c:pt>
                <c:pt idx="3">
                  <c:v>-707000</c:v>
                </c:pt>
                <c:pt idx="4" formatCode="&quot;$&quot;#,##0;\(&quot;$&quot;#,##0\);\-">
                  <c:v>5826000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C-2144-9F59-4CA50BF8B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$&quot;#,##0;\(&quot;$&quot;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NRR</c:v>
          </c:tx>
          <c:invertIfNegative val="1"/>
          <c:cat>
            <c:strRef>
              <c:f>Churn_Analysis!$A$16:$A$18</c:f>
              <c:strCache>
                <c:ptCount val="3"/>
                <c:pt idx="0">
                  <c:v>Enterprise</c:v>
                </c:pt>
                <c:pt idx="1">
                  <c:v>Mid-Market</c:v>
                </c:pt>
                <c:pt idx="2">
                  <c:v>SMB</c:v>
                </c:pt>
              </c:strCache>
            </c:strRef>
          </c:cat>
          <c:val>
            <c:numRef>
              <c:f>Churn_Analysis!$H$16:$H$18</c:f>
              <c:numCache>
                <c:formatCode>0.0%</c:formatCode>
                <c:ptCount val="3"/>
                <c:pt idx="0">
                  <c:v>0.96575682382133998</c:v>
                </c:pt>
                <c:pt idx="1">
                  <c:v>0.83913043478260874</c:v>
                </c:pt>
                <c:pt idx="2">
                  <c:v>0.74285714285714288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5-EA43-9064-9F37EF3CF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EV Impact</c:v>
          </c:tx>
          <c:invertIfNegative val="1"/>
          <c:cat>
            <c:strRef>
              <c:f>Scenarios!$A$5:$A$7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Scenarios!$H$5:$H$7</c:f>
              <c:numCache>
                <c:formatCode>"$"#,##0;\("$"#,##0\);\-</c:formatCode>
                <c:ptCount val="3"/>
                <c:pt idx="0">
                  <c:v>1074360</c:v>
                </c:pt>
                <c:pt idx="1">
                  <c:v>2148720</c:v>
                </c:pt>
                <c:pt idx="2">
                  <c:v>3223080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8-634F-A924-CD1A68452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$&quot;#,##0;\(&quot;$&quot;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12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28</xdr:row>
      <xdr:rowOff>0</xdr:rowOff>
    </xdr:from>
    <xdr:to>
      <xdr:col>19</xdr:col>
      <xdr:colOff>0</xdr:colOff>
      <xdr:row>43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782320</xdr:colOff>
      <xdr:row>14</xdr:row>
      <xdr:rowOff>101600</xdr:rowOff>
    </xdr:from>
    <xdr:to>
      <xdr:col>27</xdr:col>
      <xdr:colOff>193040</xdr:colOff>
      <xdr:row>36</xdr:row>
      <xdr:rowOff>71120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13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11</xdr:row>
      <xdr:rowOff>152400</xdr:rowOff>
    </xdr:from>
    <xdr:to>
      <xdr:col>26</xdr:col>
      <xdr:colOff>76200</xdr:colOff>
      <xdr:row>27</xdr:row>
      <xdr:rowOff>152400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MRRData" displayName="CustomerMRRData" ref="A1:Y37" headerRowDxfId="15" dataDxfId="16" totalsRowDxfId="17">
  <tableColumns count="25">
    <tableColumn id="1" xr3:uid="{00000000-0010-0000-0000-000001000000}" name="Customer_ID" dataDxfId="27"/>
    <tableColumn id="2" xr3:uid="{00000000-0010-0000-0000-000002000000}" name="Customer" dataDxfId="26"/>
    <tableColumn id="3" xr3:uid="{00000000-0010-0000-0000-000003000000}" name="Cohort_Month" dataDxfId="14"/>
    <tableColumn id="4" xr3:uid="{00000000-0010-0000-0000-000004000000}" name="Segment" dataDxfId="25"/>
    <tableColumn id="5" xr3:uid="{00000000-0010-0000-0000-000005000000}" name="Industry" dataDxfId="24"/>
    <tableColumn id="6" xr3:uid="{00000000-0010-0000-0000-000006000000}" name="Region" dataDxfId="23"/>
    <tableColumn id="7" xr3:uid="{00000000-0010-0000-0000-000007000000}" name="CSM" dataDxfId="22"/>
    <tableColumn id="8" xr3:uid="{00000000-0010-0000-0000-000008000000}" name="Beginning_ARR_$" dataDxfId="13"/>
    <tableColumn id="9" xr3:uid="{00000000-0010-0000-0000-000009000000}" name="Ending_ARR_$" dataDxfId="12"/>
    <tableColumn id="10" xr3:uid="{00000000-0010-0000-0000-00000A000000}" name="Expansion_$" dataDxfId="11"/>
    <tableColumn id="11" xr3:uid="{00000000-0010-0000-0000-00000B000000}" name="Contraction_$" dataDxfId="10"/>
    <tableColumn id="12" xr3:uid="{00000000-0010-0000-0000-00000C000000}" name="Churned_ARR_$" dataDxfId="9"/>
    <tableColumn id="13" xr3:uid="{00000000-0010-0000-0000-00000D000000}" name="Gross_Retained_ARR_$" dataDxfId="8"/>
    <tableColumn id="14" xr3:uid="{00000000-0010-0000-0000-00000E000000}" name="Net_Retained_ARR_$" dataDxfId="7"/>
    <tableColumn id="15" xr3:uid="{00000000-0010-0000-0000-00000F000000}" name="GRR_%" dataDxfId="6"/>
    <tableColumn id="16" xr3:uid="{00000000-0010-0000-0000-000010000000}" name="NRR_%" dataDxfId="5"/>
    <tableColumn id="17" xr3:uid="{00000000-0010-0000-0000-000011000000}" name="Logo_Status" dataDxfId="21"/>
    <tableColumn id="18" xr3:uid="{00000000-0010-0000-0000-000012000000}" name="Churn_Reason" dataDxfId="20"/>
    <tableColumn id="19" xr3:uid="{00000000-0010-0000-0000-000013000000}" name="Renewal_Date" dataDxfId="4"/>
    <tableColumn id="20" xr3:uid="{00000000-0010-0000-0000-000014000000}" name="Health_Score" dataDxfId="3"/>
    <tableColumn id="21" xr3:uid="{00000000-0010-0000-0000-000015000000}" name="Usage_%" dataDxfId="2"/>
    <tableColumn id="22" xr3:uid="{00000000-0010-0000-0000-000016000000}" name="Support_Tickets" dataDxfId="1"/>
    <tableColumn id="23" xr3:uid="{00000000-0010-0000-0000-000017000000}" name="Renewal_Risk" dataDxfId="19"/>
    <tableColumn id="24" xr3:uid="{00000000-0010-0000-0000-000018000000}" name="Recommended_Action" dataDxfId="18"/>
    <tableColumn id="25" xr3:uid="{00000000-0010-0000-0000-000019000000}" name="Priority_Score" dataDxfId="0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hortRetention" displayName="CohortRetention" ref="A4:L11" headerRowDxfId="28">
  <tableColumns count="12">
    <tableColumn id="1" xr3:uid="{00000000-0010-0000-0100-000001000000}" name="Cohort"/>
    <tableColumn id="2" xr3:uid="{00000000-0010-0000-0100-000002000000}" name="Customer Count"/>
    <tableColumn id="3" xr3:uid="{00000000-0010-0000-0100-000003000000}" name="Beginning ARR"/>
    <tableColumn id="4" xr3:uid="{00000000-0010-0000-0100-000004000000}" name="Ending ARR"/>
    <tableColumn id="5" xr3:uid="{00000000-0010-0000-0100-000005000000}" name="Expansion"/>
    <tableColumn id="6" xr3:uid="{00000000-0010-0000-0100-000006000000}" name="Contraction"/>
    <tableColumn id="7" xr3:uid="{00000000-0010-0000-0100-000007000000}" name="Churned ARR"/>
    <tableColumn id="8" xr3:uid="{00000000-0010-0000-0100-000008000000}" name="Gross Retained ARR"/>
    <tableColumn id="9" xr3:uid="{00000000-0010-0000-0100-000009000000}" name="Net Retained ARR"/>
    <tableColumn id="10" xr3:uid="{00000000-0010-0000-0100-00000A000000}" name="Logo Retention %"/>
    <tableColumn id="11" xr3:uid="{00000000-0010-0000-0100-00000B000000}" name="GRR %"/>
    <tableColumn id="12" xr3:uid="{00000000-0010-0000-0100-00000C000000}" name="NRR %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054675-7B08-CA4B-8E90-BB53E5A8A07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55c2aa1-f83a-4a52-890c-76d69fd32b8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8862F"/>
  </sheetPr>
  <dimension ref="A1:Z200"/>
  <sheetViews>
    <sheetView showGridLines="0" showRowColHeaders="0" zoomScale="81" workbookViewId="0">
      <pane ySplit="3" topLeftCell="A4" activePane="bottomLeft" state="frozen"/>
      <selection pane="bottomLeft" activeCell="G31" sqref="G31"/>
    </sheetView>
  </sheetViews>
  <sheetFormatPr baseColWidth="10" defaultColWidth="8.83203125" defaultRowHeight="14"/>
  <cols>
    <col min="1" max="1" width="19.83203125" bestFit="1" customWidth="1"/>
    <col min="2" max="2" width="21.6640625" customWidth="1"/>
    <col min="3" max="3" width="15" customWidth="1"/>
    <col min="4" max="4" width="19.83203125" bestFit="1" customWidth="1"/>
    <col min="5" max="5" width="15" customWidth="1"/>
    <col min="6" max="6" width="10.83203125" customWidth="1"/>
    <col min="7" max="7" width="17" bestFit="1" customWidth="1"/>
    <col min="8" max="8" width="18.33203125" customWidth="1"/>
    <col min="9" max="9" width="10.83203125" customWidth="1"/>
    <col min="10" max="10" width="40" customWidth="1"/>
    <col min="11" max="26" width="0" hidden="1" customWidth="1"/>
  </cols>
  <sheetData>
    <row r="1" spans="1:26" ht="28" customHeight="1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34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" customHeight="1" thickBot="1">
      <c r="A3" s="32"/>
      <c r="B3" s="32"/>
      <c r="C3" s="32"/>
      <c r="D3" s="32"/>
      <c r="E3" s="32"/>
      <c r="F3" s="32"/>
      <c r="G3" s="32"/>
      <c r="H3" s="32"/>
      <c r="I3" s="32"/>
      <c r="J3" s="32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39" t="s">
        <v>2</v>
      </c>
      <c r="B4" s="10"/>
      <c r="C4" s="10"/>
      <c r="D4" s="139" t="s">
        <v>3</v>
      </c>
      <c r="E4" s="10"/>
      <c r="F4" s="10"/>
      <c r="G4" s="139" t="s">
        <v>4</v>
      </c>
      <c r="H4" s="10"/>
      <c r="I4" s="10"/>
      <c r="J4" s="139" t="s">
        <v>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">
      <c r="A5" s="143">
        <f>SUM(Customer_MRR_Data!$H:$H)</f>
        <v>6395000</v>
      </c>
      <c r="B5" s="11"/>
      <c r="C5" s="11"/>
      <c r="D5" s="143">
        <f>SUM(Customer_MRR_Data!$I:$I)</f>
        <v>5826000</v>
      </c>
      <c r="E5" s="11"/>
      <c r="F5" s="11"/>
      <c r="G5" s="144">
        <f>SUM(Customer_MRR_Data!$M:$M)/SUM(Customer_MRR_Data!$H:$H)</f>
        <v>0.87724784988272086</v>
      </c>
      <c r="H5" s="11"/>
      <c r="I5" s="11"/>
      <c r="J5" s="144">
        <f>SUM(Customer_MRR_Data!$N:$N)/SUM(Customer_MRR_Data!$H:$H)</f>
        <v>0.91102423768569196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9"/>
      <c r="L6" s="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8" customHeight="1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2"/>
      <c r="L7" s="1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39" t="s">
        <v>6</v>
      </c>
      <c r="B8" s="10"/>
      <c r="C8" s="10"/>
      <c r="D8" s="139" t="s">
        <v>7</v>
      </c>
      <c r="E8" s="10"/>
      <c r="F8" s="10"/>
      <c r="G8" s="139" t="s">
        <v>8</v>
      </c>
      <c r="H8" s="10"/>
      <c r="I8" s="10"/>
      <c r="J8" s="139" t="s">
        <v>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2" customHeight="1">
      <c r="A9" s="144">
        <f>COUNTIFS(Customer_MRR_Data!$Q:$Q,"Active")/COUNTA(Customer_MRR_Data!$A$2:$A$37)</f>
        <v>0.83333333333333337</v>
      </c>
      <c r="B9" s="11"/>
      <c r="C9" s="11"/>
      <c r="D9" s="143">
        <f>SUMIFS(Customer_MRR_Data!$H:$H,Customer_MRR_Data!$W:$W,"High")</f>
        <v>924000</v>
      </c>
      <c r="E9" s="11"/>
      <c r="F9" s="11"/>
      <c r="G9" s="143">
        <f>SUM(Customer_MRR_Data!$L:$L)</f>
        <v>707000</v>
      </c>
      <c r="H9" s="11"/>
      <c r="I9" s="11"/>
      <c r="J9" s="143">
        <f>Scenarios!H6</f>
        <v>2148720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8" customHeight="1">
      <c r="A10" s="137"/>
      <c r="B10" s="137"/>
      <c r="C10" s="137"/>
      <c r="D10" s="137"/>
      <c r="E10" s="137"/>
      <c r="F10" s="137"/>
      <c r="G10" s="137"/>
      <c r="H10" s="137"/>
      <c r="I10" s="137"/>
      <c r="J10" s="137"/>
      <c r="K10" s="9"/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8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" customHeight="1">
      <c r="A12" s="52" t="s">
        <v>10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" customHeight="1">
      <c r="A13" s="140" t="s">
        <v>11</v>
      </c>
      <c r="B13" s="140" t="s">
        <v>12</v>
      </c>
      <c r="C13" s="140" t="s">
        <v>13</v>
      </c>
      <c r="D13" s="140" t="s">
        <v>14</v>
      </c>
      <c r="E13" s="140" t="s">
        <v>15</v>
      </c>
      <c r="F13" s="140" t="s">
        <v>16</v>
      </c>
      <c r="G13" s="140" t="s">
        <v>17</v>
      </c>
      <c r="H13" s="140" t="s">
        <v>18</v>
      </c>
      <c r="I13" s="140" t="s">
        <v>19</v>
      </c>
      <c r="J13" s="140" t="s">
        <v>20</v>
      </c>
      <c r="K13" s="5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customHeight="1">
      <c r="A14" s="86">
        <f>Renewal_Risk!A5</f>
        <v>1</v>
      </c>
      <c r="B14" s="81" t="str">
        <f ca="1">Renewal_Risk!B5</f>
        <v>Apex Claims</v>
      </c>
      <c r="C14" s="81" t="str">
        <f ca="1">Renewal_Risk!C5</f>
        <v>Mid-Market</v>
      </c>
      <c r="D14" s="81" t="str">
        <f ca="1">Renewal_Risk!D5</f>
        <v>Maya Singh</v>
      </c>
      <c r="E14" s="145">
        <f ca="1">Renewal_Risk!E5</f>
        <v>46231</v>
      </c>
      <c r="F14" s="148">
        <f ca="1">Renewal_Risk!F5</f>
        <v>52</v>
      </c>
      <c r="G14" s="68">
        <f ca="1">Renewal_Risk!G5</f>
        <v>0.41</v>
      </c>
      <c r="H14" s="64">
        <f ca="1">Renewal_Risk!H5</f>
        <v>132000</v>
      </c>
      <c r="I14" s="81" t="str">
        <f ca="1">Renewal_Risk!I5</f>
        <v>High</v>
      </c>
      <c r="J14" s="81" t="str">
        <f ca="1">Renewal_Risk!J5</f>
        <v>Executive save plan + adoption intervention</v>
      </c>
      <c r="K14" s="5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" customHeight="1">
      <c r="A15" s="85">
        <f>Renewal_Risk!A6</f>
        <v>2</v>
      </c>
      <c r="B15" s="78" t="str">
        <f ca="1">Renewal_Risk!B6</f>
        <v>Horizon Parts</v>
      </c>
      <c r="C15" s="78" t="str">
        <f ca="1">Renewal_Risk!C6</f>
        <v>Mid-Market</v>
      </c>
      <c r="D15" s="78" t="str">
        <f ca="1">Renewal_Risk!D6</f>
        <v>Nora Patel</v>
      </c>
      <c r="E15" s="146">
        <f ca="1">Renewal_Risk!E6</f>
        <v>46081</v>
      </c>
      <c r="F15" s="149">
        <f ca="1">Renewal_Risk!F6</f>
        <v>55</v>
      </c>
      <c r="G15" s="69">
        <f ca="1">Renewal_Risk!G6</f>
        <v>0.42</v>
      </c>
      <c r="H15" s="65">
        <f ca="1">Renewal_Risk!H6</f>
        <v>142000</v>
      </c>
      <c r="I15" s="78" t="str">
        <f ca="1">Renewal_Risk!I6</f>
        <v>High</v>
      </c>
      <c r="J15" s="78" t="str">
        <f ca="1">Renewal_Risk!J6</f>
        <v>Executive save plan + adoption intervention</v>
      </c>
      <c r="K15" s="5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customHeight="1">
      <c r="A16" s="86">
        <f>Renewal_Risk!A7</f>
        <v>3</v>
      </c>
      <c r="B16" s="81" t="str">
        <f ca="1">Renewal_Risk!B7</f>
        <v>Cedar Logistics</v>
      </c>
      <c r="C16" s="81" t="str">
        <f ca="1">Renewal_Risk!C7</f>
        <v>Enterprise</v>
      </c>
      <c r="D16" s="81" t="str">
        <f ca="1">Renewal_Risk!D7</f>
        <v>Jordan Chen</v>
      </c>
      <c r="E16" s="145">
        <f ca="1">Renewal_Risk!E7</f>
        <v>46241</v>
      </c>
      <c r="F16" s="148">
        <f ca="1">Renewal_Risk!F7</f>
        <v>61</v>
      </c>
      <c r="G16" s="68">
        <f ca="1">Renewal_Risk!G7</f>
        <v>0.49</v>
      </c>
      <c r="H16" s="66">
        <f ca="1">Renewal_Risk!H7</f>
        <v>310000</v>
      </c>
      <c r="I16" s="81" t="str">
        <f ca="1">Renewal_Risk!I7</f>
        <v>High</v>
      </c>
      <c r="J16" s="81" t="str">
        <f ca="1">Renewal_Risk!J7</f>
        <v>Executive save plan + adoption intervention</v>
      </c>
      <c r="K16" s="5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" customHeight="1">
      <c r="A17" s="85">
        <f>Renewal_Risk!A8</f>
        <v>4</v>
      </c>
      <c r="B17" s="78" t="str">
        <f ca="1">Renewal_Risk!B8</f>
        <v>Pioneer Freight</v>
      </c>
      <c r="C17" s="78" t="str">
        <f ca="1">Renewal_Risk!C8</f>
        <v>Enterprise</v>
      </c>
      <c r="D17" s="78" t="str">
        <f ca="1">Renewal_Risk!D8</f>
        <v>Nora Patel</v>
      </c>
      <c r="E17" s="146">
        <f ca="1">Renewal_Risk!E8</f>
        <v>46285</v>
      </c>
      <c r="F17" s="149">
        <f ca="1">Renewal_Risk!F8</f>
        <v>54</v>
      </c>
      <c r="G17" s="69">
        <f ca="1">Renewal_Risk!G8</f>
        <v>0.39</v>
      </c>
      <c r="H17" s="65">
        <f ca="1">Renewal_Risk!H8</f>
        <v>340000</v>
      </c>
      <c r="I17" s="78" t="str">
        <f ca="1">Renewal_Risk!I8</f>
        <v>High</v>
      </c>
      <c r="J17" s="78" t="str">
        <f ca="1">Renewal_Risk!J8</f>
        <v>Executive save plan + adoption intervention</v>
      </c>
      <c r="K17" s="5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customHeight="1">
      <c r="A18" s="86">
        <f>Renewal_Risk!A9</f>
        <v>5</v>
      </c>
      <c r="B18" s="81" t="str">
        <f ca="1">Renewal_Risk!B9</f>
        <v>Union Billing</v>
      </c>
      <c r="C18" s="81" t="str">
        <f ca="1">Renewal_Risk!C9</f>
        <v>SMB</v>
      </c>
      <c r="D18" s="81" t="str">
        <f ca="1">Renewal_Risk!D9</f>
        <v>Leo Park</v>
      </c>
      <c r="E18" s="145">
        <f ca="1">Renewal_Risk!E9</f>
        <v>46078</v>
      </c>
      <c r="F18" s="148">
        <f ca="1">Renewal_Risk!F9</f>
        <v>59</v>
      </c>
      <c r="G18" s="68">
        <f ca="1">Renewal_Risk!G9</f>
        <v>0.46</v>
      </c>
      <c r="H18" s="66">
        <f ca="1">Renewal_Risk!H9</f>
        <v>66000</v>
      </c>
      <c r="I18" s="81" t="str">
        <f ca="1">Renewal_Risk!I9</f>
        <v>Medium</v>
      </c>
      <c r="J18" s="81" t="str">
        <f ca="1">Renewal_Risk!J9</f>
        <v>CSM action plan before renewal</v>
      </c>
      <c r="K18" s="5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" customHeight="1">
      <c r="A19" s="85">
        <f>Renewal_Risk!A10</f>
        <v>6</v>
      </c>
      <c r="B19" s="78" t="str">
        <f ca="1">Renewal_Risk!B10</f>
        <v>BlueRiver Health</v>
      </c>
      <c r="C19" s="78" t="str">
        <f ca="1">Renewal_Risk!C10</f>
        <v>Mid-Market</v>
      </c>
      <c r="D19" s="78" t="str">
        <f ca="1">Renewal_Risk!D10</f>
        <v>Maya Singh</v>
      </c>
      <c r="E19" s="146">
        <f ca="1">Renewal_Risk!E10</f>
        <v>46209</v>
      </c>
      <c r="F19" s="149">
        <f ca="1">Renewal_Risk!F10</f>
        <v>68</v>
      </c>
      <c r="G19" s="69">
        <f ca="1">Renewal_Risk!G10</f>
        <v>0.57999999999999996</v>
      </c>
      <c r="H19" s="65">
        <f ca="1">Renewal_Risk!H10</f>
        <v>155000</v>
      </c>
      <c r="I19" s="78" t="str">
        <f ca="1">Renewal_Risk!I10</f>
        <v>Medium</v>
      </c>
      <c r="J19" s="78" t="str">
        <f ca="1">Renewal_Risk!J10</f>
        <v>CSM action plan before renewal</v>
      </c>
      <c r="K19" s="5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customHeight="1">
      <c r="A20" s="86">
        <f>Renewal_Risk!A11</f>
        <v>7</v>
      </c>
      <c r="B20" s="81" t="str">
        <f ca="1">Renewal_Risk!B11</f>
        <v>Keystone Plastics</v>
      </c>
      <c r="C20" s="81" t="str">
        <f ca="1">Renewal_Risk!C11</f>
        <v>Enterprise</v>
      </c>
      <c r="D20" s="81" t="str">
        <f ca="1">Renewal_Risk!D11</f>
        <v>Jordan Chen</v>
      </c>
      <c r="E20" s="145">
        <f ca="1">Renewal_Risk!E11</f>
        <v>46127</v>
      </c>
      <c r="F20" s="148">
        <f ca="1">Renewal_Risk!F11</f>
        <v>66</v>
      </c>
      <c r="G20" s="68">
        <f ca="1">Renewal_Risk!G11</f>
        <v>0.56000000000000005</v>
      </c>
      <c r="H20" s="66">
        <f ca="1">Renewal_Risk!H11</f>
        <v>260000</v>
      </c>
      <c r="I20" s="81" t="str">
        <f ca="1">Renewal_Risk!I11</f>
        <v>Medium</v>
      </c>
      <c r="J20" s="81" t="str">
        <f ca="1">Renewal_Risk!J11</f>
        <v>CSM action plan before renewal</v>
      </c>
      <c r="K20" s="5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" customHeight="1">
      <c r="A21" s="85">
        <f>Renewal_Risk!A12</f>
        <v>8</v>
      </c>
      <c r="B21" s="78" t="str">
        <f ca="1">Renewal_Risk!B12</f>
        <v>Yardline Medical</v>
      </c>
      <c r="C21" s="78" t="str">
        <f ca="1">Renewal_Risk!C12</f>
        <v>SMB</v>
      </c>
      <c r="D21" s="78" t="str">
        <f ca="1">Renewal_Risk!D12</f>
        <v>Leo Park</v>
      </c>
      <c r="E21" s="146">
        <f ca="1">Renewal_Risk!E12</f>
        <v>46170</v>
      </c>
      <c r="F21" s="149">
        <f ca="1">Renewal_Risk!F12</f>
        <v>64</v>
      </c>
      <c r="G21" s="69">
        <f ca="1">Renewal_Risk!G12</f>
        <v>0.55000000000000004</v>
      </c>
      <c r="H21" s="65">
        <f ca="1">Renewal_Risk!H12</f>
        <v>52000</v>
      </c>
      <c r="I21" s="78" t="str">
        <f ca="1">Renewal_Risk!I12</f>
        <v>Medium</v>
      </c>
      <c r="J21" s="78" t="str">
        <f ca="1">Renewal_Risk!J12</f>
        <v>CSM action plan before renewal</v>
      </c>
      <c r="K21" s="5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customHeight="1">
      <c r="A22" s="86">
        <f>Renewal_Risk!A13</f>
        <v>9</v>
      </c>
      <c r="B22" s="81" t="str">
        <f ca="1">Renewal_Risk!B13</f>
        <v>Ivy Claims</v>
      </c>
      <c r="C22" s="81" t="str">
        <f ca="1">Renewal_Risk!C13</f>
        <v>SMB</v>
      </c>
      <c r="D22" s="81" t="str">
        <f ca="1">Renewal_Risk!D13</f>
        <v>Leo Park</v>
      </c>
      <c r="E22" s="145">
        <f ca="1">Renewal_Risk!E13</f>
        <v>46109</v>
      </c>
      <c r="F22" s="148">
        <f ca="1">Renewal_Risk!F13</f>
        <v>67</v>
      </c>
      <c r="G22" s="68">
        <f ca="1">Renewal_Risk!G13</f>
        <v>0.54</v>
      </c>
      <c r="H22" s="66">
        <f ca="1">Renewal_Risk!H13</f>
        <v>45000</v>
      </c>
      <c r="I22" s="81" t="str">
        <f ca="1">Renewal_Risk!I13</f>
        <v>Medium</v>
      </c>
      <c r="J22" s="81" t="str">
        <f ca="1">Renewal_Risk!J13</f>
        <v>CSM action plan before renewal</v>
      </c>
      <c r="K22" s="5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" customHeight="1">
      <c r="A23" s="141">
        <f>Renewal_Risk!A14</f>
        <v>10</v>
      </c>
      <c r="B23" s="142" t="str">
        <f ca="1">Renewal_Risk!B14</f>
        <v>Lakeview Supply</v>
      </c>
      <c r="C23" s="142" t="str">
        <f ca="1">Renewal_Risk!C14</f>
        <v>SMB</v>
      </c>
      <c r="D23" s="142" t="str">
        <f ca="1">Renewal_Risk!D14</f>
        <v>Leo Park</v>
      </c>
      <c r="E23" s="147">
        <f ca="1">Renewal_Risk!E14</f>
        <v>46158</v>
      </c>
      <c r="F23" s="150">
        <f ca="1">Renewal_Risk!F14</f>
        <v>69</v>
      </c>
      <c r="G23" s="70">
        <f ca="1">Renewal_Risk!G14</f>
        <v>0.56999999999999995</v>
      </c>
      <c r="H23" s="67">
        <f ca="1">Renewal_Risk!H14</f>
        <v>54000</v>
      </c>
      <c r="I23" s="142" t="str">
        <f ca="1">Renewal_Risk!I14</f>
        <v>Medium</v>
      </c>
      <c r="J23" s="142" t="str">
        <f ca="1">Renewal_Risk!J14</f>
        <v>CSM action plan before renewal</v>
      </c>
      <c r="K23" s="5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8B7E"/>
  </sheetPr>
  <dimension ref="A1:Z200"/>
  <sheetViews>
    <sheetView showGridLines="0" showRowColHeaders="0" workbookViewId="0">
      <pane ySplit="4" topLeftCell="A5" activePane="bottomLeft" state="frozen"/>
      <selection pane="bottomLeft" activeCell="B5" sqref="B5"/>
    </sheetView>
  </sheetViews>
  <sheetFormatPr baseColWidth="10" defaultColWidth="8.83203125" defaultRowHeight="14"/>
  <cols>
    <col min="1" max="1" width="9.1640625" customWidth="1"/>
    <col min="2" max="2" width="66.6640625" customWidth="1"/>
    <col min="3" max="3" width="56.6640625" hidden="1" customWidth="1"/>
    <col min="4" max="26" width="0" hidden="1" customWidth="1"/>
  </cols>
  <sheetData>
    <row r="1" spans="1:26" ht="28" customHeight="1">
      <c r="A1" s="33" t="s">
        <v>21</v>
      </c>
      <c r="B1" s="31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34" t="s">
        <v>22</v>
      </c>
      <c r="B2" s="31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" customHeight="1" thickBot="1">
      <c r="A3" s="32"/>
      <c r="B3" s="32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" customHeight="1">
      <c r="A4" s="13" t="s">
        <v>23</v>
      </c>
      <c r="B4" s="13" t="s">
        <v>20</v>
      </c>
      <c r="C4" s="4" t="s">
        <v>24</v>
      </c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" customHeight="1">
      <c r="A5" s="86" t="s">
        <v>25</v>
      </c>
      <c r="B5" s="38" t="s">
        <v>26</v>
      </c>
      <c r="C5" s="7" t="s">
        <v>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" customHeight="1">
      <c r="A6" s="86" t="s">
        <v>28</v>
      </c>
      <c r="B6" s="38" t="s">
        <v>29</v>
      </c>
      <c r="C6" s="7" t="s">
        <v>30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" customHeight="1">
      <c r="A7" s="86" t="s">
        <v>31</v>
      </c>
      <c r="B7" s="38" t="s">
        <v>32</v>
      </c>
      <c r="C7" s="7" t="s">
        <v>33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" customHeight="1">
      <c r="A8" s="86" t="s">
        <v>34</v>
      </c>
      <c r="B8" s="38" t="s">
        <v>35</v>
      </c>
      <c r="C8" s="7" t="s">
        <v>36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" customHeight="1">
      <c r="A9" s="86" t="s">
        <v>37</v>
      </c>
      <c r="B9" s="38" t="s">
        <v>38</v>
      </c>
      <c r="C9" s="7" t="s">
        <v>39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" customHeight="1">
      <c r="A10" s="160" t="s">
        <v>40</v>
      </c>
      <c r="B10" s="161" t="s">
        <v>41</v>
      </c>
      <c r="C10" s="8" t="s">
        <v>42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1413"/>
  </sheetPr>
  <dimension ref="A1:Z200"/>
  <sheetViews>
    <sheetView showGridLines="0" showRowColHeaders="0" workbookViewId="0">
      <pane ySplit="4" topLeftCell="A5" activePane="bottomLeft" state="frozen"/>
      <selection pane="bottomLeft" sqref="A1:G1"/>
    </sheetView>
  </sheetViews>
  <sheetFormatPr baseColWidth="10" defaultColWidth="8.83203125" defaultRowHeight="14"/>
  <cols>
    <col min="1" max="1" width="41.6640625" customWidth="1"/>
    <col min="2" max="2" width="20" customWidth="1"/>
    <col min="3" max="3" width="36.6640625" hidden="1" customWidth="1"/>
    <col min="4" max="4" width="2.6640625" hidden="1" customWidth="1"/>
    <col min="5" max="5" width="12.5" hidden="1" customWidth="1"/>
    <col min="6" max="6" width="15" hidden="1" customWidth="1"/>
    <col min="7" max="26" width="0" hidden="1" customWidth="1"/>
  </cols>
  <sheetData>
    <row r="1" spans="1:26" ht="28" customHeight="1">
      <c r="A1" s="33" t="s">
        <v>0</v>
      </c>
      <c r="B1" s="31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34" t="s">
        <v>43</v>
      </c>
      <c r="B2" s="31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" customHeight="1" thickBot="1">
      <c r="A3" s="32"/>
      <c r="B3" s="32"/>
      <c r="C3" s="3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" customHeight="1">
      <c r="A4" s="13" t="s">
        <v>44</v>
      </c>
      <c r="B4" s="13" t="s">
        <v>45</v>
      </c>
      <c r="C4" s="4" t="s">
        <v>46</v>
      </c>
      <c r="D4" s="5"/>
      <c r="E4" s="14" t="s">
        <v>47</v>
      </c>
      <c r="F4" s="14" t="s">
        <v>48</v>
      </c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" customHeight="1">
      <c r="A5" s="151" t="s">
        <v>49</v>
      </c>
      <c r="B5" s="153">
        <v>46023</v>
      </c>
      <c r="C5" s="17" t="s">
        <v>50</v>
      </c>
      <c r="E5" s="20" t="s">
        <v>13</v>
      </c>
      <c r="F5" s="20" t="s">
        <v>51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" customHeight="1">
      <c r="A6" s="152" t="s">
        <v>52</v>
      </c>
      <c r="B6" s="154">
        <v>46387</v>
      </c>
      <c r="C6" s="19" t="s">
        <v>53</v>
      </c>
      <c r="E6" s="20" t="s">
        <v>13</v>
      </c>
      <c r="F6" s="20" t="s">
        <v>54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" customHeight="1">
      <c r="A7" s="152" t="s">
        <v>55</v>
      </c>
      <c r="B7" s="155">
        <v>1.08</v>
      </c>
      <c r="C7" s="19" t="s">
        <v>56</v>
      </c>
      <c r="E7" s="20" t="s">
        <v>13</v>
      </c>
      <c r="F7" s="20" t="s">
        <v>57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" customHeight="1">
      <c r="A8" s="152" t="s">
        <v>58</v>
      </c>
      <c r="B8" s="155">
        <v>0.92</v>
      </c>
      <c r="C8" s="19" t="s">
        <v>59</v>
      </c>
      <c r="E8" s="20" t="s">
        <v>60</v>
      </c>
      <c r="F8" s="20" t="s">
        <v>61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" customHeight="1">
      <c r="A9" s="152" t="s">
        <v>62</v>
      </c>
      <c r="B9" s="155">
        <v>0.7</v>
      </c>
      <c r="C9" s="19" t="s">
        <v>63</v>
      </c>
      <c r="E9" s="20" t="s">
        <v>60</v>
      </c>
      <c r="F9" s="20" t="s">
        <v>64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" customHeight="1">
      <c r="A10" s="152" t="s">
        <v>65</v>
      </c>
      <c r="B10" s="156">
        <v>12</v>
      </c>
      <c r="C10" s="19" t="s">
        <v>66</v>
      </c>
      <c r="E10" s="20" t="s">
        <v>60</v>
      </c>
      <c r="F10" s="20" t="s">
        <v>67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" customHeight="1">
      <c r="A11" s="152" t="s">
        <v>68</v>
      </c>
      <c r="B11" s="157">
        <v>55</v>
      </c>
      <c r="C11" s="19" t="s">
        <v>69</v>
      </c>
      <c r="E11" s="20" t="s">
        <v>70</v>
      </c>
      <c r="F11" s="20" t="s">
        <v>71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" customHeight="1">
      <c r="A12" s="152" t="s">
        <v>72</v>
      </c>
      <c r="B12" s="157">
        <v>70</v>
      </c>
      <c r="C12" s="19" t="s">
        <v>73</v>
      </c>
      <c r="E12" s="20" t="s">
        <v>70</v>
      </c>
      <c r="F12" s="20" t="s">
        <v>74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8" t="s">
        <v>75</v>
      </c>
      <c r="B13" s="187">
        <v>0.4</v>
      </c>
      <c r="C13" s="19" t="s">
        <v>69</v>
      </c>
      <c r="E13" s="20" t="s">
        <v>19</v>
      </c>
      <c r="F13" s="20" t="s">
        <v>76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8" t="s">
        <v>77</v>
      </c>
      <c r="B14" s="187">
        <v>0.6</v>
      </c>
      <c r="C14" s="19" t="s">
        <v>73</v>
      </c>
      <c r="E14" s="20" t="s">
        <v>19</v>
      </c>
      <c r="F14" s="20" t="s">
        <v>78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8" t="s">
        <v>79</v>
      </c>
      <c r="B15" s="188">
        <v>12</v>
      </c>
      <c r="C15" s="19" t="s">
        <v>80</v>
      </c>
      <c r="E15" s="20" t="s">
        <v>19</v>
      </c>
      <c r="F15" s="20" t="s">
        <v>81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8" t="s">
        <v>82</v>
      </c>
      <c r="B16" s="188">
        <v>8</v>
      </c>
      <c r="C16" s="19" t="s">
        <v>83</v>
      </c>
      <c r="E16" s="20" t="s">
        <v>19</v>
      </c>
      <c r="F16" s="20" t="s">
        <v>84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21" t="s">
        <v>85</v>
      </c>
      <c r="B17" s="189">
        <v>90</v>
      </c>
      <c r="C17" s="22" t="s">
        <v>86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8B7E"/>
  </sheetPr>
  <dimension ref="A1:Y37"/>
  <sheetViews>
    <sheetView showGridLines="0" showRowColHeader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.1640625" customWidth="1"/>
    <col min="2" max="2" width="21.6640625" customWidth="1"/>
    <col min="3" max="3" width="14.1640625" customWidth="1"/>
    <col min="4" max="4" width="13.33203125" customWidth="1"/>
    <col min="5" max="5" width="16.6640625" customWidth="1"/>
    <col min="6" max="6" width="13.33203125" customWidth="1"/>
    <col min="7" max="14" width="15.83203125" customWidth="1"/>
    <col min="15" max="16" width="10.83203125" customWidth="1"/>
    <col min="17" max="17" width="11.6640625" customWidth="1"/>
    <col min="18" max="18" width="21.6640625" customWidth="1"/>
    <col min="19" max="19" width="14.1640625" customWidth="1"/>
    <col min="20" max="20" width="11.6640625" customWidth="1"/>
    <col min="21" max="21" width="10.83203125" customWidth="1"/>
    <col min="22" max="23" width="13.33203125" customWidth="1"/>
    <col min="24" max="24" width="36.6640625" customWidth="1"/>
    <col min="25" max="25" width="13.33203125" customWidth="1"/>
    <col min="26" max="26" width="0" hidden="1" customWidth="1"/>
  </cols>
  <sheetData>
    <row r="1" spans="1:25" ht="22" customHeight="1">
      <c r="A1" s="75" t="s">
        <v>87</v>
      </c>
      <c r="B1" s="75" t="s">
        <v>12</v>
      </c>
      <c r="C1" s="75" t="s">
        <v>88</v>
      </c>
      <c r="D1" s="75" t="s">
        <v>13</v>
      </c>
      <c r="E1" s="75" t="s">
        <v>89</v>
      </c>
      <c r="F1" s="75" t="s">
        <v>60</v>
      </c>
      <c r="G1" s="75" t="s">
        <v>14</v>
      </c>
      <c r="H1" s="75" t="s">
        <v>90</v>
      </c>
      <c r="I1" s="75" t="s">
        <v>91</v>
      </c>
      <c r="J1" s="75" t="s">
        <v>92</v>
      </c>
      <c r="K1" s="75" t="s">
        <v>93</v>
      </c>
      <c r="L1" s="75" t="s">
        <v>94</v>
      </c>
      <c r="M1" s="75" t="s">
        <v>95</v>
      </c>
      <c r="N1" s="75" t="s">
        <v>96</v>
      </c>
      <c r="O1" s="75" t="s">
        <v>97</v>
      </c>
      <c r="P1" s="75" t="s">
        <v>98</v>
      </c>
      <c r="Q1" s="75" t="s">
        <v>99</v>
      </c>
      <c r="R1" s="75" t="s">
        <v>100</v>
      </c>
      <c r="S1" s="75" t="s">
        <v>101</v>
      </c>
      <c r="T1" s="75" t="s">
        <v>102</v>
      </c>
      <c r="U1" s="75" t="s">
        <v>103</v>
      </c>
      <c r="V1" s="75" t="s">
        <v>104</v>
      </c>
      <c r="W1" s="75" t="s">
        <v>105</v>
      </c>
      <c r="X1" s="75" t="s">
        <v>106</v>
      </c>
      <c r="Y1" s="75" t="s">
        <v>107</v>
      </c>
    </row>
    <row r="2" spans="1:25" ht="16" customHeight="1">
      <c r="A2" s="6" t="s">
        <v>108</v>
      </c>
      <c r="B2" s="16" t="s">
        <v>109</v>
      </c>
      <c r="C2" s="169">
        <v>46023</v>
      </c>
      <c r="D2" s="15" t="s">
        <v>51</v>
      </c>
      <c r="E2" s="15" t="s">
        <v>110</v>
      </c>
      <c r="F2" s="15" t="s">
        <v>61</v>
      </c>
      <c r="G2" s="15" t="s">
        <v>111</v>
      </c>
      <c r="H2" s="172">
        <v>240000</v>
      </c>
      <c r="I2" s="172">
        <v>240000</v>
      </c>
      <c r="J2" s="172">
        <v>0</v>
      </c>
      <c r="K2" s="172">
        <v>0</v>
      </c>
      <c r="L2" s="172">
        <v>0</v>
      </c>
      <c r="M2" s="172">
        <f t="shared" ref="M2:M37" si="0">MAX(H2-L2-K2,0)</f>
        <v>240000</v>
      </c>
      <c r="N2" s="172">
        <f t="shared" ref="N2:N37" si="1">M2+J2</f>
        <v>240000</v>
      </c>
      <c r="O2" s="175">
        <f t="shared" ref="O2:O37" si="2">IFERROR(M2/H2,0)</f>
        <v>1</v>
      </c>
      <c r="P2" s="175">
        <f t="shared" ref="P2:P37" si="3">IFERROR(N2/H2,0)</f>
        <v>1</v>
      </c>
      <c r="Q2" s="6" t="s">
        <v>71</v>
      </c>
      <c r="R2" s="15" t="s">
        <v>112</v>
      </c>
      <c r="S2" s="178">
        <v>46178</v>
      </c>
      <c r="T2" s="181">
        <v>82</v>
      </c>
      <c r="U2" s="175">
        <v>0.78</v>
      </c>
      <c r="V2" s="181">
        <v>3</v>
      </c>
      <c r="W2" s="6" t="str">
        <f>IF(Q2="Churned","Lost",IF(OR(T2&lt;Inputs!$B$11,U2&lt;Inputs!$B$13,V2&gt;Inputs!$B$15),"High",IF(OR(T2&lt;Inputs!$B$12,U2&lt;Inputs!$B$14,V2&gt;Inputs!$B$16),"Medium","Low")))</f>
        <v>Low</v>
      </c>
      <c r="X2" s="15" t="str">
        <f t="shared" ref="X2:X37" si="4">IF(W2="Lost","Document root cause and replace ARR",IF(W2="High","Executive save plan + adoption intervention",IF(W2="Medium","CSM action plan before renewal","Monitor / expansion candidate")))</f>
        <v>Monitor / expansion candidate</v>
      </c>
      <c r="Y2" s="184">
        <f ca="1">IF(W2="Lost",0,(100-T2)*0.35+(1-U2)*100*0.3+V2*2+IF(S2-TODAY()&lt;=Inputs!$B$17,20,0)+IF(W2="High",25,IF(W2="Medium",10,0)))</f>
        <v>38.9</v>
      </c>
    </row>
    <row r="3" spans="1:25" ht="16" customHeight="1">
      <c r="A3" s="25" t="s">
        <v>113</v>
      </c>
      <c r="B3" s="24" t="s">
        <v>114</v>
      </c>
      <c r="C3" s="170">
        <v>46054</v>
      </c>
      <c r="D3" s="23" t="s">
        <v>54</v>
      </c>
      <c r="E3" s="23" t="s">
        <v>115</v>
      </c>
      <c r="F3" s="23" t="s">
        <v>61</v>
      </c>
      <c r="G3" s="23" t="s">
        <v>116</v>
      </c>
      <c r="H3" s="173">
        <v>155000</v>
      </c>
      <c r="I3" s="173">
        <v>154000</v>
      </c>
      <c r="J3" s="173">
        <v>5000</v>
      </c>
      <c r="K3" s="173">
        <v>6000</v>
      </c>
      <c r="L3" s="173">
        <v>0</v>
      </c>
      <c r="M3" s="173">
        <f t="shared" si="0"/>
        <v>149000</v>
      </c>
      <c r="N3" s="173">
        <f t="shared" si="1"/>
        <v>154000</v>
      </c>
      <c r="O3" s="176">
        <f t="shared" si="2"/>
        <v>0.96129032258064517</v>
      </c>
      <c r="P3" s="176">
        <f t="shared" si="3"/>
        <v>0.99354838709677418</v>
      </c>
      <c r="Q3" s="25" t="s">
        <v>71</v>
      </c>
      <c r="R3" s="23" t="s">
        <v>112</v>
      </c>
      <c r="S3" s="179">
        <v>46209</v>
      </c>
      <c r="T3" s="182">
        <v>68</v>
      </c>
      <c r="U3" s="176">
        <v>0.57999999999999996</v>
      </c>
      <c r="V3" s="182">
        <v>9</v>
      </c>
      <c r="W3" s="25" t="str">
        <f>IF(Q3="Churned","Lost",IF(OR(T3&lt;Inputs!$B$11,U3&lt;Inputs!$B$13,V3&gt;Inputs!$B$15),"High",IF(OR(T3&lt;Inputs!$B$12,U3&lt;Inputs!$B$14,V3&gt;Inputs!$B$16),"Medium","Low")))</f>
        <v>Medium</v>
      </c>
      <c r="X3" s="23" t="str">
        <f t="shared" si="4"/>
        <v>CSM action plan before renewal</v>
      </c>
      <c r="Y3" s="185">
        <f ca="1">IF(W3="Lost",0,(100-T3)*0.35+(1-U3)*100*0.3+V3*2+IF(S3-TODAY()&lt;=Inputs!$B$17,20,0)+IF(W3="High",25,IF(W3="Medium",10,0)))</f>
        <v>71.8</v>
      </c>
    </row>
    <row r="4" spans="1:25" ht="16" customHeight="1">
      <c r="A4" s="6" t="s">
        <v>117</v>
      </c>
      <c r="B4" s="16" t="s">
        <v>118</v>
      </c>
      <c r="C4" s="169">
        <v>46082</v>
      </c>
      <c r="D4" s="15" t="s">
        <v>51</v>
      </c>
      <c r="E4" s="15" t="s">
        <v>119</v>
      </c>
      <c r="F4" s="15" t="s">
        <v>61</v>
      </c>
      <c r="G4" s="15" t="s">
        <v>111</v>
      </c>
      <c r="H4" s="172">
        <v>310000</v>
      </c>
      <c r="I4" s="172">
        <v>304000</v>
      </c>
      <c r="J4" s="172">
        <v>0</v>
      </c>
      <c r="K4" s="172">
        <v>6000</v>
      </c>
      <c r="L4" s="172">
        <v>0</v>
      </c>
      <c r="M4" s="172">
        <f t="shared" si="0"/>
        <v>304000</v>
      </c>
      <c r="N4" s="172">
        <f t="shared" si="1"/>
        <v>304000</v>
      </c>
      <c r="O4" s="175">
        <f t="shared" si="2"/>
        <v>0.98064516129032253</v>
      </c>
      <c r="P4" s="175">
        <f t="shared" si="3"/>
        <v>0.98064516129032253</v>
      </c>
      <c r="Q4" s="6" t="s">
        <v>71</v>
      </c>
      <c r="R4" s="15" t="s">
        <v>112</v>
      </c>
      <c r="S4" s="178">
        <v>46241</v>
      </c>
      <c r="T4" s="181">
        <v>61</v>
      </c>
      <c r="U4" s="175">
        <v>0.49</v>
      </c>
      <c r="V4" s="181">
        <v>14</v>
      </c>
      <c r="W4" s="6" t="str">
        <f>IF(Q4="Churned","Lost",IF(OR(T4&lt;Inputs!$B$11,U4&lt;Inputs!$B$13,V4&gt;Inputs!$B$15),"High",IF(OR(T4&lt;Inputs!$B$12,U4&lt;Inputs!$B$14,V4&gt;Inputs!$B$16),"Medium","Low")))</f>
        <v>High</v>
      </c>
      <c r="X4" s="15" t="str">
        <f t="shared" si="4"/>
        <v>Executive save plan + adoption intervention</v>
      </c>
      <c r="Y4" s="184">
        <f ca="1">IF(W4="Lost",0,(100-T4)*0.35+(1-U4)*100*0.3+V4*2+IF(S4-TODAY()&lt;=Inputs!$B$17,20,0)+IF(W4="High",25,IF(W4="Medium",10,0)))</f>
        <v>101.94999999999999</v>
      </c>
    </row>
    <row r="5" spans="1:25" ht="16" customHeight="1">
      <c r="A5" s="25" t="s">
        <v>120</v>
      </c>
      <c r="B5" s="24" t="s">
        <v>121</v>
      </c>
      <c r="C5" s="170">
        <v>46113</v>
      </c>
      <c r="D5" s="23" t="s">
        <v>57</v>
      </c>
      <c r="E5" s="23" t="s">
        <v>122</v>
      </c>
      <c r="F5" s="23" t="s">
        <v>61</v>
      </c>
      <c r="G5" s="23" t="s">
        <v>123</v>
      </c>
      <c r="H5" s="173">
        <v>48000</v>
      </c>
      <c r="I5" s="173">
        <v>0</v>
      </c>
      <c r="J5" s="173">
        <v>0</v>
      </c>
      <c r="K5" s="173">
        <v>0</v>
      </c>
      <c r="L5" s="173">
        <v>48000</v>
      </c>
      <c r="M5" s="173">
        <f t="shared" si="0"/>
        <v>0</v>
      </c>
      <c r="N5" s="173">
        <f t="shared" si="1"/>
        <v>0</v>
      </c>
      <c r="O5" s="176">
        <f t="shared" si="2"/>
        <v>0</v>
      </c>
      <c r="P5" s="176">
        <f t="shared" si="3"/>
        <v>0</v>
      </c>
      <c r="Q5" s="25" t="s">
        <v>74</v>
      </c>
      <c r="R5" s="23" t="s">
        <v>124</v>
      </c>
      <c r="S5" s="179">
        <v>46273</v>
      </c>
      <c r="T5" s="182">
        <v>31</v>
      </c>
      <c r="U5" s="176">
        <v>0.22</v>
      </c>
      <c r="V5" s="182">
        <v>18</v>
      </c>
      <c r="W5" s="25" t="str">
        <f>IF(Q5="Churned","Lost",IF(OR(T5&lt;Inputs!$B$11,U5&lt;Inputs!$B$13,V5&gt;Inputs!$B$15),"High",IF(OR(T5&lt;Inputs!$B$12,U5&lt;Inputs!$B$14,V5&gt;Inputs!$B$16),"Medium","Low")))</f>
        <v>Lost</v>
      </c>
      <c r="X5" s="23" t="str">
        <f t="shared" si="4"/>
        <v>Document root cause and replace ARR</v>
      </c>
      <c r="Y5" s="185">
        <f ca="1">IF(W5="Lost",0,(100-T5)*0.35+(1-U5)*100*0.3+V5*2+IF(S5-TODAY()&lt;=Inputs!$B$17,20,0)+IF(W5="High",25,IF(W5="Medium",10,0)))</f>
        <v>0</v>
      </c>
    </row>
    <row r="6" spans="1:25" ht="16" customHeight="1">
      <c r="A6" s="6" t="s">
        <v>125</v>
      </c>
      <c r="B6" s="16" t="s">
        <v>126</v>
      </c>
      <c r="C6" s="169">
        <v>46143</v>
      </c>
      <c r="D6" s="15" t="s">
        <v>54</v>
      </c>
      <c r="E6" s="15" t="s">
        <v>115</v>
      </c>
      <c r="F6" s="15" t="s">
        <v>61</v>
      </c>
      <c r="G6" s="15" t="s">
        <v>116</v>
      </c>
      <c r="H6" s="172">
        <v>120000</v>
      </c>
      <c r="I6" s="172">
        <v>123000</v>
      </c>
      <c r="J6" s="172">
        <v>4000</v>
      </c>
      <c r="K6" s="172">
        <v>1000</v>
      </c>
      <c r="L6" s="172">
        <v>0</v>
      </c>
      <c r="M6" s="172">
        <f t="shared" si="0"/>
        <v>119000</v>
      </c>
      <c r="N6" s="172">
        <f t="shared" si="1"/>
        <v>123000</v>
      </c>
      <c r="O6" s="175">
        <f t="shared" si="2"/>
        <v>0.9916666666666667</v>
      </c>
      <c r="P6" s="175">
        <f t="shared" si="3"/>
        <v>1.0249999999999999</v>
      </c>
      <c r="Q6" s="6" t="s">
        <v>71</v>
      </c>
      <c r="R6" s="15" t="s">
        <v>112</v>
      </c>
      <c r="S6" s="178">
        <v>46304</v>
      </c>
      <c r="T6" s="181">
        <v>76</v>
      </c>
      <c r="U6" s="175">
        <v>0.71</v>
      </c>
      <c r="V6" s="181">
        <v>5</v>
      </c>
      <c r="W6" s="6" t="str">
        <f>IF(Q6="Churned","Lost",IF(OR(T6&lt;Inputs!$B$11,U6&lt;Inputs!$B$13,V6&gt;Inputs!$B$15),"High",IF(OR(T6&lt;Inputs!$B$12,U6&lt;Inputs!$B$14,V6&gt;Inputs!$B$16),"Medium","Low")))</f>
        <v>Low</v>
      </c>
      <c r="X6" s="15" t="str">
        <f t="shared" si="4"/>
        <v>Monitor / expansion candidate</v>
      </c>
      <c r="Y6" s="184">
        <f ca="1">IF(W6="Lost",0,(100-T6)*0.35+(1-U6)*100*0.3+V6*2+IF(S6-TODAY()&lt;=Inputs!$B$17,20,0)+IF(W6="High",25,IF(W6="Medium",10,0)))</f>
        <v>27.1</v>
      </c>
    </row>
    <row r="7" spans="1:25" ht="16" customHeight="1">
      <c r="A7" s="25" t="s">
        <v>127</v>
      </c>
      <c r="B7" s="24" t="s">
        <v>128</v>
      </c>
      <c r="C7" s="170">
        <v>46174</v>
      </c>
      <c r="D7" s="23" t="s">
        <v>51</v>
      </c>
      <c r="E7" s="23" t="s">
        <v>110</v>
      </c>
      <c r="F7" s="23" t="s">
        <v>64</v>
      </c>
      <c r="G7" s="23" t="s">
        <v>129</v>
      </c>
      <c r="H7" s="173">
        <v>285000</v>
      </c>
      <c r="I7" s="173">
        <v>282000</v>
      </c>
      <c r="J7" s="173">
        <v>0</v>
      </c>
      <c r="K7" s="173">
        <v>3000</v>
      </c>
      <c r="L7" s="173">
        <v>0</v>
      </c>
      <c r="M7" s="173">
        <f t="shared" si="0"/>
        <v>282000</v>
      </c>
      <c r="N7" s="173">
        <f t="shared" si="1"/>
        <v>282000</v>
      </c>
      <c r="O7" s="176">
        <f t="shared" si="2"/>
        <v>0.98947368421052628</v>
      </c>
      <c r="P7" s="176">
        <f t="shared" si="3"/>
        <v>0.98947368421052628</v>
      </c>
      <c r="Q7" s="25" t="s">
        <v>71</v>
      </c>
      <c r="R7" s="23" t="s">
        <v>112</v>
      </c>
      <c r="S7" s="179">
        <v>46336</v>
      </c>
      <c r="T7" s="182">
        <v>88</v>
      </c>
      <c r="U7" s="176">
        <v>0.81</v>
      </c>
      <c r="V7" s="182">
        <v>2</v>
      </c>
      <c r="W7" s="25" t="str">
        <f>IF(Q7="Churned","Lost",IF(OR(T7&lt;Inputs!$B$11,U7&lt;Inputs!$B$13,V7&gt;Inputs!$B$15),"High",IF(OR(T7&lt;Inputs!$B$12,U7&lt;Inputs!$B$14,V7&gt;Inputs!$B$16),"Medium","Low")))</f>
        <v>Low</v>
      </c>
      <c r="X7" s="23" t="str">
        <f t="shared" si="4"/>
        <v>Monitor / expansion candidate</v>
      </c>
      <c r="Y7" s="185">
        <f ca="1">IF(W7="Lost",0,(100-T7)*0.35+(1-U7)*100*0.3+V7*2+IF(S7-TODAY()&lt;=Inputs!$B$17,20,0)+IF(W7="High",25,IF(W7="Medium",10,0)))</f>
        <v>13.899999999999997</v>
      </c>
    </row>
    <row r="8" spans="1:25" ht="16" customHeight="1">
      <c r="A8" s="6" t="s">
        <v>130</v>
      </c>
      <c r="B8" s="16" t="s">
        <v>131</v>
      </c>
      <c r="C8" s="169">
        <v>46023</v>
      </c>
      <c r="D8" s="15" t="s">
        <v>57</v>
      </c>
      <c r="E8" s="15" t="s">
        <v>132</v>
      </c>
      <c r="F8" s="15" t="s">
        <v>61</v>
      </c>
      <c r="G8" s="15" t="s">
        <v>123</v>
      </c>
      <c r="H8" s="172">
        <v>62000</v>
      </c>
      <c r="I8" s="172">
        <v>64000</v>
      </c>
      <c r="J8" s="172">
        <v>2000</v>
      </c>
      <c r="K8" s="172">
        <v>0</v>
      </c>
      <c r="L8" s="172">
        <v>0</v>
      </c>
      <c r="M8" s="172">
        <f t="shared" si="0"/>
        <v>62000</v>
      </c>
      <c r="N8" s="172">
        <f t="shared" si="1"/>
        <v>64000</v>
      </c>
      <c r="O8" s="175">
        <f t="shared" si="2"/>
        <v>1</v>
      </c>
      <c r="P8" s="175">
        <f t="shared" si="3"/>
        <v>1.032258064516129</v>
      </c>
      <c r="Q8" s="6" t="s">
        <v>71</v>
      </c>
      <c r="R8" s="15" t="s">
        <v>112</v>
      </c>
      <c r="S8" s="178">
        <v>46367</v>
      </c>
      <c r="T8" s="181">
        <v>57</v>
      </c>
      <c r="U8" s="175">
        <v>0.44</v>
      </c>
      <c r="V8" s="181">
        <v>11</v>
      </c>
      <c r="W8" s="6" t="str">
        <f>IF(Q8="Churned","Lost",IF(OR(T8&lt;Inputs!$B$11,U8&lt;Inputs!$B$13,V8&gt;Inputs!$B$15),"High",IF(OR(T8&lt;Inputs!$B$12,U8&lt;Inputs!$B$14,V8&gt;Inputs!$B$16),"Medium","Low")))</f>
        <v>Medium</v>
      </c>
      <c r="X8" s="15" t="str">
        <f t="shared" si="4"/>
        <v>CSM action plan before renewal</v>
      </c>
      <c r="Y8" s="184">
        <f ca="1">IF(W8="Lost",0,(100-T8)*0.35+(1-U8)*100*0.3+V8*2+IF(S8-TODAY()&lt;=Inputs!$B$17,20,0)+IF(W8="High",25,IF(W8="Medium",10,0)))</f>
        <v>63.85</v>
      </c>
    </row>
    <row r="9" spans="1:25" ht="16" customHeight="1">
      <c r="A9" s="25" t="s">
        <v>133</v>
      </c>
      <c r="B9" s="24" t="s">
        <v>134</v>
      </c>
      <c r="C9" s="170">
        <v>46054</v>
      </c>
      <c r="D9" s="23" t="s">
        <v>54</v>
      </c>
      <c r="E9" s="23" t="s">
        <v>119</v>
      </c>
      <c r="F9" s="23" t="s">
        <v>61</v>
      </c>
      <c r="G9" s="23" t="s">
        <v>111</v>
      </c>
      <c r="H9" s="173">
        <v>175000</v>
      </c>
      <c r="I9" s="173">
        <v>0</v>
      </c>
      <c r="J9" s="173">
        <v>0</v>
      </c>
      <c r="K9" s="173">
        <v>0</v>
      </c>
      <c r="L9" s="173">
        <v>175000</v>
      </c>
      <c r="M9" s="173">
        <f t="shared" si="0"/>
        <v>0</v>
      </c>
      <c r="N9" s="173">
        <f t="shared" si="1"/>
        <v>0</v>
      </c>
      <c r="O9" s="176">
        <f t="shared" si="2"/>
        <v>0</v>
      </c>
      <c r="P9" s="176">
        <f t="shared" si="3"/>
        <v>0</v>
      </c>
      <c r="Q9" s="25" t="s">
        <v>74</v>
      </c>
      <c r="R9" s="23" t="s">
        <v>135</v>
      </c>
      <c r="S9" s="179">
        <v>46034</v>
      </c>
      <c r="T9" s="182">
        <v>45</v>
      </c>
      <c r="U9" s="176">
        <v>0.33</v>
      </c>
      <c r="V9" s="182">
        <v>10</v>
      </c>
      <c r="W9" s="25" t="str">
        <f>IF(Q9="Churned","Lost",IF(OR(T9&lt;Inputs!$B$11,U9&lt;Inputs!$B$13,V9&gt;Inputs!$B$15),"High",IF(OR(T9&lt;Inputs!$B$12,U9&lt;Inputs!$B$14,V9&gt;Inputs!$B$16),"Medium","Low")))</f>
        <v>Lost</v>
      </c>
      <c r="X9" s="23" t="str">
        <f t="shared" si="4"/>
        <v>Document root cause and replace ARR</v>
      </c>
      <c r="Y9" s="185">
        <f ca="1">IF(W9="Lost",0,(100-T9)*0.35+(1-U9)*100*0.3+V9*2+IF(S9-TODAY()&lt;=Inputs!$B$17,20,0)+IF(W9="High",25,IF(W9="Medium",10,0)))</f>
        <v>0</v>
      </c>
    </row>
    <row r="10" spans="1:25" ht="16" customHeight="1">
      <c r="A10" s="6" t="s">
        <v>136</v>
      </c>
      <c r="B10" s="16" t="s">
        <v>137</v>
      </c>
      <c r="C10" s="169">
        <v>46082</v>
      </c>
      <c r="D10" s="15" t="s">
        <v>51</v>
      </c>
      <c r="E10" s="15" t="s">
        <v>132</v>
      </c>
      <c r="F10" s="15" t="s">
        <v>64</v>
      </c>
      <c r="G10" s="15" t="s">
        <v>129</v>
      </c>
      <c r="H10" s="172">
        <v>330000</v>
      </c>
      <c r="I10" s="172">
        <v>370000</v>
      </c>
      <c r="J10" s="172">
        <v>40000</v>
      </c>
      <c r="K10" s="172">
        <v>0</v>
      </c>
      <c r="L10" s="172">
        <v>0</v>
      </c>
      <c r="M10" s="172">
        <f t="shared" si="0"/>
        <v>330000</v>
      </c>
      <c r="N10" s="172">
        <f t="shared" si="1"/>
        <v>370000</v>
      </c>
      <c r="O10" s="175">
        <f t="shared" si="2"/>
        <v>1</v>
      </c>
      <c r="P10" s="175">
        <f t="shared" si="3"/>
        <v>1.1212121212121211</v>
      </c>
      <c r="Q10" s="6" t="s">
        <v>71</v>
      </c>
      <c r="R10" s="15" t="s">
        <v>112</v>
      </c>
      <c r="S10" s="178">
        <v>46066</v>
      </c>
      <c r="T10" s="181">
        <v>72</v>
      </c>
      <c r="U10" s="175">
        <v>0.63</v>
      </c>
      <c r="V10" s="181">
        <v>6</v>
      </c>
      <c r="W10" s="6" t="str">
        <f>IF(Q10="Churned","Lost",IF(OR(T10&lt;Inputs!$B$11,U10&lt;Inputs!$B$13,V10&gt;Inputs!$B$15),"High",IF(OR(T10&lt;Inputs!$B$12,U10&lt;Inputs!$B$14,V10&gt;Inputs!$B$16),"Medium","Low")))</f>
        <v>Low</v>
      </c>
      <c r="X10" s="15" t="str">
        <f t="shared" si="4"/>
        <v>Monitor / expansion candidate</v>
      </c>
      <c r="Y10" s="184">
        <f ca="1">IF(W10="Lost",0,(100-T10)*0.35+(1-U10)*100*0.3+V10*2+IF(S10-TODAY()&lt;=Inputs!$B$17,20,0)+IF(W10="High",25,IF(W10="Medium",10,0)))</f>
        <v>52.9</v>
      </c>
    </row>
    <row r="11" spans="1:25" ht="16" customHeight="1">
      <c r="A11" s="25" t="s">
        <v>138</v>
      </c>
      <c r="B11" s="24" t="s">
        <v>139</v>
      </c>
      <c r="C11" s="170">
        <v>46113</v>
      </c>
      <c r="D11" s="23" t="s">
        <v>54</v>
      </c>
      <c r="E11" s="23" t="s">
        <v>115</v>
      </c>
      <c r="F11" s="23" t="s">
        <v>61</v>
      </c>
      <c r="G11" s="23" t="s">
        <v>116</v>
      </c>
      <c r="H11" s="173">
        <v>135000</v>
      </c>
      <c r="I11" s="173">
        <v>135000</v>
      </c>
      <c r="J11" s="173">
        <v>0</v>
      </c>
      <c r="K11" s="173">
        <v>0</v>
      </c>
      <c r="L11" s="173">
        <v>0</v>
      </c>
      <c r="M11" s="173">
        <f t="shared" si="0"/>
        <v>135000</v>
      </c>
      <c r="N11" s="173">
        <f t="shared" si="1"/>
        <v>135000</v>
      </c>
      <c r="O11" s="176">
        <f t="shared" si="2"/>
        <v>1</v>
      </c>
      <c r="P11" s="176">
        <f t="shared" si="3"/>
        <v>1</v>
      </c>
      <c r="Q11" s="25" t="s">
        <v>71</v>
      </c>
      <c r="R11" s="23" t="s">
        <v>112</v>
      </c>
      <c r="S11" s="179">
        <v>46095</v>
      </c>
      <c r="T11" s="182">
        <v>81</v>
      </c>
      <c r="U11" s="176">
        <v>0.74</v>
      </c>
      <c r="V11" s="182">
        <v>4</v>
      </c>
      <c r="W11" s="25" t="str">
        <f>IF(Q11="Churned","Lost",IF(OR(T11&lt;Inputs!$B$11,U11&lt;Inputs!$B$13,V11&gt;Inputs!$B$15),"High",IF(OR(T11&lt;Inputs!$B$12,U11&lt;Inputs!$B$14,V11&gt;Inputs!$B$16),"Medium","Low")))</f>
        <v>Low</v>
      </c>
      <c r="X11" s="23" t="str">
        <f t="shared" si="4"/>
        <v>Monitor / expansion candidate</v>
      </c>
      <c r="Y11" s="185">
        <f ca="1">IF(W11="Lost",0,(100-T11)*0.35+(1-U11)*100*0.3+V11*2+IF(S11-TODAY()&lt;=Inputs!$B$17,20,0)+IF(W11="High",25,IF(W11="Medium",10,0)))</f>
        <v>42.45</v>
      </c>
    </row>
    <row r="12" spans="1:25" ht="16" customHeight="1">
      <c r="A12" s="6" t="s">
        <v>140</v>
      </c>
      <c r="B12" s="16" t="s">
        <v>141</v>
      </c>
      <c r="C12" s="169">
        <v>46143</v>
      </c>
      <c r="D12" s="15" t="s">
        <v>51</v>
      </c>
      <c r="E12" s="15" t="s">
        <v>110</v>
      </c>
      <c r="F12" s="15" t="s">
        <v>61</v>
      </c>
      <c r="G12" s="15" t="s">
        <v>111</v>
      </c>
      <c r="H12" s="172">
        <v>260000</v>
      </c>
      <c r="I12" s="172">
        <v>255000</v>
      </c>
      <c r="J12" s="172">
        <v>0</v>
      </c>
      <c r="K12" s="172">
        <v>5000</v>
      </c>
      <c r="L12" s="172">
        <v>0</v>
      </c>
      <c r="M12" s="172">
        <f t="shared" si="0"/>
        <v>255000</v>
      </c>
      <c r="N12" s="172">
        <f t="shared" si="1"/>
        <v>255000</v>
      </c>
      <c r="O12" s="175">
        <f t="shared" si="2"/>
        <v>0.98076923076923073</v>
      </c>
      <c r="P12" s="175">
        <f t="shared" si="3"/>
        <v>0.98076923076923073</v>
      </c>
      <c r="Q12" s="6" t="s">
        <v>71</v>
      </c>
      <c r="R12" s="15" t="s">
        <v>112</v>
      </c>
      <c r="S12" s="178">
        <v>46127</v>
      </c>
      <c r="T12" s="181">
        <v>66</v>
      </c>
      <c r="U12" s="175">
        <v>0.56000000000000005</v>
      </c>
      <c r="V12" s="181">
        <v>8</v>
      </c>
      <c r="W12" s="6" t="str">
        <f>IF(Q12="Churned","Lost",IF(OR(T12&lt;Inputs!$B$11,U12&lt;Inputs!$B$13,V12&gt;Inputs!$B$15),"High",IF(OR(T12&lt;Inputs!$B$12,U12&lt;Inputs!$B$14,V12&gt;Inputs!$B$16),"Medium","Low")))</f>
        <v>Medium</v>
      </c>
      <c r="X12" s="15" t="str">
        <f t="shared" si="4"/>
        <v>CSM action plan before renewal</v>
      </c>
      <c r="Y12" s="184">
        <f ca="1">IF(W12="Lost",0,(100-T12)*0.35+(1-U12)*100*0.3+V12*2+IF(S12-TODAY()&lt;=Inputs!$B$17,20,0)+IF(W12="High",25,IF(W12="Medium",10,0)))</f>
        <v>71.099999999999994</v>
      </c>
    </row>
    <row r="13" spans="1:25" ht="16" customHeight="1">
      <c r="A13" s="25" t="s">
        <v>142</v>
      </c>
      <c r="B13" s="24" t="s">
        <v>143</v>
      </c>
      <c r="C13" s="170">
        <v>46174</v>
      </c>
      <c r="D13" s="23" t="s">
        <v>57</v>
      </c>
      <c r="E13" s="23" t="s">
        <v>119</v>
      </c>
      <c r="F13" s="23" t="s">
        <v>61</v>
      </c>
      <c r="G13" s="23" t="s">
        <v>123</v>
      </c>
      <c r="H13" s="173">
        <v>54000</v>
      </c>
      <c r="I13" s="173">
        <v>54000</v>
      </c>
      <c r="J13" s="173">
        <v>0</v>
      </c>
      <c r="K13" s="173">
        <v>0</v>
      </c>
      <c r="L13" s="173">
        <v>0</v>
      </c>
      <c r="M13" s="173">
        <f t="shared" si="0"/>
        <v>54000</v>
      </c>
      <c r="N13" s="173">
        <f t="shared" si="1"/>
        <v>54000</v>
      </c>
      <c r="O13" s="176">
        <f t="shared" si="2"/>
        <v>1</v>
      </c>
      <c r="P13" s="176">
        <f t="shared" si="3"/>
        <v>1</v>
      </c>
      <c r="Q13" s="25" t="s">
        <v>71</v>
      </c>
      <c r="R13" s="23" t="s">
        <v>112</v>
      </c>
      <c r="S13" s="179">
        <v>46158</v>
      </c>
      <c r="T13" s="182">
        <v>69</v>
      </c>
      <c r="U13" s="176">
        <v>0.56999999999999995</v>
      </c>
      <c r="V13" s="182">
        <v>6</v>
      </c>
      <c r="W13" s="25" t="str">
        <f>IF(Q13="Churned","Lost",IF(OR(T13&lt;Inputs!$B$11,U13&lt;Inputs!$B$13,V13&gt;Inputs!$B$15),"High",IF(OR(T13&lt;Inputs!$B$12,U13&lt;Inputs!$B$14,V13&gt;Inputs!$B$16),"Medium","Low")))</f>
        <v>Medium</v>
      </c>
      <c r="X13" s="23" t="str">
        <f t="shared" si="4"/>
        <v>CSM action plan before renewal</v>
      </c>
      <c r="Y13" s="185">
        <f ca="1">IF(W13="Lost",0,(100-T13)*0.35+(1-U13)*100*0.3+V13*2+IF(S13-TODAY()&lt;=Inputs!$B$17,20,0)+IF(W13="High",25,IF(W13="Medium",10,0)))</f>
        <v>65.75</v>
      </c>
    </row>
    <row r="14" spans="1:25" ht="16" customHeight="1">
      <c r="A14" s="6" t="s">
        <v>144</v>
      </c>
      <c r="B14" s="16" t="s">
        <v>145</v>
      </c>
      <c r="C14" s="169">
        <v>46023</v>
      </c>
      <c r="D14" s="15" t="s">
        <v>51</v>
      </c>
      <c r="E14" s="15" t="s">
        <v>115</v>
      </c>
      <c r="F14" s="15" t="s">
        <v>67</v>
      </c>
      <c r="G14" s="15" t="s">
        <v>129</v>
      </c>
      <c r="H14" s="172">
        <v>295000</v>
      </c>
      <c r="I14" s="172">
        <v>330000</v>
      </c>
      <c r="J14" s="172">
        <v>35000</v>
      </c>
      <c r="K14" s="172">
        <v>0</v>
      </c>
      <c r="L14" s="172">
        <v>0</v>
      </c>
      <c r="M14" s="172">
        <f t="shared" si="0"/>
        <v>295000</v>
      </c>
      <c r="N14" s="172">
        <f t="shared" si="1"/>
        <v>330000</v>
      </c>
      <c r="O14" s="175">
        <f t="shared" si="2"/>
        <v>1</v>
      </c>
      <c r="P14" s="175">
        <f t="shared" si="3"/>
        <v>1.1186440677966101</v>
      </c>
      <c r="Q14" s="6" t="s">
        <v>71</v>
      </c>
      <c r="R14" s="15" t="s">
        <v>112</v>
      </c>
      <c r="S14" s="178">
        <v>46190</v>
      </c>
      <c r="T14" s="181">
        <v>91</v>
      </c>
      <c r="U14" s="175">
        <v>0.88</v>
      </c>
      <c r="V14" s="181">
        <v>1</v>
      </c>
      <c r="W14" s="6" t="str">
        <f>IF(Q14="Churned","Lost",IF(OR(T14&lt;Inputs!$B$11,U14&lt;Inputs!$B$13,V14&gt;Inputs!$B$15),"High",IF(OR(T14&lt;Inputs!$B$12,U14&lt;Inputs!$B$14,V14&gt;Inputs!$B$16),"Medium","Low")))</f>
        <v>Low</v>
      </c>
      <c r="X14" s="15" t="str">
        <f t="shared" si="4"/>
        <v>Monitor / expansion candidate</v>
      </c>
      <c r="Y14" s="184">
        <f ca="1">IF(W14="Lost",0,(100-T14)*0.35+(1-U14)*100*0.3+V14*2+IF(S14-TODAY()&lt;=Inputs!$B$17,20,0)+IF(W14="High",25,IF(W14="Medium",10,0)))</f>
        <v>28.75</v>
      </c>
    </row>
    <row r="15" spans="1:25" ht="16" customHeight="1">
      <c r="A15" s="25" t="s">
        <v>146</v>
      </c>
      <c r="B15" s="24" t="s">
        <v>147</v>
      </c>
      <c r="C15" s="170">
        <v>46054</v>
      </c>
      <c r="D15" s="23" t="s">
        <v>57</v>
      </c>
      <c r="E15" s="23" t="s">
        <v>132</v>
      </c>
      <c r="F15" s="23" t="s">
        <v>61</v>
      </c>
      <c r="G15" s="23" t="s">
        <v>123</v>
      </c>
      <c r="H15" s="173">
        <v>42000</v>
      </c>
      <c r="I15" s="173">
        <v>0</v>
      </c>
      <c r="J15" s="173">
        <v>0</v>
      </c>
      <c r="K15" s="173">
        <v>0</v>
      </c>
      <c r="L15" s="173">
        <v>42000</v>
      </c>
      <c r="M15" s="173">
        <f t="shared" si="0"/>
        <v>0</v>
      </c>
      <c r="N15" s="173">
        <f t="shared" si="1"/>
        <v>0</v>
      </c>
      <c r="O15" s="176">
        <f t="shared" si="2"/>
        <v>0</v>
      </c>
      <c r="P15" s="176">
        <f t="shared" si="3"/>
        <v>0</v>
      </c>
      <c r="Q15" s="25" t="s">
        <v>74</v>
      </c>
      <c r="R15" s="23" t="s">
        <v>148</v>
      </c>
      <c r="S15" s="179">
        <v>46221</v>
      </c>
      <c r="T15" s="182">
        <v>38</v>
      </c>
      <c r="U15" s="176">
        <v>0.28999999999999998</v>
      </c>
      <c r="V15" s="182">
        <v>13</v>
      </c>
      <c r="W15" s="25" t="str">
        <f>IF(Q15="Churned","Lost",IF(OR(T15&lt;Inputs!$B$11,U15&lt;Inputs!$B$13,V15&gt;Inputs!$B$15),"High",IF(OR(T15&lt;Inputs!$B$12,U15&lt;Inputs!$B$14,V15&gt;Inputs!$B$16),"Medium","Low")))</f>
        <v>Lost</v>
      </c>
      <c r="X15" s="23" t="str">
        <f t="shared" si="4"/>
        <v>Document root cause and replace ARR</v>
      </c>
      <c r="Y15" s="185">
        <f ca="1">IF(W15="Lost",0,(100-T15)*0.35+(1-U15)*100*0.3+V15*2+IF(S15-TODAY()&lt;=Inputs!$B$17,20,0)+IF(W15="High",25,IF(W15="Medium",10,0)))</f>
        <v>0</v>
      </c>
    </row>
    <row r="16" spans="1:25" ht="16" customHeight="1">
      <c r="A16" s="6" t="s">
        <v>149</v>
      </c>
      <c r="B16" s="16" t="s">
        <v>150</v>
      </c>
      <c r="C16" s="169">
        <v>46082</v>
      </c>
      <c r="D16" s="15" t="s">
        <v>54</v>
      </c>
      <c r="E16" s="15" t="s">
        <v>151</v>
      </c>
      <c r="F16" s="15" t="s">
        <v>61</v>
      </c>
      <c r="G16" s="15" t="s">
        <v>116</v>
      </c>
      <c r="H16" s="172">
        <v>145000</v>
      </c>
      <c r="I16" s="172">
        <v>162000</v>
      </c>
      <c r="J16" s="172">
        <v>17000</v>
      </c>
      <c r="K16" s="172">
        <v>0</v>
      </c>
      <c r="L16" s="172">
        <v>0</v>
      </c>
      <c r="M16" s="172">
        <f t="shared" si="0"/>
        <v>145000</v>
      </c>
      <c r="N16" s="172">
        <f t="shared" si="1"/>
        <v>162000</v>
      </c>
      <c r="O16" s="175">
        <f t="shared" si="2"/>
        <v>1</v>
      </c>
      <c r="P16" s="175">
        <f t="shared" si="3"/>
        <v>1.1172413793103448</v>
      </c>
      <c r="Q16" s="6" t="s">
        <v>71</v>
      </c>
      <c r="R16" s="15" t="s">
        <v>112</v>
      </c>
      <c r="S16" s="178">
        <v>46253</v>
      </c>
      <c r="T16" s="181">
        <v>75</v>
      </c>
      <c r="U16" s="175">
        <v>0.69</v>
      </c>
      <c r="V16" s="181">
        <v>3</v>
      </c>
      <c r="W16" s="6" t="str">
        <f>IF(Q16="Churned","Lost",IF(OR(T16&lt;Inputs!$B$11,U16&lt;Inputs!$B$13,V16&gt;Inputs!$B$15),"High",IF(OR(T16&lt;Inputs!$B$12,U16&lt;Inputs!$B$14,V16&gt;Inputs!$B$16),"Medium","Low")))</f>
        <v>Low</v>
      </c>
      <c r="X16" s="15" t="str">
        <f t="shared" si="4"/>
        <v>Monitor / expansion candidate</v>
      </c>
      <c r="Y16" s="184">
        <f ca="1">IF(W16="Lost",0,(100-T16)*0.35+(1-U16)*100*0.3+V16*2+IF(S16-TODAY()&lt;=Inputs!$B$17,20,0)+IF(W16="High",25,IF(W16="Medium",10,0)))</f>
        <v>24.050000000000004</v>
      </c>
    </row>
    <row r="17" spans="1:25" ht="16" customHeight="1">
      <c r="A17" s="25" t="s">
        <v>152</v>
      </c>
      <c r="B17" s="24" t="s">
        <v>153</v>
      </c>
      <c r="C17" s="170">
        <v>46113</v>
      </c>
      <c r="D17" s="23" t="s">
        <v>51</v>
      </c>
      <c r="E17" s="23" t="s">
        <v>154</v>
      </c>
      <c r="F17" s="23" t="s">
        <v>64</v>
      </c>
      <c r="G17" s="23" t="s">
        <v>129</v>
      </c>
      <c r="H17" s="173">
        <v>340000</v>
      </c>
      <c r="I17" s="173">
        <v>320000</v>
      </c>
      <c r="J17" s="173">
        <v>0</v>
      </c>
      <c r="K17" s="173">
        <v>20000</v>
      </c>
      <c r="L17" s="173">
        <v>0</v>
      </c>
      <c r="M17" s="173">
        <f t="shared" si="0"/>
        <v>320000</v>
      </c>
      <c r="N17" s="173">
        <f t="shared" si="1"/>
        <v>320000</v>
      </c>
      <c r="O17" s="176">
        <f t="shared" si="2"/>
        <v>0.94117647058823528</v>
      </c>
      <c r="P17" s="176">
        <f t="shared" si="3"/>
        <v>0.94117647058823528</v>
      </c>
      <c r="Q17" s="25" t="s">
        <v>71</v>
      </c>
      <c r="R17" s="23" t="s">
        <v>112</v>
      </c>
      <c r="S17" s="179">
        <v>46285</v>
      </c>
      <c r="T17" s="182">
        <v>54</v>
      </c>
      <c r="U17" s="176">
        <v>0.39</v>
      </c>
      <c r="V17" s="182">
        <v>15</v>
      </c>
      <c r="W17" s="25" t="str">
        <f>IF(Q17="Churned","Lost",IF(OR(T17&lt;Inputs!$B$11,U17&lt;Inputs!$B$13,V17&gt;Inputs!$B$15),"High",IF(OR(T17&lt;Inputs!$B$12,U17&lt;Inputs!$B$14,V17&gt;Inputs!$B$16),"Medium","Low")))</f>
        <v>High</v>
      </c>
      <c r="X17" s="23" t="str">
        <f t="shared" si="4"/>
        <v>Executive save plan + adoption intervention</v>
      </c>
      <c r="Y17" s="185">
        <f ca="1">IF(W17="Lost",0,(100-T17)*0.35+(1-U17)*100*0.3+V17*2+IF(S17-TODAY()&lt;=Inputs!$B$17,20,0)+IF(W17="High",25,IF(W17="Medium",10,0)))</f>
        <v>89.4</v>
      </c>
    </row>
    <row r="18" spans="1:25" ht="16" customHeight="1">
      <c r="A18" s="6" t="s">
        <v>155</v>
      </c>
      <c r="B18" s="16" t="s">
        <v>156</v>
      </c>
      <c r="C18" s="169">
        <v>46143</v>
      </c>
      <c r="D18" s="15" t="s">
        <v>54</v>
      </c>
      <c r="E18" s="15" t="s">
        <v>110</v>
      </c>
      <c r="F18" s="15" t="s">
        <v>61</v>
      </c>
      <c r="G18" s="15" t="s">
        <v>111</v>
      </c>
      <c r="H18" s="172">
        <v>115000</v>
      </c>
      <c r="I18" s="172">
        <v>113000</v>
      </c>
      <c r="J18" s="172">
        <v>3000</v>
      </c>
      <c r="K18" s="172">
        <v>5000</v>
      </c>
      <c r="L18" s="172">
        <v>0</v>
      </c>
      <c r="M18" s="172">
        <f t="shared" si="0"/>
        <v>110000</v>
      </c>
      <c r="N18" s="172">
        <f t="shared" si="1"/>
        <v>113000</v>
      </c>
      <c r="O18" s="175">
        <f t="shared" si="2"/>
        <v>0.95652173913043481</v>
      </c>
      <c r="P18" s="175">
        <f t="shared" si="3"/>
        <v>0.9826086956521739</v>
      </c>
      <c r="Q18" s="6" t="s">
        <v>71</v>
      </c>
      <c r="R18" s="15" t="s">
        <v>112</v>
      </c>
      <c r="S18" s="178">
        <v>46316</v>
      </c>
      <c r="T18" s="181">
        <v>63</v>
      </c>
      <c r="U18" s="175">
        <v>0.52</v>
      </c>
      <c r="V18" s="181">
        <v>7</v>
      </c>
      <c r="W18" s="6" t="str">
        <f>IF(Q18="Churned","Lost",IF(OR(T18&lt;Inputs!$B$11,U18&lt;Inputs!$B$13,V18&gt;Inputs!$B$15),"High",IF(OR(T18&lt;Inputs!$B$12,U18&lt;Inputs!$B$14,V18&gt;Inputs!$B$16),"Medium","Low")))</f>
        <v>Medium</v>
      </c>
      <c r="X18" s="15" t="str">
        <f t="shared" si="4"/>
        <v>CSM action plan before renewal</v>
      </c>
      <c r="Y18" s="184">
        <f ca="1">IF(W18="Lost",0,(100-T18)*0.35+(1-U18)*100*0.3+V18*2+IF(S18-TODAY()&lt;=Inputs!$B$17,20,0)+IF(W18="High",25,IF(W18="Medium",10,0)))</f>
        <v>51.349999999999994</v>
      </c>
    </row>
    <row r="19" spans="1:25" ht="16" customHeight="1">
      <c r="A19" s="25" t="s">
        <v>157</v>
      </c>
      <c r="B19" s="24" t="s">
        <v>158</v>
      </c>
      <c r="C19" s="170">
        <v>46174</v>
      </c>
      <c r="D19" s="23" t="s">
        <v>57</v>
      </c>
      <c r="E19" s="23" t="s">
        <v>132</v>
      </c>
      <c r="F19" s="23" t="s">
        <v>61</v>
      </c>
      <c r="G19" s="23" t="s">
        <v>123</v>
      </c>
      <c r="H19" s="173">
        <v>58000</v>
      </c>
      <c r="I19" s="173">
        <v>58000</v>
      </c>
      <c r="J19" s="173">
        <v>0</v>
      </c>
      <c r="K19" s="173">
        <v>0</v>
      </c>
      <c r="L19" s="173">
        <v>0</v>
      </c>
      <c r="M19" s="173">
        <f t="shared" si="0"/>
        <v>58000</v>
      </c>
      <c r="N19" s="173">
        <f t="shared" si="1"/>
        <v>58000</v>
      </c>
      <c r="O19" s="176">
        <f t="shared" si="2"/>
        <v>1</v>
      </c>
      <c r="P19" s="176">
        <f t="shared" si="3"/>
        <v>1</v>
      </c>
      <c r="Q19" s="25" t="s">
        <v>71</v>
      </c>
      <c r="R19" s="23" t="s">
        <v>112</v>
      </c>
      <c r="S19" s="179">
        <v>46348</v>
      </c>
      <c r="T19" s="182">
        <v>84</v>
      </c>
      <c r="U19" s="176">
        <v>0.77</v>
      </c>
      <c r="V19" s="182">
        <v>2</v>
      </c>
      <c r="W19" s="25" t="str">
        <f>IF(Q19="Churned","Lost",IF(OR(T19&lt;Inputs!$B$11,U19&lt;Inputs!$B$13,V19&gt;Inputs!$B$15),"High",IF(OR(T19&lt;Inputs!$B$12,U19&lt;Inputs!$B$14,V19&gt;Inputs!$B$16),"Medium","Low")))</f>
        <v>Low</v>
      </c>
      <c r="X19" s="23" t="str">
        <f t="shared" si="4"/>
        <v>Monitor / expansion candidate</v>
      </c>
      <c r="Y19" s="185">
        <f ca="1">IF(W19="Lost",0,(100-T19)*0.35+(1-U19)*100*0.3+V19*2+IF(S19-TODAY()&lt;=Inputs!$B$17,20,0)+IF(W19="High",25,IF(W19="Medium",10,0)))</f>
        <v>16.5</v>
      </c>
    </row>
    <row r="20" spans="1:25" ht="16" customHeight="1">
      <c r="A20" s="6" t="s">
        <v>159</v>
      </c>
      <c r="B20" s="16" t="s">
        <v>160</v>
      </c>
      <c r="C20" s="169">
        <v>46023</v>
      </c>
      <c r="D20" s="15" t="s">
        <v>51</v>
      </c>
      <c r="E20" s="15" t="s">
        <v>115</v>
      </c>
      <c r="F20" s="15" t="s">
        <v>61</v>
      </c>
      <c r="G20" s="15" t="s">
        <v>116</v>
      </c>
      <c r="H20" s="172">
        <v>305000</v>
      </c>
      <c r="I20" s="172">
        <v>329000</v>
      </c>
      <c r="J20" s="172">
        <v>24000</v>
      </c>
      <c r="K20" s="172">
        <v>0</v>
      </c>
      <c r="L20" s="172">
        <v>0</v>
      </c>
      <c r="M20" s="172">
        <f t="shared" si="0"/>
        <v>305000</v>
      </c>
      <c r="N20" s="172">
        <f t="shared" si="1"/>
        <v>329000</v>
      </c>
      <c r="O20" s="175">
        <f t="shared" si="2"/>
        <v>1</v>
      </c>
      <c r="P20" s="175">
        <f t="shared" si="3"/>
        <v>1.0786885245901638</v>
      </c>
      <c r="Q20" s="6" t="s">
        <v>71</v>
      </c>
      <c r="R20" s="15" t="s">
        <v>112</v>
      </c>
      <c r="S20" s="178">
        <v>46379</v>
      </c>
      <c r="T20" s="181">
        <v>79</v>
      </c>
      <c r="U20" s="175">
        <v>0.73</v>
      </c>
      <c r="V20" s="181">
        <v>5</v>
      </c>
      <c r="W20" s="6" t="str">
        <f>IF(Q20="Churned","Lost",IF(OR(T20&lt;Inputs!$B$11,U20&lt;Inputs!$B$13,V20&gt;Inputs!$B$15),"High",IF(OR(T20&lt;Inputs!$B$12,U20&lt;Inputs!$B$14,V20&gt;Inputs!$B$16),"Medium","Low")))</f>
        <v>Low</v>
      </c>
      <c r="X20" s="15" t="str">
        <f t="shared" si="4"/>
        <v>Monitor / expansion candidate</v>
      </c>
      <c r="Y20" s="184">
        <f ca="1">IF(W20="Lost",0,(100-T20)*0.35+(1-U20)*100*0.3+V20*2+IF(S20-TODAY()&lt;=Inputs!$B$17,20,0)+IF(W20="High",25,IF(W20="Medium",10,0)))</f>
        <v>25.45</v>
      </c>
    </row>
    <row r="21" spans="1:25" ht="16" customHeight="1">
      <c r="A21" s="25" t="s">
        <v>161</v>
      </c>
      <c r="B21" s="24" t="s">
        <v>162</v>
      </c>
      <c r="C21" s="170">
        <v>46054</v>
      </c>
      <c r="D21" s="23" t="s">
        <v>54</v>
      </c>
      <c r="E21" s="23" t="s">
        <v>119</v>
      </c>
      <c r="F21" s="23" t="s">
        <v>67</v>
      </c>
      <c r="G21" s="23" t="s">
        <v>129</v>
      </c>
      <c r="H21" s="173">
        <v>125000</v>
      </c>
      <c r="I21" s="173">
        <v>0</v>
      </c>
      <c r="J21" s="173">
        <v>0</v>
      </c>
      <c r="K21" s="173">
        <v>0</v>
      </c>
      <c r="L21" s="173">
        <v>125000</v>
      </c>
      <c r="M21" s="173">
        <f t="shared" si="0"/>
        <v>0</v>
      </c>
      <c r="N21" s="173">
        <f t="shared" si="1"/>
        <v>0</v>
      </c>
      <c r="O21" s="176">
        <f t="shared" si="2"/>
        <v>0</v>
      </c>
      <c r="P21" s="176">
        <f t="shared" si="3"/>
        <v>0</v>
      </c>
      <c r="Q21" s="25" t="s">
        <v>74</v>
      </c>
      <c r="R21" s="23" t="s">
        <v>163</v>
      </c>
      <c r="S21" s="179">
        <v>46046</v>
      </c>
      <c r="T21" s="182">
        <v>42</v>
      </c>
      <c r="U21" s="176">
        <v>0.35</v>
      </c>
      <c r="V21" s="182">
        <v>16</v>
      </c>
      <c r="W21" s="25" t="str">
        <f>IF(Q21="Churned","Lost",IF(OR(T21&lt;Inputs!$B$11,U21&lt;Inputs!$B$13,V21&gt;Inputs!$B$15),"High",IF(OR(T21&lt;Inputs!$B$12,U21&lt;Inputs!$B$14,V21&gt;Inputs!$B$16),"Medium","Low")))</f>
        <v>Lost</v>
      </c>
      <c r="X21" s="23" t="str">
        <f t="shared" si="4"/>
        <v>Document root cause and replace ARR</v>
      </c>
      <c r="Y21" s="185">
        <f ca="1">IF(W21="Lost",0,(100-T21)*0.35+(1-U21)*100*0.3+V21*2+IF(S21-TODAY()&lt;=Inputs!$B$17,20,0)+IF(W21="High",25,IF(W21="Medium",10,0)))</f>
        <v>0</v>
      </c>
    </row>
    <row r="22" spans="1:25" ht="16" customHeight="1">
      <c r="A22" s="6" t="s">
        <v>164</v>
      </c>
      <c r="B22" s="16" t="s">
        <v>165</v>
      </c>
      <c r="C22" s="169">
        <v>46082</v>
      </c>
      <c r="D22" s="15" t="s">
        <v>57</v>
      </c>
      <c r="E22" s="15" t="s">
        <v>151</v>
      </c>
      <c r="F22" s="15" t="s">
        <v>61</v>
      </c>
      <c r="G22" s="15" t="s">
        <v>123</v>
      </c>
      <c r="H22" s="172">
        <v>66000</v>
      </c>
      <c r="I22" s="172">
        <v>66000</v>
      </c>
      <c r="J22" s="172">
        <v>1000</v>
      </c>
      <c r="K22" s="172">
        <v>1000</v>
      </c>
      <c r="L22" s="172">
        <v>0</v>
      </c>
      <c r="M22" s="172">
        <f t="shared" si="0"/>
        <v>65000</v>
      </c>
      <c r="N22" s="172">
        <f t="shared" si="1"/>
        <v>66000</v>
      </c>
      <c r="O22" s="175">
        <f t="shared" si="2"/>
        <v>0.98484848484848486</v>
      </c>
      <c r="P22" s="175">
        <f t="shared" si="3"/>
        <v>1</v>
      </c>
      <c r="Q22" s="6" t="s">
        <v>71</v>
      </c>
      <c r="R22" s="15" t="s">
        <v>112</v>
      </c>
      <c r="S22" s="178">
        <v>46078</v>
      </c>
      <c r="T22" s="181">
        <v>59</v>
      </c>
      <c r="U22" s="175">
        <v>0.46</v>
      </c>
      <c r="V22" s="181">
        <v>10</v>
      </c>
      <c r="W22" s="6" t="str">
        <f>IF(Q22="Churned","Lost",IF(OR(T22&lt;Inputs!$B$11,U22&lt;Inputs!$B$13,V22&gt;Inputs!$B$15),"High",IF(OR(T22&lt;Inputs!$B$12,U22&lt;Inputs!$B$14,V22&gt;Inputs!$B$16),"Medium","Low")))</f>
        <v>Medium</v>
      </c>
      <c r="X22" s="15" t="str">
        <f t="shared" si="4"/>
        <v>CSM action plan before renewal</v>
      </c>
      <c r="Y22" s="184">
        <f ca="1">IF(W22="Lost",0,(100-T22)*0.35+(1-U22)*100*0.3+V22*2+IF(S22-TODAY()&lt;=Inputs!$B$17,20,0)+IF(W22="High",25,IF(W22="Medium",10,0)))</f>
        <v>80.55</v>
      </c>
    </row>
    <row r="23" spans="1:25" ht="16" customHeight="1">
      <c r="A23" s="25" t="s">
        <v>166</v>
      </c>
      <c r="B23" s="24" t="s">
        <v>167</v>
      </c>
      <c r="C23" s="170">
        <v>46113</v>
      </c>
      <c r="D23" s="23" t="s">
        <v>51</v>
      </c>
      <c r="E23" s="23" t="s">
        <v>110</v>
      </c>
      <c r="F23" s="23" t="s">
        <v>61</v>
      </c>
      <c r="G23" s="23" t="s">
        <v>111</v>
      </c>
      <c r="H23" s="173">
        <v>375000</v>
      </c>
      <c r="I23" s="173">
        <v>386000</v>
      </c>
      <c r="J23" s="173">
        <v>11000</v>
      </c>
      <c r="K23" s="173">
        <v>0</v>
      </c>
      <c r="L23" s="173">
        <v>0</v>
      </c>
      <c r="M23" s="173">
        <f t="shared" si="0"/>
        <v>375000</v>
      </c>
      <c r="N23" s="173">
        <f t="shared" si="1"/>
        <v>386000</v>
      </c>
      <c r="O23" s="176">
        <f t="shared" si="2"/>
        <v>1</v>
      </c>
      <c r="P23" s="176">
        <f t="shared" si="3"/>
        <v>1.0293333333333334</v>
      </c>
      <c r="Q23" s="25" t="s">
        <v>71</v>
      </c>
      <c r="R23" s="23" t="s">
        <v>112</v>
      </c>
      <c r="S23" s="179">
        <v>46107</v>
      </c>
      <c r="T23" s="182">
        <v>87</v>
      </c>
      <c r="U23" s="176">
        <v>0.82</v>
      </c>
      <c r="V23" s="182">
        <v>4</v>
      </c>
      <c r="W23" s="25" t="str">
        <f>IF(Q23="Churned","Lost",IF(OR(T23&lt;Inputs!$B$11,U23&lt;Inputs!$B$13,V23&gt;Inputs!$B$15),"High",IF(OR(T23&lt;Inputs!$B$12,U23&lt;Inputs!$B$14,V23&gt;Inputs!$B$16),"Medium","Low")))</f>
        <v>Low</v>
      </c>
      <c r="X23" s="23" t="str">
        <f t="shared" si="4"/>
        <v>Monitor / expansion candidate</v>
      </c>
      <c r="Y23" s="185">
        <f ca="1">IF(W23="Lost",0,(100-T23)*0.35+(1-U23)*100*0.3+V23*2+IF(S23-TODAY()&lt;=Inputs!$B$17,20,0)+IF(W23="High",25,IF(W23="Medium",10,0)))</f>
        <v>37.950000000000003</v>
      </c>
    </row>
    <row r="24" spans="1:25" ht="16" customHeight="1">
      <c r="A24" s="6" t="s">
        <v>168</v>
      </c>
      <c r="B24" s="16" t="s">
        <v>169</v>
      </c>
      <c r="C24" s="169">
        <v>46143</v>
      </c>
      <c r="D24" s="15" t="s">
        <v>54</v>
      </c>
      <c r="E24" s="15" t="s">
        <v>132</v>
      </c>
      <c r="F24" s="15" t="s">
        <v>61</v>
      </c>
      <c r="G24" s="15" t="s">
        <v>116</v>
      </c>
      <c r="H24" s="172">
        <v>168000</v>
      </c>
      <c r="I24" s="172">
        <v>168000</v>
      </c>
      <c r="J24" s="172">
        <v>0</v>
      </c>
      <c r="K24" s="172">
        <v>0</v>
      </c>
      <c r="L24" s="172">
        <v>0</v>
      </c>
      <c r="M24" s="172">
        <f t="shared" si="0"/>
        <v>168000</v>
      </c>
      <c r="N24" s="172">
        <f t="shared" si="1"/>
        <v>168000</v>
      </c>
      <c r="O24" s="175">
        <f t="shared" si="2"/>
        <v>1</v>
      </c>
      <c r="P24" s="175">
        <f t="shared" si="3"/>
        <v>1</v>
      </c>
      <c r="Q24" s="6" t="s">
        <v>71</v>
      </c>
      <c r="R24" s="15" t="s">
        <v>112</v>
      </c>
      <c r="S24" s="178">
        <v>46139</v>
      </c>
      <c r="T24" s="181">
        <v>71</v>
      </c>
      <c r="U24" s="175">
        <v>0.64</v>
      </c>
      <c r="V24" s="181">
        <v>6</v>
      </c>
      <c r="W24" s="6" t="str">
        <f>IF(Q24="Churned","Lost",IF(OR(T24&lt;Inputs!$B$11,U24&lt;Inputs!$B$13,V24&gt;Inputs!$B$15),"High",IF(OR(T24&lt;Inputs!$B$12,U24&lt;Inputs!$B$14,V24&gt;Inputs!$B$16),"Medium","Low")))</f>
        <v>Low</v>
      </c>
      <c r="X24" s="15" t="str">
        <f t="shared" si="4"/>
        <v>Monitor / expansion candidate</v>
      </c>
      <c r="Y24" s="184">
        <f ca="1">IF(W24="Lost",0,(100-T24)*0.35+(1-U24)*100*0.3+V24*2+IF(S24-TODAY()&lt;=Inputs!$B$17,20,0)+IF(W24="High",25,IF(W24="Medium",10,0)))</f>
        <v>52.949999999999996</v>
      </c>
    </row>
    <row r="25" spans="1:25" ht="16" customHeight="1">
      <c r="A25" s="25" t="s">
        <v>170</v>
      </c>
      <c r="B25" s="24" t="s">
        <v>171</v>
      </c>
      <c r="C25" s="170">
        <v>46174</v>
      </c>
      <c r="D25" s="23" t="s">
        <v>57</v>
      </c>
      <c r="E25" s="23" t="s">
        <v>115</v>
      </c>
      <c r="F25" s="23" t="s">
        <v>61</v>
      </c>
      <c r="G25" s="23" t="s">
        <v>123</v>
      </c>
      <c r="H25" s="173">
        <v>52000</v>
      </c>
      <c r="I25" s="173">
        <v>53000</v>
      </c>
      <c r="J25" s="173">
        <v>1000</v>
      </c>
      <c r="K25" s="173">
        <v>0</v>
      </c>
      <c r="L25" s="173">
        <v>0</v>
      </c>
      <c r="M25" s="173">
        <f t="shared" si="0"/>
        <v>52000</v>
      </c>
      <c r="N25" s="173">
        <f t="shared" si="1"/>
        <v>53000</v>
      </c>
      <c r="O25" s="176">
        <f t="shared" si="2"/>
        <v>1</v>
      </c>
      <c r="P25" s="176">
        <f t="shared" si="3"/>
        <v>1.0192307692307692</v>
      </c>
      <c r="Q25" s="25" t="s">
        <v>71</v>
      </c>
      <c r="R25" s="23" t="s">
        <v>112</v>
      </c>
      <c r="S25" s="179">
        <v>46170</v>
      </c>
      <c r="T25" s="182">
        <v>64</v>
      </c>
      <c r="U25" s="176">
        <v>0.55000000000000004</v>
      </c>
      <c r="V25" s="182">
        <v>7</v>
      </c>
      <c r="W25" s="25" t="str">
        <f>IF(Q25="Churned","Lost",IF(OR(T25&lt;Inputs!$B$11,U25&lt;Inputs!$B$13,V25&gt;Inputs!$B$15),"High",IF(OR(T25&lt;Inputs!$B$12,U25&lt;Inputs!$B$14,V25&gt;Inputs!$B$16),"Medium","Low")))</f>
        <v>Medium</v>
      </c>
      <c r="X25" s="23" t="str">
        <f t="shared" si="4"/>
        <v>CSM action plan before renewal</v>
      </c>
      <c r="Y25" s="185">
        <f ca="1">IF(W25="Lost",0,(100-T25)*0.35+(1-U25)*100*0.3+V25*2+IF(S25-TODAY()&lt;=Inputs!$B$17,20,0)+IF(W25="High",25,IF(W25="Medium",10,0)))</f>
        <v>70.099999999999994</v>
      </c>
    </row>
    <row r="26" spans="1:25" ht="16" customHeight="1">
      <c r="A26" s="6" t="s">
        <v>172</v>
      </c>
      <c r="B26" s="16" t="s">
        <v>173</v>
      </c>
      <c r="C26" s="169">
        <v>46023</v>
      </c>
      <c r="D26" s="15" t="s">
        <v>51</v>
      </c>
      <c r="E26" s="15" t="s">
        <v>110</v>
      </c>
      <c r="F26" s="15" t="s">
        <v>64</v>
      </c>
      <c r="G26" s="15" t="s">
        <v>129</v>
      </c>
      <c r="H26" s="172">
        <v>220000</v>
      </c>
      <c r="I26" s="172">
        <v>231000</v>
      </c>
      <c r="J26" s="172">
        <v>11000</v>
      </c>
      <c r="K26" s="172">
        <v>0</v>
      </c>
      <c r="L26" s="172">
        <v>0</v>
      </c>
      <c r="M26" s="172">
        <f t="shared" si="0"/>
        <v>220000</v>
      </c>
      <c r="N26" s="172">
        <f t="shared" si="1"/>
        <v>231000</v>
      </c>
      <c r="O26" s="175">
        <f t="shared" si="2"/>
        <v>1</v>
      </c>
      <c r="P26" s="175">
        <f t="shared" si="3"/>
        <v>1.05</v>
      </c>
      <c r="Q26" s="6" t="s">
        <v>71</v>
      </c>
      <c r="R26" s="15" t="s">
        <v>112</v>
      </c>
      <c r="S26" s="178">
        <v>46201</v>
      </c>
      <c r="T26" s="181">
        <v>90</v>
      </c>
      <c r="U26" s="175">
        <v>0.86</v>
      </c>
      <c r="V26" s="181">
        <v>1</v>
      </c>
      <c r="W26" s="6" t="str">
        <f>IF(Q26="Churned","Lost",IF(OR(T26&lt;Inputs!$B$11,U26&lt;Inputs!$B$13,V26&gt;Inputs!$B$15),"High",IF(OR(T26&lt;Inputs!$B$12,U26&lt;Inputs!$B$14,V26&gt;Inputs!$B$16),"Medium","Low")))</f>
        <v>Low</v>
      </c>
      <c r="X26" s="15" t="str">
        <f t="shared" si="4"/>
        <v>Monitor / expansion candidate</v>
      </c>
      <c r="Y26" s="184">
        <f ca="1">IF(W26="Lost",0,(100-T26)*0.35+(1-U26)*100*0.3+V26*2+IF(S26-TODAY()&lt;=Inputs!$B$17,20,0)+IF(W26="High",25,IF(W26="Medium",10,0)))</f>
        <v>29.7</v>
      </c>
    </row>
    <row r="27" spans="1:25" ht="16" customHeight="1">
      <c r="A27" s="25" t="s">
        <v>174</v>
      </c>
      <c r="B27" s="24" t="s">
        <v>175</v>
      </c>
      <c r="C27" s="170">
        <v>46054</v>
      </c>
      <c r="D27" s="23" t="s">
        <v>54</v>
      </c>
      <c r="E27" s="23" t="s">
        <v>122</v>
      </c>
      <c r="F27" s="23" t="s">
        <v>61</v>
      </c>
      <c r="G27" s="23" t="s">
        <v>116</v>
      </c>
      <c r="H27" s="173">
        <v>132000</v>
      </c>
      <c r="I27" s="173">
        <v>131000</v>
      </c>
      <c r="J27" s="173">
        <v>4000</v>
      </c>
      <c r="K27" s="173">
        <v>5000</v>
      </c>
      <c r="L27" s="173">
        <v>0</v>
      </c>
      <c r="M27" s="173">
        <f t="shared" si="0"/>
        <v>127000</v>
      </c>
      <c r="N27" s="173">
        <f t="shared" si="1"/>
        <v>131000</v>
      </c>
      <c r="O27" s="176">
        <f t="shared" si="2"/>
        <v>0.96212121212121215</v>
      </c>
      <c r="P27" s="176">
        <f t="shared" si="3"/>
        <v>0.99242424242424243</v>
      </c>
      <c r="Q27" s="25" t="s">
        <v>71</v>
      </c>
      <c r="R27" s="23" t="s">
        <v>112</v>
      </c>
      <c r="S27" s="179">
        <v>46231</v>
      </c>
      <c r="T27" s="182">
        <v>52</v>
      </c>
      <c r="U27" s="176">
        <v>0.41</v>
      </c>
      <c r="V27" s="182">
        <v>14</v>
      </c>
      <c r="W27" s="25" t="str">
        <f>IF(Q27="Churned","Lost",IF(OR(T27&lt;Inputs!$B$11,U27&lt;Inputs!$B$13,V27&gt;Inputs!$B$15),"High",IF(OR(T27&lt;Inputs!$B$12,U27&lt;Inputs!$B$14,V27&gt;Inputs!$B$16),"Medium","Low")))</f>
        <v>High</v>
      </c>
      <c r="X27" s="23" t="str">
        <f t="shared" si="4"/>
        <v>Executive save plan + adoption intervention</v>
      </c>
      <c r="Y27" s="185">
        <f ca="1">IF(W27="Lost",0,(100-T27)*0.35+(1-U27)*100*0.3+V27*2+IF(S27-TODAY()&lt;=Inputs!$B$17,20,0)+IF(W27="High",25,IF(W27="Medium",10,0)))</f>
        <v>107.5</v>
      </c>
    </row>
    <row r="28" spans="1:25" ht="16" customHeight="1">
      <c r="A28" s="6" t="s">
        <v>176</v>
      </c>
      <c r="B28" s="16" t="s">
        <v>177</v>
      </c>
      <c r="C28" s="169">
        <v>46082</v>
      </c>
      <c r="D28" s="15" t="s">
        <v>57</v>
      </c>
      <c r="E28" s="15" t="s">
        <v>119</v>
      </c>
      <c r="F28" s="15" t="s">
        <v>61</v>
      </c>
      <c r="G28" s="15" t="s">
        <v>123</v>
      </c>
      <c r="H28" s="172">
        <v>47000</v>
      </c>
      <c r="I28" s="172">
        <v>0</v>
      </c>
      <c r="J28" s="172">
        <v>0</v>
      </c>
      <c r="K28" s="172">
        <v>0</v>
      </c>
      <c r="L28" s="172">
        <v>47000</v>
      </c>
      <c r="M28" s="172">
        <f t="shared" si="0"/>
        <v>0</v>
      </c>
      <c r="N28" s="172">
        <f t="shared" si="1"/>
        <v>0</v>
      </c>
      <c r="O28" s="175">
        <f t="shared" si="2"/>
        <v>0</v>
      </c>
      <c r="P28" s="175">
        <f t="shared" si="3"/>
        <v>0</v>
      </c>
      <c r="Q28" s="6" t="s">
        <v>74</v>
      </c>
      <c r="R28" s="15" t="s">
        <v>178</v>
      </c>
      <c r="S28" s="178">
        <v>46262</v>
      </c>
      <c r="T28" s="181">
        <v>36</v>
      </c>
      <c r="U28" s="175">
        <v>0.24</v>
      </c>
      <c r="V28" s="181">
        <v>12</v>
      </c>
      <c r="W28" s="6" t="str">
        <f>IF(Q28="Churned","Lost",IF(OR(T28&lt;Inputs!$B$11,U28&lt;Inputs!$B$13,V28&gt;Inputs!$B$15),"High",IF(OR(T28&lt;Inputs!$B$12,U28&lt;Inputs!$B$14,V28&gt;Inputs!$B$16),"Medium","Low")))</f>
        <v>Lost</v>
      </c>
      <c r="X28" s="15" t="str">
        <f t="shared" si="4"/>
        <v>Document root cause and replace ARR</v>
      </c>
      <c r="Y28" s="184">
        <f ca="1">IF(W28="Lost",0,(100-T28)*0.35+(1-U28)*100*0.3+V28*2+IF(S28-TODAY()&lt;=Inputs!$B$17,20,0)+IF(W28="High",25,IF(W28="Medium",10,0)))</f>
        <v>0</v>
      </c>
    </row>
    <row r="29" spans="1:25" ht="16" customHeight="1">
      <c r="A29" s="25" t="s">
        <v>179</v>
      </c>
      <c r="B29" s="24" t="s">
        <v>180</v>
      </c>
      <c r="C29" s="170">
        <v>46113</v>
      </c>
      <c r="D29" s="23" t="s">
        <v>54</v>
      </c>
      <c r="E29" s="23" t="s">
        <v>110</v>
      </c>
      <c r="F29" s="23" t="s">
        <v>61</v>
      </c>
      <c r="G29" s="23" t="s">
        <v>111</v>
      </c>
      <c r="H29" s="173">
        <v>118000</v>
      </c>
      <c r="I29" s="173">
        <v>117000</v>
      </c>
      <c r="J29" s="173">
        <v>0</v>
      </c>
      <c r="K29" s="173">
        <v>1000</v>
      </c>
      <c r="L29" s="173">
        <v>0</v>
      </c>
      <c r="M29" s="173">
        <f t="shared" si="0"/>
        <v>117000</v>
      </c>
      <c r="N29" s="173">
        <f t="shared" si="1"/>
        <v>117000</v>
      </c>
      <c r="O29" s="176">
        <f t="shared" si="2"/>
        <v>0.99152542372881358</v>
      </c>
      <c r="P29" s="176">
        <f t="shared" si="3"/>
        <v>0.99152542372881358</v>
      </c>
      <c r="Q29" s="25" t="s">
        <v>71</v>
      </c>
      <c r="R29" s="23" t="s">
        <v>112</v>
      </c>
      <c r="S29" s="179">
        <v>46293</v>
      </c>
      <c r="T29" s="182">
        <v>77</v>
      </c>
      <c r="U29" s="176">
        <v>0.7</v>
      </c>
      <c r="V29" s="182">
        <v>5</v>
      </c>
      <c r="W29" s="25" t="str">
        <f>IF(Q29="Churned","Lost",IF(OR(T29&lt;Inputs!$B$11,U29&lt;Inputs!$B$13,V29&gt;Inputs!$B$15),"High",IF(OR(T29&lt;Inputs!$B$12,U29&lt;Inputs!$B$14,V29&gt;Inputs!$B$16),"Medium","Low")))</f>
        <v>Low</v>
      </c>
      <c r="X29" s="23" t="str">
        <f t="shared" si="4"/>
        <v>Monitor / expansion candidate</v>
      </c>
      <c r="Y29" s="185">
        <f ca="1">IF(W29="Lost",0,(100-T29)*0.35+(1-U29)*100*0.3+V29*2+IF(S29-TODAY()&lt;=Inputs!$B$17,20,0)+IF(W29="High",25,IF(W29="Medium",10,0)))</f>
        <v>27.049999999999997</v>
      </c>
    </row>
    <row r="30" spans="1:25" ht="16" customHeight="1">
      <c r="A30" s="6" t="s">
        <v>181</v>
      </c>
      <c r="B30" s="16" t="s">
        <v>182</v>
      </c>
      <c r="C30" s="169">
        <v>46143</v>
      </c>
      <c r="D30" s="15" t="s">
        <v>51</v>
      </c>
      <c r="E30" s="15" t="s">
        <v>115</v>
      </c>
      <c r="F30" s="15" t="s">
        <v>61</v>
      </c>
      <c r="G30" s="15" t="s">
        <v>116</v>
      </c>
      <c r="H30" s="172">
        <v>410000</v>
      </c>
      <c r="I30" s="172">
        <v>439000</v>
      </c>
      <c r="J30" s="172">
        <v>33000</v>
      </c>
      <c r="K30" s="172">
        <v>4000</v>
      </c>
      <c r="L30" s="172">
        <v>0</v>
      </c>
      <c r="M30" s="172">
        <f t="shared" si="0"/>
        <v>406000</v>
      </c>
      <c r="N30" s="172">
        <f t="shared" si="1"/>
        <v>439000</v>
      </c>
      <c r="O30" s="175">
        <f t="shared" si="2"/>
        <v>0.99024390243902438</v>
      </c>
      <c r="P30" s="175">
        <f t="shared" si="3"/>
        <v>1.0707317073170732</v>
      </c>
      <c r="Q30" s="6" t="s">
        <v>71</v>
      </c>
      <c r="R30" s="15" t="s">
        <v>112</v>
      </c>
      <c r="S30" s="178">
        <v>46323</v>
      </c>
      <c r="T30" s="181">
        <v>73</v>
      </c>
      <c r="U30" s="175">
        <v>0.61</v>
      </c>
      <c r="V30" s="181">
        <v>9</v>
      </c>
      <c r="W30" s="6" t="str">
        <f>IF(Q30="Churned","Lost",IF(OR(T30&lt;Inputs!$B$11,U30&lt;Inputs!$B$13,V30&gt;Inputs!$B$15),"High",IF(OR(T30&lt;Inputs!$B$12,U30&lt;Inputs!$B$14,V30&gt;Inputs!$B$16),"Medium","Low")))</f>
        <v>Medium</v>
      </c>
      <c r="X30" s="15" t="str">
        <f t="shared" si="4"/>
        <v>CSM action plan before renewal</v>
      </c>
      <c r="Y30" s="184">
        <f ca="1">IF(W30="Lost",0,(100-T30)*0.35+(1-U30)*100*0.3+V30*2+IF(S30-TODAY()&lt;=Inputs!$B$17,20,0)+IF(W30="High",25,IF(W30="Medium",10,0)))</f>
        <v>49.15</v>
      </c>
    </row>
    <row r="31" spans="1:25" ht="16" customHeight="1">
      <c r="A31" s="25" t="s">
        <v>183</v>
      </c>
      <c r="B31" s="24" t="s">
        <v>184</v>
      </c>
      <c r="C31" s="170">
        <v>46174</v>
      </c>
      <c r="D31" s="23" t="s">
        <v>54</v>
      </c>
      <c r="E31" s="23" t="s">
        <v>154</v>
      </c>
      <c r="F31" s="23" t="s">
        <v>64</v>
      </c>
      <c r="G31" s="23" t="s">
        <v>129</v>
      </c>
      <c r="H31" s="173">
        <v>150000</v>
      </c>
      <c r="I31" s="173">
        <v>141000</v>
      </c>
      <c r="J31" s="173">
        <v>0</v>
      </c>
      <c r="K31" s="173">
        <v>9000</v>
      </c>
      <c r="L31" s="173">
        <v>0</v>
      </c>
      <c r="M31" s="173">
        <f t="shared" si="0"/>
        <v>141000</v>
      </c>
      <c r="N31" s="173">
        <f t="shared" si="1"/>
        <v>141000</v>
      </c>
      <c r="O31" s="176">
        <f t="shared" si="2"/>
        <v>0.94</v>
      </c>
      <c r="P31" s="176">
        <f t="shared" si="3"/>
        <v>0.94</v>
      </c>
      <c r="Q31" s="25" t="s">
        <v>71</v>
      </c>
      <c r="R31" s="23" t="s">
        <v>112</v>
      </c>
      <c r="S31" s="179">
        <v>46354</v>
      </c>
      <c r="T31" s="182">
        <v>60</v>
      </c>
      <c r="U31" s="176">
        <v>0.48</v>
      </c>
      <c r="V31" s="182">
        <v>8</v>
      </c>
      <c r="W31" s="25" t="str">
        <f>IF(Q31="Churned","Lost",IF(OR(T31&lt;Inputs!$B$11,U31&lt;Inputs!$B$13,V31&gt;Inputs!$B$15),"High",IF(OR(T31&lt;Inputs!$B$12,U31&lt;Inputs!$B$14,V31&gt;Inputs!$B$16),"Medium","Low")))</f>
        <v>Medium</v>
      </c>
      <c r="X31" s="23" t="str">
        <f t="shared" si="4"/>
        <v>CSM action plan before renewal</v>
      </c>
      <c r="Y31" s="185">
        <f ca="1">IF(W31="Lost",0,(100-T31)*0.35+(1-U31)*100*0.3+V31*2+IF(S31-TODAY()&lt;=Inputs!$B$17,20,0)+IF(W31="High",25,IF(W31="Medium",10,0)))</f>
        <v>55.6</v>
      </c>
    </row>
    <row r="32" spans="1:25" ht="16" customHeight="1">
      <c r="A32" s="6" t="s">
        <v>185</v>
      </c>
      <c r="B32" s="16" t="s">
        <v>186</v>
      </c>
      <c r="C32" s="169">
        <v>46023</v>
      </c>
      <c r="D32" s="15" t="s">
        <v>57</v>
      </c>
      <c r="E32" s="15" t="s">
        <v>115</v>
      </c>
      <c r="F32" s="15" t="s">
        <v>61</v>
      </c>
      <c r="G32" s="15" t="s">
        <v>123</v>
      </c>
      <c r="H32" s="172">
        <v>51000</v>
      </c>
      <c r="I32" s="172">
        <v>50000</v>
      </c>
      <c r="J32" s="172">
        <v>0</v>
      </c>
      <c r="K32" s="172">
        <v>1000</v>
      </c>
      <c r="L32" s="172">
        <v>0</v>
      </c>
      <c r="M32" s="172">
        <f t="shared" si="0"/>
        <v>50000</v>
      </c>
      <c r="N32" s="172">
        <f t="shared" si="1"/>
        <v>50000</v>
      </c>
      <c r="O32" s="175">
        <f t="shared" si="2"/>
        <v>0.98039215686274506</v>
      </c>
      <c r="P32" s="175">
        <f t="shared" si="3"/>
        <v>0.98039215686274506</v>
      </c>
      <c r="Q32" s="6" t="s">
        <v>71</v>
      </c>
      <c r="R32" s="15" t="s">
        <v>112</v>
      </c>
      <c r="S32" s="178">
        <v>46384</v>
      </c>
      <c r="T32" s="181">
        <v>78</v>
      </c>
      <c r="U32" s="175">
        <v>0.72</v>
      </c>
      <c r="V32" s="181">
        <v>2</v>
      </c>
      <c r="W32" s="6" t="str">
        <f>IF(Q32="Churned","Lost",IF(OR(T32&lt;Inputs!$B$11,U32&lt;Inputs!$B$13,V32&gt;Inputs!$B$15),"High",IF(OR(T32&lt;Inputs!$B$12,U32&lt;Inputs!$B$14,V32&gt;Inputs!$B$16),"Medium","Low")))</f>
        <v>Low</v>
      </c>
      <c r="X32" s="15" t="str">
        <f t="shared" si="4"/>
        <v>Monitor / expansion candidate</v>
      </c>
      <c r="Y32" s="184">
        <f ca="1">IF(W32="Lost",0,(100-T32)*0.35+(1-U32)*100*0.3+V32*2+IF(S32-TODAY()&lt;=Inputs!$B$17,20,0)+IF(W32="High",25,IF(W32="Medium",10,0)))</f>
        <v>20.100000000000001</v>
      </c>
    </row>
    <row r="33" spans="1:25" ht="16" customHeight="1">
      <c r="A33" s="25" t="s">
        <v>187</v>
      </c>
      <c r="B33" s="24" t="s">
        <v>188</v>
      </c>
      <c r="C33" s="170">
        <v>46054</v>
      </c>
      <c r="D33" s="23" t="s">
        <v>51</v>
      </c>
      <c r="E33" s="23" t="s">
        <v>151</v>
      </c>
      <c r="F33" s="23" t="s">
        <v>61</v>
      </c>
      <c r="G33" s="23" t="s">
        <v>111</v>
      </c>
      <c r="H33" s="173">
        <v>390000</v>
      </c>
      <c r="I33" s="173">
        <v>406000</v>
      </c>
      <c r="J33" s="173">
        <v>20000</v>
      </c>
      <c r="K33" s="173">
        <v>4000</v>
      </c>
      <c r="L33" s="173">
        <v>0</v>
      </c>
      <c r="M33" s="173">
        <f t="shared" si="0"/>
        <v>386000</v>
      </c>
      <c r="N33" s="173">
        <f t="shared" si="1"/>
        <v>406000</v>
      </c>
      <c r="O33" s="176">
        <f t="shared" si="2"/>
        <v>0.98974358974358978</v>
      </c>
      <c r="P33" s="176">
        <f t="shared" si="3"/>
        <v>1.0410256410256411</v>
      </c>
      <c r="Q33" s="25" t="s">
        <v>71</v>
      </c>
      <c r="R33" s="23" t="s">
        <v>112</v>
      </c>
      <c r="S33" s="179">
        <v>46050</v>
      </c>
      <c r="T33" s="182">
        <v>83</v>
      </c>
      <c r="U33" s="176">
        <v>0.79</v>
      </c>
      <c r="V33" s="182">
        <v>3</v>
      </c>
      <c r="W33" s="25" t="str">
        <f>IF(Q33="Churned","Lost",IF(OR(T33&lt;Inputs!$B$11,U33&lt;Inputs!$B$13,V33&gt;Inputs!$B$15),"High",IF(OR(T33&lt;Inputs!$B$12,U33&lt;Inputs!$B$14,V33&gt;Inputs!$B$16),"Medium","Low")))</f>
        <v>Low</v>
      </c>
      <c r="X33" s="23" t="str">
        <f t="shared" si="4"/>
        <v>Monitor / expansion candidate</v>
      </c>
      <c r="Y33" s="185">
        <f ca="1">IF(W33="Lost",0,(100-T33)*0.35+(1-U33)*100*0.3+V33*2+IF(S33-TODAY()&lt;=Inputs!$B$17,20,0)+IF(W33="High",25,IF(W33="Medium",10,0)))</f>
        <v>38.25</v>
      </c>
    </row>
    <row r="34" spans="1:25" ht="16" customHeight="1">
      <c r="A34" s="6" t="s">
        <v>189</v>
      </c>
      <c r="B34" s="16" t="s">
        <v>190</v>
      </c>
      <c r="C34" s="169">
        <v>46082</v>
      </c>
      <c r="D34" s="15" t="s">
        <v>54</v>
      </c>
      <c r="E34" s="15" t="s">
        <v>119</v>
      </c>
      <c r="F34" s="15" t="s">
        <v>61</v>
      </c>
      <c r="G34" s="15" t="s">
        <v>129</v>
      </c>
      <c r="H34" s="172">
        <v>142000</v>
      </c>
      <c r="I34" s="172">
        <v>140000</v>
      </c>
      <c r="J34" s="172">
        <v>4000</v>
      </c>
      <c r="K34" s="172">
        <v>6000</v>
      </c>
      <c r="L34" s="172">
        <v>0</v>
      </c>
      <c r="M34" s="172">
        <f t="shared" si="0"/>
        <v>136000</v>
      </c>
      <c r="N34" s="172">
        <f t="shared" si="1"/>
        <v>140000</v>
      </c>
      <c r="O34" s="175">
        <f t="shared" si="2"/>
        <v>0.95774647887323938</v>
      </c>
      <c r="P34" s="175">
        <f t="shared" si="3"/>
        <v>0.9859154929577465</v>
      </c>
      <c r="Q34" s="6" t="s">
        <v>71</v>
      </c>
      <c r="R34" s="15" t="s">
        <v>112</v>
      </c>
      <c r="S34" s="178">
        <v>46081</v>
      </c>
      <c r="T34" s="181">
        <v>55</v>
      </c>
      <c r="U34" s="175">
        <v>0.42</v>
      </c>
      <c r="V34" s="181">
        <v>13</v>
      </c>
      <c r="W34" s="6" t="str">
        <f>IF(Q34="Churned","Lost",IF(OR(T34&lt;Inputs!$B$11,U34&lt;Inputs!$B$13,V34&gt;Inputs!$B$15),"High",IF(OR(T34&lt;Inputs!$B$12,U34&lt;Inputs!$B$14,V34&gt;Inputs!$B$16),"Medium","Low")))</f>
        <v>High</v>
      </c>
      <c r="X34" s="15" t="str">
        <f t="shared" si="4"/>
        <v>Executive save plan + adoption intervention</v>
      </c>
      <c r="Y34" s="184">
        <f ca="1">IF(W34="Lost",0,(100-T34)*0.35+(1-U34)*100*0.3+V34*2+IF(S34-TODAY()&lt;=Inputs!$B$17,20,0)+IF(W34="High",25,IF(W34="Medium",10,0)))</f>
        <v>104.15</v>
      </c>
    </row>
    <row r="35" spans="1:25" ht="16" customHeight="1">
      <c r="A35" s="25" t="s">
        <v>191</v>
      </c>
      <c r="B35" s="24" t="s">
        <v>192</v>
      </c>
      <c r="C35" s="170">
        <v>46113</v>
      </c>
      <c r="D35" s="23" t="s">
        <v>57</v>
      </c>
      <c r="E35" s="23" t="s">
        <v>122</v>
      </c>
      <c r="F35" s="23" t="s">
        <v>61</v>
      </c>
      <c r="G35" s="23" t="s">
        <v>123</v>
      </c>
      <c r="H35" s="173">
        <v>45000</v>
      </c>
      <c r="I35" s="173">
        <v>45000</v>
      </c>
      <c r="J35" s="173">
        <v>1000</v>
      </c>
      <c r="K35" s="173">
        <v>1000</v>
      </c>
      <c r="L35" s="173">
        <v>0</v>
      </c>
      <c r="M35" s="173">
        <f t="shared" si="0"/>
        <v>44000</v>
      </c>
      <c r="N35" s="173">
        <f t="shared" si="1"/>
        <v>45000</v>
      </c>
      <c r="O35" s="176">
        <f t="shared" si="2"/>
        <v>0.97777777777777775</v>
      </c>
      <c r="P35" s="176">
        <f t="shared" si="3"/>
        <v>1</v>
      </c>
      <c r="Q35" s="25" t="s">
        <v>71</v>
      </c>
      <c r="R35" s="23" t="s">
        <v>112</v>
      </c>
      <c r="S35" s="179">
        <v>46109</v>
      </c>
      <c r="T35" s="182">
        <v>67</v>
      </c>
      <c r="U35" s="176">
        <v>0.54</v>
      </c>
      <c r="V35" s="182">
        <v>6</v>
      </c>
      <c r="W35" s="25" t="str">
        <f>IF(Q35="Churned","Lost",IF(OR(T35&lt;Inputs!$B$11,U35&lt;Inputs!$B$13,V35&gt;Inputs!$B$15),"High",IF(OR(T35&lt;Inputs!$B$12,U35&lt;Inputs!$B$14,V35&gt;Inputs!$B$16),"Medium","Low")))</f>
        <v>Medium</v>
      </c>
      <c r="X35" s="23" t="str">
        <f t="shared" si="4"/>
        <v>CSM action plan before renewal</v>
      </c>
      <c r="Y35" s="185">
        <f ca="1">IF(W35="Lost",0,(100-T35)*0.35+(1-U35)*100*0.3+V35*2+IF(S35-TODAY()&lt;=Inputs!$B$17,20,0)+IF(W35="High",25,IF(W35="Medium",10,0)))</f>
        <v>67.349999999999994</v>
      </c>
    </row>
    <row r="36" spans="1:25" ht="16" customHeight="1">
      <c r="A36" s="6" t="s">
        <v>193</v>
      </c>
      <c r="B36" s="16" t="s">
        <v>194</v>
      </c>
      <c r="C36" s="169">
        <v>46143</v>
      </c>
      <c r="D36" s="15" t="s">
        <v>51</v>
      </c>
      <c r="E36" s="15" t="s">
        <v>119</v>
      </c>
      <c r="F36" s="15" t="s">
        <v>67</v>
      </c>
      <c r="G36" s="15" t="s">
        <v>129</v>
      </c>
      <c r="H36" s="172">
        <v>270000</v>
      </c>
      <c r="I36" s="172">
        <v>0</v>
      </c>
      <c r="J36" s="172">
        <v>0</v>
      </c>
      <c r="K36" s="172">
        <v>0</v>
      </c>
      <c r="L36" s="172">
        <v>270000</v>
      </c>
      <c r="M36" s="172">
        <f t="shared" si="0"/>
        <v>0</v>
      </c>
      <c r="N36" s="172">
        <f t="shared" si="1"/>
        <v>0</v>
      </c>
      <c r="O36" s="175">
        <f t="shared" si="2"/>
        <v>0</v>
      </c>
      <c r="P36" s="175">
        <f t="shared" si="3"/>
        <v>0</v>
      </c>
      <c r="Q36" s="6" t="s">
        <v>74</v>
      </c>
      <c r="R36" s="15" t="s">
        <v>195</v>
      </c>
      <c r="S36" s="178">
        <v>46140</v>
      </c>
      <c r="T36" s="181">
        <v>40</v>
      </c>
      <c r="U36" s="175">
        <v>0.31</v>
      </c>
      <c r="V36" s="181">
        <v>8</v>
      </c>
      <c r="W36" s="6" t="str">
        <f>IF(Q36="Churned","Lost",IF(OR(T36&lt;Inputs!$B$11,U36&lt;Inputs!$B$13,V36&gt;Inputs!$B$15),"High",IF(OR(T36&lt;Inputs!$B$12,U36&lt;Inputs!$B$14,V36&gt;Inputs!$B$16),"Medium","Low")))</f>
        <v>Lost</v>
      </c>
      <c r="X36" s="15" t="str">
        <f t="shared" si="4"/>
        <v>Document root cause and replace ARR</v>
      </c>
      <c r="Y36" s="184">
        <f ca="1">IF(W36="Lost",0,(100-T36)*0.35+(1-U36)*100*0.3+V36*2+IF(S36-TODAY()&lt;=Inputs!$B$17,20,0)+IF(W36="High",25,IF(W36="Medium",10,0)))</f>
        <v>0</v>
      </c>
    </row>
    <row r="37" spans="1:25" ht="16" customHeight="1" thickBot="1">
      <c r="A37" s="166" t="s">
        <v>196</v>
      </c>
      <c r="B37" s="167" t="s">
        <v>197</v>
      </c>
      <c r="C37" s="171">
        <v>46174</v>
      </c>
      <c r="D37" s="168" t="s">
        <v>54</v>
      </c>
      <c r="E37" s="168" t="s">
        <v>110</v>
      </c>
      <c r="F37" s="168" t="s">
        <v>61</v>
      </c>
      <c r="G37" s="168" t="s">
        <v>111</v>
      </c>
      <c r="H37" s="174">
        <v>160000</v>
      </c>
      <c r="I37" s="174">
        <v>160000</v>
      </c>
      <c r="J37" s="174">
        <v>0</v>
      </c>
      <c r="K37" s="174">
        <v>0</v>
      </c>
      <c r="L37" s="174">
        <v>0</v>
      </c>
      <c r="M37" s="174">
        <f t="shared" si="0"/>
        <v>160000</v>
      </c>
      <c r="N37" s="174">
        <f t="shared" si="1"/>
        <v>160000</v>
      </c>
      <c r="O37" s="177">
        <f t="shared" si="2"/>
        <v>1</v>
      </c>
      <c r="P37" s="177">
        <f t="shared" si="3"/>
        <v>1</v>
      </c>
      <c r="Q37" s="166" t="s">
        <v>71</v>
      </c>
      <c r="R37" s="168" t="s">
        <v>112</v>
      </c>
      <c r="S37" s="180">
        <v>46170</v>
      </c>
      <c r="T37" s="183">
        <v>74</v>
      </c>
      <c r="U37" s="177">
        <v>0.68</v>
      </c>
      <c r="V37" s="183">
        <v>4</v>
      </c>
      <c r="W37" s="166" t="str">
        <f>IF(Q37="Churned","Lost",IF(OR(T37&lt;Inputs!$B$11,U37&lt;Inputs!$B$13,V37&gt;Inputs!$B$15),"High",IF(OR(T37&lt;Inputs!$B$12,U37&lt;Inputs!$B$14,V37&gt;Inputs!$B$16),"Medium","Low")))</f>
        <v>Low</v>
      </c>
      <c r="X37" s="168" t="str">
        <f t="shared" si="4"/>
        <v>Monitor / expansion candidate</v>
      </c>
      <c r="Y37" s="186">
        <f ca="1">IF(W37="Lost",0,(100-T37)*0.35+(1-U37)*100*0.3+V37*2+IF(S37-TODAY()&lt;=Inputs!$B$17,20,0)+IF(W37="High",25,IF(W37="Medium",10,0)))</f>
        <v>46.699999999999996</v>
      </c>
    </row>
  </sheetData>
  <dataValidations count="2">
    <dataValidation type="list" sqref="D2:D37" xr:uid="{00000000-0002-0000-0300-000000000000}">
      <formula1>"Enterprise,Mid-Market,SMB"</formula1>
    </dataValidation>
    <dataValidation type="list" sqref="Q2:Q37" xr:uid="{00000000-0002-0000-0300-000001000000}">
      <formula1>"Active,Churned"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1413"/>
  </sheetPr>
  <dimension ref="A1:Z200"/>
  <sheetViews>
    <sheetView showGridLines="0" showRowColHeaders="0" workbookViewId="0">
      <pane ySplit="4" topLeftCell="A5" activePane="bottomLeft" state="frozen"/>
      <selection pane="bottomLeft" sqref="A1:L1"/>
    </sheetView>
  </sheetViews>
  <sheetFormatPr baseColWidth="10" defaultColWidth="8.83203125" defaultRowHeight="14"/>
  <cols>
    <col min="1" max="1" width="15" customWidth="1"/>
    <col min="2" max="2" width="14.1640625" customWidth="1"/>
    <col min="3" max="3" width="18.33203125" customWidth="1"/>
    <col min="4" max="4" width="16.6640625" customWidth="1"/>
    <col min="5" max="6" width="15" customWidth="1"/>
    <col min="7" max="7" width="15.83203125" customWidth="1"/>
    <col min="8" max="8" width="19.1640625" customWidth="1"/>
    <col min="9" max="9" width="18.33203125" customWidth="1"/>
    <col min="10" max="10" width="16.6640625" customWidth="1"/>
    <col min="11" max="12" width="13.33203125" customWidth="1"/>
    <col min="13" max="26" width="0" hidden="1" customWidth="1"/>
  </cols>
  <sheetData>
    <row r="1" spans="1:26" ht="28" customHeight="1">
      <c r="A1" s="33" t="s">
        <v>198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34" t="s">
        <v>199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" customHeight="1" thickBo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" customHeight="1">
      <c r="A4" s="13" t="s">
        <v>200</v>
      </c>
      <c r="B4" s="35" t="s">
        <v>201</v>
      </c>
      <c r="C4" s="35" t="s">
        <v>2</v>
      </c>
      <c r="D4" s="35" t="s">
        <v>3</v>
      </c>
      <c r="E4" s="35" t="s">
        <v>202</v>
      </c>
      <c r="F4" s="35" t="s">
        <v>203</v>
      </c>
      <c r="G4" s="35" t="s">
        <v>8</v>
      </c>
      <c r="H4" s="35" t="s">
        <v>204</v>
      </c>
      <c r="I4" s="35" t="s">
        <v>205</v>
      </c>
      <c r="J4" s="35" t="s">
        <v>206</v>
      </c>
      <c r="K4" s="35" t="s">
        <v>207</v>
      </c>
      <c r="L4" s="35" t="s">
        <v>208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" customHeight="1">
      <c r="A5" s="158">
        <v>46023</v>
      </c>
      <c r="B5" s="62">
        <f>COUNTIFS(Customer_MRR_Data!$C:$C,A5)</f>
        <v>6</v>
      </c>
      <c r="C5" s="115">
        <f>SUMIFS(Customer_MRR_Data!$H:$H,Customer_MRR_Data!$C:$C,A5)</f>
        <v>1173000</v>
      </c>
      <c r="D5" s="65">
        <f>SUMIFS(Customer_MRR_Data!$I:$I,Customer_MRR_Data!$C:$C,A5)</f>
        <v>1244000</v>
      </c>
      <c r="E5" s="65">
        <f>SUMIFS(Customer_MRR_Data!$J:$J,Customer_MRR_Data!$C:$C,A5)</f>
        <v>72000</v>
      </c>
      <c r="F5" s="65">
        <f>SUMIFS(Customer_MRR_Data!$K:$K,Customer_MRR_Data!$C:$C,A5)</f>
        <v>1000</v>
      </c>
      <c r="G5" s="65">
        <f>SUMIFS(Customer_MRR_Data!$L:$L,Customer_MRR_Data!$C:$C,A5)</f>
        <v>0</v>
      </c>
      <c r="H5" s="65">
        <f>SUMIFS(Customer_MRR_Data!$M:$M,Customer_MRR_Data!$C:$C,A5)</f>
        <v>1172000</v>
      </c>
      <c r="I5" s="65">
        <f>SUMIFS(Customer_MRR_Data!$N:$N,Customer_MRR_Data!$C:$C,A5)</f>
        <v>1244000</v>
      </c>
      <c r="J5" s="69">
        <f>IFERROR(COUNTIFS(Customer_MRR_Data!$C:$C,A5,Customer_MRR_Data!$Q:$Q,"Active")/B5,0)</f>
        <v>1</v>
      </c>
      <c r="K5" s="69">
        <f t="shared" ref="K5:K10" si="0">IFERROR(H5/C5,0)</f>
        <v>0.99914748508098894</v>
      </c>
      <c r="L5" s="69">
        <f t="shared" ref="L5:L10" si="1">IFERROR(I5/C5,0)</f>
        <v>1.0605285592497868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" customHeight="1">
      <c r="A6" s="159">
        <v>46054</v>
      </c>
      <c r="B6" s="61">
        <f>COUNTIFS(Customer_MRR_Data!$C:$C,A6)</f>
        <v>6</v>
      </c>
      <c r="C6" s="66">
        <f>SUMIFS(Customer_MRR_Data!$H:$H,Customer_MRR_Data!$C:$C,A6)</f>
        <v>1019000</v>
      </c>
      <c r="D6" s="66">
        <f>SUMIFS(Customer_MRR_Data!$I:$I,Customer_MRR_Data!$C:$C,A6)</f>
        <v>691000</v>
      </c>
      <c r="E6" s="66">
        <f>SUMIFS(Customer_MRR_Data!$J:$J,Customer_MRR_Data!$C:$C,A6)</f>
        <v>29000</v>
      </c>
      <c r="F6" s="66">
        <f>SUMIFS(Customer_MRR_Data!$K:$K,Customer_MRR_Data!$C:$C,A6)</f>
        <v>15000</v>
      </c>
      <c r="G6" s="66">
        <f>SUMIFS(Customer_MRR_Data!$L:$L,Customer_MRR_Data!$C:$C,A6)</f>
        <v>342000</v>
      </c>
      <c r="H6" s="66">
        <f>SUMIFS(Customer_MRR_Data!$M:$M,Customer_MRR_Data!$C:$C,A6)</f>
        <v>662000</v>
      </c>
      <c r="I6" s="66">
        <f>SUMIFS(Customer_MRR_Data!$N:$N,Customer_MRR_Data!$C:$C,A6)</f>
        <v>691000</v>
      </c>
      <c r="J6" s="68">
        <f>IFERROR(COUNTIFS(Customer_MRR_Data!$C:$C,A6,Customer_MRR_Data!$Q:$Q,"Active")/B6,0)</f>
        <v>0.5</v>
      </c>
      <c r="K6" s="68">
        <f t="shared" si="0"/>
        <v>0.64965652600588808</v>
      </c>
      <c r="L6" s="68">
        <f t="shared" si="1"/>
        <v>0.67811579980372916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" customHeight="1">
      <c r="A7" s="158">
        <v>46082</v>
      </c>
      <c r="B7" s="62">
        <f>COUNTIFS(Customer_MRR_Data!$C:$C,A7)</f>
        <v>6</v>
      </c>
      <c r="C7" s="65">
        <f>SUMIFS(Customer_MRR_Data!$H:$H,Customer_MRR_Data!$C:$C,A7)</f>
        <v>1040000</v>
      </c>
      <c r="D7" s="65">
        <f>SUMIFS(Customer_MRR_Data!$I:$I,Customer_MRR_Data!$C:$C,A7)</f>
        <v>1042000</v>
      </c>
      <c r="E7" s="65">
        <f>SUMIFS(Customer_MRR_Data!$J:$J,Customer_MRR_Data!$C:$C,A7)</f>
        <v>62000</v>
      </c>
      <c r="F7" s="65">
        <f>SUMIFS(Customer_MRR_Data!$K:$K,Customer_MRR_Data!$C:$C,A7)</f>
        <v>13000</v>
      </c>
      <c r="G7" s="65">
        <f>SUMIFS(Customer_MRR_Data!$L:$L,Customer_MRR_Data!$C:$C,A7)</f>
        <v>47000</v>
      </c>
      <c r="H7" s="65">
        <f>SUMIFS(Customer_MRR_Data!$M:$M,Customer_MRR_Data!$C:$C,A7)</f>
        <v>980000</v>
      </c>
      <c r="I7" s="65">
        <f>SUMIFS(Customer_MRR_Data!$N:$N,Customer_MRR_Data!$C:$C,A7)</f>
        <v>1042000</v>
      </c>
      <c r="J7" s="69">
        <f>IFERROR(COUNTIFS(Customer_MRR_Data!$C:$C,A7,Customer_MRR_Data!$Q:$Q,"Active")/B7,0)</f>
        <v>0.83333333333333337</v>
      </c>
      <c r="K7" s="69">
        <f t="shared" si="0"/>
        <v>0.94230769230769229</v>
      </c>
      <c r="L7" s="69">
        <f t="shared" si="1"/>
        <v>1.0019230769230769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customHeight="1">
      <c r="A8" s="159">
        <v>46113</v>
      </c>
      <c r="B8" s="61">
        <f>COUNTIFS(Customer_MRR_Data!$C:$C,A8)</f>
        <v>6</v>
      </c>
      <c r="C8" s="66">
        <f>SUMIFS(Customer_MRR_Data!$H:$H,Customer_MRR_Data!$C:$C,A8)</f>
        <v>1061000</v>
      </c>
      <c r="D8" s="66">
        <f>SUMIFS(Customer_MRR_Data!$I:$I,Customer_MRR_Data!$C:$C,A8)</f>
        <v>1003000</v>
      </c>
      <c r="E8" s="66">
        <f>SUMIFS(Customer_MRR_Data!$J:$J,Customer_MRR_Data!$C:$C,A8)</f>
        <v>12000</v>
      </c>
      <c r="F8" s="66">
        <f>SUMIFS(Customer_MRR_Data!$K:$K,Customer_MRR_Data!$C:$C,A8)</f>
        <v>22000</v>
      </c>
      <c r="G8" s="66">
        <f>SUMIFS(Customer_MRR_Data!$L:$L,Customer_MRR_Data!$C:$C,A8)</f>
        <v>48000</v>
      </c>
      <c r="H8" s="66">
        <f>SUMIFS(Customer_MRR_Data!$M:$M,Customer_MRR_Data!$C:$C,A8)</f>
        <v>991000</v>
      </c>
      <c r="I8" s="66">
        <f>SUMIFS(Customer_MRR_Data!$N:$N,Customer_MRR_Data!$C:$C,A8)</f>
        <v>1003000</v>
      </c>
      <c r="J8" s="68">
        <f>IFERROR(COUNTIFS(Customer_MRR_Data!$C:$C,A8,Customer_MRR_Data!$Q:$Q,"Active")/B8,0)</f>
        <v>0.83333333333333337</v>
      </c>
      <c r="K8" s="68">
        <f t="shared" si="0"/>
        <v>0.93402450518378888</v>
      </c>
      <c r="L8" s="68">
        <f t="shared" si="1"/>
        <v>0.9453345900094251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" customHeight="1">
      <c r="A9" s="158">
        <v>46143</v>
      </c>
      <c r="B9" s="62">
        <f>COUNTIFS(Customer_MRR_Data!$C:$C,A9)</f>
        <v>6</v>
      </c>
      <c r="C9" s="65">
        <f>SUMIFS(Customer_MRR_Data!$H:$H,Customer_MRR_Data!$C:$C,A9)</f>
        <v>1343000</v>
      </c>
      <c r="D9" s="65">
        <f>SUMIFS(Customer_MRR_Data!$I:$I,Customer_MRR_Data!$C:$C,A9)</f>
        <v>1098000</v>
      </c>
      <c r="E9" s="65">
        <f>SUMIFS(Customer_MRR_Data!$J:$J,Customer_MRR_Data!$C:$C,A9)</f>
        <v>40000</v>
      </c>
      <c r="F9" s="65">
        <f>SUMIFS(Customer_MRR_Data!$K:$K,Customer_MRR_Data!$C:$C,A9)</f>
        <v>15000</v>
      </c>
      <c r="G9" s="65">
        <f>SUMIFS(Customer_MRR_Data!$L:$L,Customer_MRR_Data!$C:$C,A9)</f>
        <v>270000</v>
      </c>
      <c r="H9" s="65">
        <f>SUMIFS(Customer_MRR_Data!$M:$M,Customer_MRR_Data!$C:$C,A9)</f>
        <v>1058000</v>
      </c>
      <c r="I9" s="65">
        <f>SUMIFS(Customer_MRR_Data!$N:$N,Customer_MRR_Data!$C:$C,A9)</f>
        <v>1098000</v>
      </c>
      <c r="J9" s="69">
        <f>IFERROR(COUNTIFS(Customer_MRR_Data!$C:$C,A9,Customer_MRR_Data!$Q:$Q,"Active")/B9,0)</f>
        <v>0.83333333333333337</v>
      </c>
      <c r="K9" s="69">
        <f t="shared" si="0"/>
        <v>0.78778853313477293</v>
      </c>
      <c r="L9" s="69">
        <f t="shared" si="1"/>
        <v>0.8175725986597171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customHeight="1">
      <c r="A10" s="159">
        <v>46174</v>
      </c>
      <c r="B10" s="61">
        <f>COUNTIFS(Customer_MRR_Data!$C:$C,A10)</f>
        <v>6</v>
      </c>
      <c r="C10" s="66">
        <f>SUMIFS(Customer_MRR_Data!$H:$H,Customer_MRR_Data!$C:$C,A10)</f>
        <v>759000</v>
      </c>
      <c r="D10" s="66">
        <f>SUMIFS(Customer_MRR_Data!$I:$I,Customer_MRR_Data!$C:$C,A10)</f>
        <v>748000</v>
      </c>
      <c r="E10" s="66">
        <f>SUMIFS(Customer_MRR_Data!$J:$J,Customer_MRR_Data!$C:$C,A10)</f>
        <v>1000</v>
      </c>
      <c r="F10" s="66">
        <f>SUMIFS(Customer_MRR_Data!$K:$K,Customer_MRR_Data!$C:$C,A10)</f>
        <v>12000</v>
      </c>
      <c r="G10" s="66">
        <f>SUMIFS(Customer_MRR_Data!$L:$L,Customer_MRR_Data!$C:$C,A10)</f>
        <v>0</v>
      </c>
      <c r="H10" s="66">
        <f>SUMIFS(Customer_MRR_Data!$M:$M,Customer_MRR_Data!$C:$C,A10)</f>
        <v>747000</v>
      </c>
      <c r="I10" s="66">
        <f>SUMIFS(Customer_MRR_Data!$N:$N,Customer_MRR_Data!$C:$C,A10)</f>
        <v>748000</v>
      </c>
      <c r="J10" s="68">
        <f>IFERROR(COUNTIFS(Customer_MRR_Data!$C:$C,A10,Customer_MRR_Data!$Q:$Q,"Active")/B10,0)</f>
        <v>1</v>
      </c>
      <c r="K10" s="68">
        <f t="shared" si="0"/>
        <v>0.98418972332015808</v>
      </c>
      <c r="L10" s="68">
        <f t="shared" si="1"/>
        <v>0.98550724637681164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thickBot="1">
      <c r="A11" s="26" t="s">
        <v>209</v>
      </c>
      <c r="B11" s="27">
        <f t="shared" ref="B11:I11" si="2">SUM(B5:B10)</f>
        <v>36</v>
      </c>
      <c r="C11" s="190">
        <f t="shared" si="2"/>
        <v>6395000</v>
      </c>
      <c r="D11" s="191">
        <f t="shared" si="2"/>
        <v>5826000</v>
      </c>
      <c r="E11" s="191">
        <f t="shared" si="2"/>
        <v>216000</v>
      </c>
      <c r="F11" s="191">
        <f t="shared" si="2"/>
        <v>78000</v>
      </c>
      <c r="G11" s="191">
        <f t="shared" si="2"/>
        <v>707000</v>
      </c>
      <c r="H11" s="191">
        <f t="shared" si="2"/>
        <v>5610000</v>
      </c>
      <c r="I11" s="190">
        <f t="shared" si="2"/>
        <v>5826000</v>
      </c>
      <c r="J11" s="192">
        <f>COUNTIFS(Customer_MRR_Data!$Q:$Q,"Active")/COUNTA(Customer_MRR_Data!$A$2:$A$37)</f>
        <v>0.83333333333333337</v>
      </c>
      <c r="K11" s="192">
        <f>H11/C11</f>
        <v>0.87724784988272086</v>
      </c>
      <c r="L11" s="192">
        <f>I11/C11</f>
        <v>0.91102423768569196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1413"/>
  </sheetPr>
  <dimension ref="A1:Z200"/>
  <sheetViews>
    <sheetView showGridLines="0" showRowColHeaders="0" zoomScale="125" workbookViewId="0">
      <pane ySplit="4" topLeftCell="A5" activePane="bottomLeft" state="frozen"/>
      <selection pane="bottomLeft" activeCell="AA8" sqref="AA8"/>
    </sheetView>
  </sheetViews>
  <sheetFormatPr baseColWidth="10" defaultColWidth="8.83203125" defaultRowHeight="14"/>
  <cols>
    <col min="1" max="1" width="36.6640625" customWidth="1"/>
    <col min="2" max="2" width="20" customWidth="1"/>
    <col min="3" max="3" width="23.33203125" customWidth="1"/>
    <col min="4" max="8" width="8.83203125" hidden="1" customWidth="1"/>
    <col min="9" max="26" width="0" hidden="1" customWidth="1"/>
  </cols>
  <sheetData>
    <row r="1" spans="1:26" s="194" customFormat="1" ht="28" customHeight="1">
      <c r="A1" s="33" t="s">
        <v>210</v>
      </c>
      <c r="B1" s="31"/>
      <c r="C1" s="193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spans="1:26" s="194" customFormat="1" ht="18" customHeight="1">
      <c r="A2" s="34" t="s">
        <v>211</v>
      </c>
      <c r="B2" s="31"/>
      <c r="C2" s="193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s="194" customFormat="1" ht="8" customHeight="1" thickBot="1">
      <c r="A3" s="32"/>
      <c r="B3" s="32"/>
      <c r="C3" s="196"/>
      <c r="D3" s="197"/>
      <c r="E3" s="197"/>
      <c r="F3" s="197"/>
      <c r="G3" s="197"/>
      <c r="H3" s="197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spans="1:26" s="47" customFormat="1" ht="22" customHeight="1">
      <c r="A4" s="13" t="s">
        <v>212</v>
      </c>
      <c r="B4" s="35" t="s">
        <v>213</v>
      </c>
      <c r="C4" s="47" t="s">
        <v>214</v>
      </c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" customHeight="1">
      <c r="A5" s="36" t="s">
        <v>2</v>
      </c>
      <c r="B5" s="40">
        <f>SUM(Customer_MRR_Data!$H:$H)</f>
        <v>6395000</v>
      </c>
      <c r="C5" s="44">
        <f>B5/$B$5</f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" customHeight="1">
      <c r="A6" s="37" t="s">
        <v>202</v>
      </c>
      <c r="B6" s="41">
        <f>SUM(Customer_MRR_Data!$J:$J)</f>
        <v>216000</v>
      </c>
      <c r="C6" s="45">
        <f>B6/$B$5</f>
        <v>3.377638780297107E-2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" customHeight="1">
      <c r="A7" s="37" t="s">
        <v>203</v>
      </c>
      <c r="B7" s="42">
        <f>-SUM(Customer_MRR_Data!$K:$K)</f>
        <v>-78000</v>
      </c>
      <c r="C7" s="46">
        <f>B7/$B$5</f>
        <v>-1.2197028928850665E-2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customHeight="1">
      <c r="A8" s="37" t="s">
        <v>8</v>
      </c>
      <c r="B8" s="42">
        <f>-SUM(Customer_MRR_Data!$L:$L)</f>
        <v>-707000</v>
      </c>
      <c r="C8" s="46">
        <f>B8/$B$5</f>
        <v>-0.11055512118842846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" customHeight="1" thickBot="1">
      <c r="A9" s="48" t="s">
        <v>3</v>
      </c>
      <c r="B9" s="49">
        <f>SUM(Customer_MRR_Data!$I:$I)</f>
        <v>5826000</v>
      </c>
      <c r="C9" s="50">
        <f>B9/$B$5</f>
        <v>0.91102423768569196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customHeight="1" thickTop="1">
      <c r="A10" s="38" t="s">
        <v>215</v>
      </c>
      <c r="B10" s="43">
        <f>B9/B5</f>
        <v>0.91102423768569196</v>
      </c>
      <c r="C10" s="3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" customHeight="1">
      <c r="A11" s="38" t="s">
        <v>216</v>
      </c>
      <c r="B11" s="43">
        <f>SUM(Customer_MRR_Data!$M:$M)/B5</f>
        <v>0.87724784988272086</v>
      </c>
      <c r="C11" s="3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61413"/>
  </sheetPr>
  <dimension ref="A1:Z200"/>
  <sheetViews>
    <sheetView showGridLines="0" showRowColHeader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33.33203125" customWidth="1"/>
    <col min="2" max="2" width="15.83203125" customWidth="1"/>
    <col min="3" max="4" width="19.1640625" customWidth="1"/>
    <col min="5" max="5" width="40" customWidth="1"/>
    <col min="6" max="6" width="13.33203125" customWidth="1"/>
    <col min="7" max="8" width="15.83203125" customWidth="1"/>
    <col min="9" max="26" width="0" hidden="1" customWidth="1"/>
  </cols>
  <sheetData>
    <row r="1" spans="1:26" ht="28" customHeight="1">
      <c r="A1" s="33" t="s">
        <v>217</v>
      </c>
      <c r="B1" s="31"/>
      <c r="C1" s="31"/>
      <c r="D1" s="31"/>
      <c r="E1" s="31"/>
      <c r="F1" s="31"/>
      <c r="G1" s="31"/>
      <c r="H1" s="31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34" t="s">
        <v>218</v>
      </c>
      <c r="B2" s="31"/>
      <c r="C2" s="31"/>
      <c r="D2" s="31"/>
      <c r="E2" s="31"/>
      <c r="F2" s="31"/>
      <c r="G2" s="31"/>
      <c r="H2" s="31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" customHeight="1" thickBot="1">
      <c r="A3" s="32"/>
      <c r="B3" s="32"/>
      <c r="C3" s="32"/>
      <c r="D3" s="32"/>
      <c r="E3" s="32"/>
      <c r="F3" s="32"/>
      <c r="G3" s="32"/>
      <c r="H3" s="32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" customHeight="1">
      <c r="A4" s="52" t="s">
        <v>219</v>
      </c>
      <c r="B4" s="13"/>
      <c r="C4" s="13"/>
      <c r="D4" s="13"/>
      <c r="E4" s="13"/>
      <c r="F4" s="13"/>
      <c r="G4" s="51"/>
      <c r="H4" s="51"/>
      <c r="I4" s="5"/>
      <c r="J4" s="5"/>
      <c r="K4" s="5"/>
      <c r="L4" s="5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" customHeight="1">
      <c r="A5" s="53" t="s">
        <v>220</v>
      </c>
      <c r="B5" s="54" t="s">
        <v>221</v>
      </c>
      <c r="C5" s="54" t="s">
        <v>8</v>
      </c>
      <c r="D5" s="54" t="s">
        <v>222</v>
      </c>
      <c r="E5" s="54" t="s">
        <v>223</v>
      </c>
      <c r="F5" s="54" t="s">
        <v>224</v>
      </c>
      <c r="G5" s="51"/>
      <c r="H5" s="51"/>
      <c r="I5" s="5"/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" customHeight="1">
      <c r="A6" s="38" t="s">
        <v>124</v>
      </c>
      <c r="B6" s="61">
        <f>COUNTIFS(Customer_MRR_Data!$R:$R,A6)</f>
        <v>1</v>
      </c>
      <c r="C6" s="64">
        <f>SUMIFS(Customer_MRR_Data!$L:$L,Customer_MRR_Data!$R:$R,A6)</f>
        <v>48000</v>
      </c>
      <c r="D6" s="68">
        <f>IFERROR(C6/SUM(Customer_MRR_Data!$L:$L),0)</f>
        <v>6.7892503536067891E-2</v>
      </c>
      <c r="E6" s="38" t="s">
        <v>225</v>
      </c>
      <c r="F6" s="55" t="str">
        <f t="shared" ref="F6:F11" si="0">IF(D6&gt;=25%,"High",IF(D6&gt;=10%,"Medium","Low"))</f>
        <v>Low</v>
      </c>
      <c r="G6" s="51"/>
      <c r="H6" s="51"/>
      <c r="I6" s="5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" customHeight="1">
      <c r="A7" s="56" t="s">
        <v>135</v>
      </c>
      <c r="B7" s="62">
        <f>COUNTIFS(Customer_MRR_Data!$R:$R,A7)</f>
        <v>1</v>
      </c>
      <c r="C7" s="65">
        <f>SUMIFS(Customer_MRR_Data!$L:$L,Customer_MRR_Data!$R:$R,A7)</f>
        <v>175000</v>
      </c>
      <c r="D7" s="69">
        <f>IFERROR(C7/SUM(Customer_MRR_Data!$L:$L),0)</f>
        <v>0.24752475247524752</v>
      </c>
      <c r="E7" s="56" t="s">
        <v>226</v>
      </c>
      <c r="F7" s="57" t="str">
        <f t="shared" si="0"/>
        <v>Medium</v>
      </c>
      <c r="G7" s="51"/>
      <c r="H7" s="51"/>
      <c r="I7" s="5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customHeight="1">
      <c r="A8" s="38" t="s">
        <v>148</v>
      </c>
      <c r="B8" s="61">
        <f>COUNTIFS(Customer_MRR_Data!$R:$R,A8)</f>
        <v>1</v>
      </c>
      <c r="C8" s="66">
        <f>SUMIFS(Customer_MRR_Data!$L:$L,Customer_MRR_Data!$R:$R,A8)</f>
        <v>42000</v>
      </c>
      <c r="D8" s="68">
        <f>IFERROR(C8/SUM(Customer_MRR_Data!$L:$L),0)</f>
        <v>5.9405940594059403E-2</v>
      </c>
      <c r="E8" s="38" t="s">
        <v>227</v>
      </c>
      <c r="F8" s="55" t="str">
        <f t="shared" si="0"/>
        <v>Low</v>
      </c>
      <c r="G8" s="51"/>
      <c r="H8" s="51"/>
      <c r="I8" s="5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" customHeight="1">
      <c r="A9" s="56" t="s">
        <v>163</v>
      </c>
      <c r="B9" s="62">
        <f>COUNTIFS(Customer_MRR_Data!$R:$R,A9)</f>
        <v>1</v>
      </c>
      <c r="C9" s="65">
        <f>SUMIFS(Customer_MRR_Data!$L:$L,Customer_MRR_Data!$R:$R,A9)</f>
        <v>125000</v>
      </c>
      <c r="D9" s="69">
        <f>IFERROR(C9/SUM(Customer_MRR_Data!$L:$L),0)</f>
        <v>0.1768033946251768</v>
      </c>
      <c r="E9" s="56" t="s">
        <v>228</v>
      </c>
      <c r="F9" s="57" t="str">
        <f t="shared" si="0"/>
        <v>Medium</v>
      </c>
      <c r="G9" s="51"/>
      <c r="H9" s="51"/>
      <c r="I9" s="5"/>
      <c r="J9" s="5"/>
      <c r="K9" s="5"/>
      <c r="L9" s="5"/>
      <c r="M9" s="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customHeight="1">
      <c r="A10" s="38" t="s">
        <v>178</v>
      </c>
      <c r="B10" s="61">
        <f>COUNTIFS(Customer_MRR_Data!$R:$R,A10)</f>
        <v>1</v>
      </c>
      <c r="C10" s="66">
        <f>SUMIFS(Customer_MRR_Data!$L:$L,Customer_MRR_Data!$R:$R,A10)</f>
        <v>47000</v>
      </c>
      <c r="D10" s="68">
        <f>IFERROR(C10/SUM(Customer_MRR_Data!$L:$L),0)</f>
        <v>6.6478076379066484E-2</v>
      </c>
      <c r="E10" s="38" t="s">
        <v>229</v>
      </c>
      <c r="F10" s="55" t="str">
        <f t="shared" si="0"/>
        <v>Low</v>
      </c>
      <c r="G10" s="51"/>
      <c r="H10" s="51"/>
      <c r="I10" s="5"/>
      <c r="J10" s="5"/>
      <c r="K10" s="5"/>
      <c r="L10" s="5"/>
      <c r="M10" s="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" customHeight="1">
      <c r="A11" s="58" t="s">
        <v>195</v>
      </c>
      <c r="B11" s="63">
        <f>COUNTIFS(Customer_MRR_Data!$R:$R,A11)</f>
        <v>1</v>
      </c>
      <c r="C11" s="67">
        <f>SUMIFS(Customer_MRR_Data!$L:$L,Customer_MRR_Data!$R:$R,A11)</f>
        <v>270000</v>
      </c>
      <c r="D11" s="70">
        <f>IFERROR(C11/SUM(Customer_MRR_Data!$L:$L),0)</f>
        <v>0.38189533239038187</v>
      </c>
      <c r="E11" s="58" t="s">
        <v>230</v>
      </c>
      <c r="F11" s="59" t="str">
        <f t="shared" si="0"/>
        <v>High</v>
      </c>
      <c r="G11" s="51"/>
      <c r="H11" s="51"/>
      <c r="I11" s="5"/>
      <c r="J11" s="5"/>
      <c r="K11" s="5"/>
      <c r="L11" s="5"/>
      <c r="M11" s="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" customHeight="1">
      <c r="A12" s="51"/>
      <c r="B12" s="51"/>
      <c r="C12" s="51"/>
      <c r="D12" s="51"/>
      <c r="E12" s="51"/>
      <c r="F12" s="51"/>
      <c r="G12" s="51"/>
      <c r="H12" s="51"/>
      <c r="I12" s="5"/>
      <c r="J12" s="5"/>
      <c r="K12" s="5"/>
      <c r="L12" s="5"/>
      <c r="M12" s="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" customHeight="1">
      <c r="A13" s="51"/>
      <c r="B13" s="51"/>
      <c r="C13" s="51"/>
      <c r="D13" s="51"/>
      <c r="E13" s="51"/>
      <c r="F13" s="51"/>
      <c r="G13" s="51"/>
      <c r="H13" s="51"/>
      <c r="I13" s="5"/>
      <c r="J13" s="5"/>
      <c r="K13" s="5"/>
      <c r="L13" s="5"/>
      <c r="M13" s="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customHeight="1">
      <c r="A14" s="52" t="s">
        <v>231</v>
      </c>
      <c r="B14" s="13"/>
      <c r="C14" s="13"/>
      <c r="D14" s="13"/>
      <c r="E14" s="13"/>
      <c r="F14" s="13"/>
      <c r="G14" s="13"/>
      <c r="H14" s="13"/>
      <c r="I14" s="5"/>
      <c r="J14" s="5"/>
      <c r="K14" s="5"/>
      <c r="L14" s="5"/>
      <c r="M14" s="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" customHeight="1">
      <c r="A15" s="53" t="s">
        <v>13</v>
      </c>
      <c r="B15" s="54" t="s">
        <v>2</v>
      </c>
      <c r="C15" s="54" t="s">
        <v>3</v>
      </c>
      <c r="D15" s="54" t="s">
        <v>202</v>
      </c>
      <c r="E15" s="54" t="s">
        <v>203</v>
      </c>
      <c r="F15" s="54" t="s">
        <v>8</v>
      </c>
      <c r="G15" s="54" t="s">
        <v>207</v>
      </c>
      <c r="H15" s="54" t="s">
        <v>208</v>
      </c>
      <c r="I15" s="5"/>
      <c r="J15" s="5"/>
      <c r="K15" s="5"/>
      <c r="L15" s="5"/>
      <c r="M15" s="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customHeight="1">
      <c r="A16" s="38" t="s">
        <v>51</v>
      </c>
      <c r="B16" s="64">
        <f>SUMIFS(Customer_MRR_Data!$H:$H,Customer_MRR_Data!$D:$D,A16)</f>
        <v>4030000</v>
      </c>
      <c r="C16" s="66">
        <f>SUMIFS(Customer_MRR_Data!$I:$I,Customer_MRR_Data!$D:$D,A16)</f>
        <v>3892000</v>
      </c>
      <c r="D16" s="66">
        <f>SUMIFS(Customer_MRR_Data!$J:$J,Customer_MRR_Data!$D:$D,A16)</f>
        <v>174000</v>
      </c>
      <c r="E16" s="66">
        <f>SUMIFS(Customer_MRR_Data!$K:$K,Customer_MRR_Data!$D:$D,A16)</f>
        <v>42000</v>
      </c>
      <c r="F16" s="66">
        <f>SUMIFS(Customer_MRR_Data!$L:$L,Customer_MRR_Data!$D:$D,A16)</f>
        <v>270000</v>
      </c>
      <c r="G16" s="72">
        <f>IFERROR((B16-E16-F16)/B16,0)</f>
        <v>0.92258064516129035</v>
      </c>
      <c r="H16" s="72">
        <f>IFERROR((B16-E16-F16+D16)/B16,0)</f>
        <v>0.96575682382133998</v>
      </c>
      <c r="I16" s="5"/>
      <c r="J16" s="5"/>
      <c r="K16" s="5"/>
      <c r="L16" s="5"/>
      <c r="M16" s="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" customHeight="1">
      <c r="A17" s="56" t="s">
        <v>54</v>
      </c>
      <c r="B17" s="65">
        <f>SUMIFS(Customer_MRR_Data!$H:$H,Customer_MRR_Data!$D:$D,A17)</f>
        <v>1840000</v>
      </c>
      <c r="C17" s="65">
        <f>SUMIFS(Customer_MRR_Data!$I:$I,Customer_MRR_Data!$D:$D,A17)</f>
        <v>1544000</v>
      </c>
      <c r="D17" s="65">
        <f>SUMIFS(Customer_MRR_Data!$J:$J,Customer_MRR_Data!$D:$D,A17)</f>
        <v>37000</v>
      </c>
      <c r="E17" s="65">
        <f>SUMIFS(Customer_MRR_Data!$K:$K,Customer_MRR_Data!$D:$D,A17)</f>
        <v>33000</v>
      </c>
      <c r="F17" s="65">
        <f>SUMIFS(Customer_MRR_Data!$L:$L,Customer_MRR_Data!$D:$D,A17)</f>
        <v>300000</v>
      </c>
      <c r="G17" s="73">
        <f>IFERROR((B17-E17-F17)/B17,0)</f>
        <v>0.81902173913043474</v>
      </c>
      <c r="H17" s="73">
        <f>IFERROR((B17-E17-F17+D17)/B17,0)</f>
        <v>0.83913043478260874</v>
      </c>
      <c r="I17" s="5"/>
      <c r="J17" s="5"/>
      <c r="K17" s="5"/>
      <c r="L17" s="5"/>
      <c r="M17" s="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customHeight="1" thickBot="1">
      <c r="A18" s="60" t="s">
        <v>57</v>
      </c>
      <c r="B18" s="71">
        <f>SUMIFS(Customer_MRR_Data!$H:$H,Customer_MRR_Data!$D:$D,A18)</f>
        <v>525000</v>
      </c>
      <c r="C18" s="71">
        <f>SUMIFS(Customer_MRR_Data!$I:$I,Customer_MRR_Data!$D:$D,A18)</f>
        <v>390000</v>
      </c>
      <c r="D18" s="71">
        <f>SUMIFS(Customer_MRR_Data!$J:$J,Customer_MRR_Data!$D:$D,A18)</f>
        <v>5000</v>
      </c>
      <c r="E18" s="71">
        <f>SUMIFS(Customer_MRR_Data!$K:$K,Customer_MRR_Data!$D:$D,A18)</f>
        <v>3000</v>
      </c>
      <c r="F18" s="71">
        <f>SUMIFS(Customer_MRR_Data!$L:$L,Customer_MRR_Data!$D:$D,A18)</f>
        <v>137000</v>
      </c>
      <c r="G18" s="74">
        <f>IFERROR((B18-E18-F18)/B18,0)</f>
        <v>0.73333333333333328</v>
      </c>
      <c r="H18" s="74">
        <f>IFERROR((B18-E18-F18+D18)/B18,0)</f>
        <v>0.74285714285714288</v>
      </c>
      <c r="I18" s="5"/>
      <c r="J18" s="5"/>
      <c r="K18" s="5"/>
      <c r="L18" s="5"/>
      <c r="M18" s="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conditionalFormatting sqref="F6:F11">
    <cfRule type="containsText" dxfId="30" priority="1" operator="containsText" text="High">
      <formula>NOT(ISERROR(SEARCH("High",F6)))</formula>
    </cfRule>
  </conditionalFormatting>
  <conditionalFormatting sqref="F6:F11">
    <cfRule type="containsText" dxfId="29" priority="2" operator="containsText" text="Medium">
      <formula>NOT(ISERROR(SEARCH("Medium",F6)))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61413"/>
  </sheetPr>
  <dimension ref="A1:Z200"/>
  <sheetViews>
    <sheetView showGridLines="0" showRowColHeader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8.33203125" customWidth="1"/>
    <col min="2" max="2" width="24.1640625" customWidth="1"/>
    <col min="3" max="3" width="15.83203125" customWidth="1"/>
    <col min="4" max="4" width="18.33203125" customWidth="1"/>
    <col min="5" max="5" width="15.83203125" customWidth="1"/>
    <col min="6" max="7" width="13.33203125" customWidth="1"/>
    <col min="8" max="8" width="18.33203125" customWidth="1"/>
    <col min="9" max="9" width="10.83203125" customWidth="1"/>
    <col min="10" max="10" width="43.33203125" customWidth="1"/>
    <col min="11" max="26" width="0" hidden="1" customWidth="1"/>
  </cols>
  <sheetData>
    <row r="1" spans="1:26" ht="28" customHeight="1">
      <c r="A1" s="33" t="s">
        <v>232</v>
      </c>
      <c r="B1" s="31"/>
      <c r="C1" s="31"/>
      <c r="D1" s="31"/>
      <c r="E1" s="31"/>
      <c r="F1" s="31"/>
      <c r="G1" s="31"/>
      <c r="H1" s="31"/>
      <c r="I1" s="31"/>
      <c r="J1" s="3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34" t="s">
        <v>233</v>
      </c>
      <c r="B2" s="31"/>
      <c r="C2" s="31"/>
      <c r="D2" s="31"/>
      <c r="E2" s="31"/>
      <c r="F2" s="31"/>
      <c r="G2" s="31"/>
      <c r="H2" s="31"/>
      <c r="I2" s="31"/>
      <c r="J2" s="3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" customHeight="1" thickBot="1">
      <c r="A3" s="32"/>
      <c r="B3" s="32"/>
      <c r="C3" s="32"/>
      <c r="D3" s="32"/>
      <c r="E3" s="32"/>
      <c r="F3" s="32"/>
      <c r="G3" s="32"/>
      <c r="H3" s="32"/>
      <c r="I3" s="32"/>
      <c r="J3" s="3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" customHeight="1">
      <c r="A4" s="75" t="s">
        <v>11</v>
      </c>
      <c r="B4" s="13" t="s">
        <v>12</v>
      </c>
      <c r="C4" s="75" t="s">
        <v>13</v>
      </c>
      <c r="D4" s="75" t="s">
        <v>14</v>
      </c>
      <c r="E4" s="75" t="s">
        <v>15</v>
      </c>
      <c r="F4" s="75" t="s">
        <v>234</v>
      </c>
      <c r="G4" s="75" t="s">
        <v>235</v>
      </c>
      <c r="H4" s="75" t="s">
        <v>18</v>
      </c>
      <c r="I4" s="75" t="s">
        <v>19</v>
      </c>
      <c r="J4" s="13" t="s">
        <v>236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" customHeight="1">
      <c r="A5" s="107">
        <v>1</v>
      </c>
      <c r="B5" s="77" t="str">
        <f ca="1">INDEX(Customer_MRR_Data!$B:$B,MATCH(LARGE(Customer_MRR_Data!$Y:$Y,A5),Customer_MRR_Data!$Y:$Y,0))</f>
        <v>Apex Claims</v>
      </c>
      <c r="C5" s="78" t="str">
        <f ca="1">INDEX(Customer_MRR_Data!$D:$D,MATCH($B5,Customer_MRR_Data!$B:$B,0))</f>
        <v>Mid-Market</v>
      </c>
      <c r="D5" s="78" t="str">
        <f ca="1">INDEX(Customer_MRR_Data!$G:$G,MATCH($B5,Customer_MRR_Data!$B:$B,0))</f>
        <v>Maya Singh</v>
      </c>
      <c r="E5" s="90">
        <f ca="1">INDEX(Customer_MRR_Data!$S:$S,MATCH($B5,Customer_MRR_Data!$B:$B,0))</f>
        <v>46231</v>
      </c>
      <c r="F5" s="94">
        <f ca="1">INDEX(Customer_MRR_Data!$T:$T,MATCH($B5,Customer_MRR_Data!$B:$B,0))</f>
        <v>52</v>
      </c>
      <c r="G5" s="69">
        <f ca="1">INDEX(Customer_MRR_Data!$U:$U,MATCH($B5,Customer_MRR_Data!$B:$B,0))</f>
        <v>0.41</v>
      </c>
      <c r="H5" s="100">
        <f ca="1">INDEX(Customer_MRR_Data!$H:$H,MATCH($B5,Customer_MRR_Data!$B:$B,0))</f>
        <v>132000</v>
      </c>
      <c r="I5" s="76" t="str">
        <f ca="1">INDEX(Customer_MRR_Data!$W:$W,MATCH($B5,Customer_MRR_Data!$B:$B,0))</f>
        <v>High</v>
      </c>
      <c r="J5" s="77" t="str">
        <f ca="1">INDEX(Customer_MRR_Data!$X:$X,MATCH($B5,Customer_MRR_Data!$B:$B,0))</f>
        <v>Executive save plan + adoption intervention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" customHeight="1">
      <c r="A6" s="108">
        <v>2</v>
      </c>
      <c r="B6" s="80" t="str">
        <f ca="1">INDEX(Customer_MRR_Data!$B:$B,MATCH(LARGE(Customer_MRR_Data!$Y:$Y,A6),Customer_MRR_Data!$Y:$Y,0))</f>
        <v>Horizon Parts</v>
      </c>
      <c r="C6" s="81" t="str">
        <f ca="1">INDEX(Customer_MRR_Data!$D:$D,MATCH($B6,Customer_MRR_Data!$B:$B,0))</f>
        <v>Mid-Market</v>
      </c>
      <c r="D6" s="81" t="str">
        <f ca="1">INDEX(Customer_MRR_Data!$G:$G,MATCH($B6,Customer_MRR_Data!$B:$B,0))</f>
        <v>Nora Patel</v>
      </c>
      <c r="E6" s="91">
        <f ca="1">INDEX(Customer_MRR_Data!$S:$S,MATCH($B6,Customer_MRR_Data!$B:$B,0))</f>
        <v>46081</v>
      </c>
      <c r="F6" s="95">
        <f ca="1">INDEX(Customer_MRR_Data!$T:$T,MATCH($B6,Customer_MRR_Data!$B:$B,0))</f>
        <v>55</v>
      </c>
      <c r="G6" s="68">
        <f ca="1">INDEX(Customer_MRR_Data!$U:$U,MATCH($B6,Customer_MRR_Data!$B:$B,0))</f>
        <v>0.42</v>
      </c>
      <c r="H6" s="101">
        <f ca="1">INDEX(Customer_MRR_Data!$H:$H,MATCH($B6,Customer_MRR_Data!$B:$B,0))</f>
        <v>142000</v>
      </c>
      <c r="I6" s="79" t="str">
        <f ca="1">INDEX(Customer_MRR_Data!$W:$W,MATCH($B6,Customer_MRR_Data!$B:$B,0))</f>
        <v>High</v>
      </c>
      <c r="J6" s="80" t="str">
        <f ca="1">INDEX(Customer_MRR_Data!$X:$X,MATCH($B6,Customer_MRR_Data!$B:$B,0))</f>
        <v>Executive save plan + adoption intervention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" customHeight="1">
      <c r="A7" s="107">
        <v>3</v>
      </c>
      <c r="B7" s="77" t="str">
        <f ca="1">INDEX(Customer_MRR_Data!$B:$B,MATCH(LARGE(Customer_MRR_Data!$Y:$Y,A7),Customer_MRR_Data!$Y:$Y,0))</f>
        <v>Cedar Logistics</v>
      </c>
      <c r="C7" s="78" t="str">
        <f ca="1">INDEX(Customer_MRR_Data!$D:$D,MATCH($B7,Customer_MRR_Data!$B:$B,0))</f>
        <v>Enterprise</v>
      </c>
      <c r="D7" s="78" t="str">
        <f ca="1">INDEX(Customer_MRR_Data!$G:$G,MATCH($B7,Customer_MRR_Data!$B:$B,0))</f>
        <v>Jordan Chen</v>
      </c>
      <c r="E7" s="90">
        <f ca="1">INDEX(Customer_MRR_Data!$S:$S,MATCH($B7,Customer_MRR_Data!$B:$B,0))</f>
        <v>46241</v>
      </c>
      <c r="F7" s="94">
        <f ca="1">INDEX(Customer_MRR_Data!$T:$T,MATCH($B7,Customer_MRR_Data!$B:$B,0))</f>
        <v>61</v>
      </c>
      <c r="G7" s="69">
        <f ca="1">INDEX(Customer_MRR_Data!$U:$U,MATCH($B7,Customer_MRR_Data!$B:$B,0))</f>
        <v>0.49</v>
      </c>
      <c r="H7" s="102">
        <f ca="1">INDEX(Customer_MRR_Data!$H:$H,MATCH($B7,Customer_MRR_Data!$B:$B,0))</f>
        <v>310000</v>
      </c>
      <c r="I7" s="76" t="str">
        <f ca="1">INDEX(Customer_MRR_Data!$W:$W,MATCH($B7,Customer_MRR_Data!$B:$B,0))</f>
        <v>High</v>
      </c>
      <c r="J7" s="77" t="str">
        <f ca="1">INDEX(Customer_MRR_Data!$X:$X,MATCH($B7,Customer_MRR_Data!$B:$B,0))</f>
        <v>Executive save plan + adoption intervention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customHeight="1">
      <c r="A8" s="109">
        <v>4</v>
      </c>
      <c r="B8" s="83" t="str">
        <f ca="1">INDEX(Customer_MRR_Data!$B:$B,MATCH(LARGE(Customer_MRR_Data!$Y:$Y,A8),Customer_MRR_Data!$Y:$Y,0))</f>
        <v>Pioneer Freight</v>
      </c>
      <c r="C8" s="84" t="str">
        <f ca="1">INDEX(Customer_MRR_Data!$D:$D,MATCH($B8,Customer_MRR_Data!$B:$B,0))</f>
        <v>Enterprise</v>
      </c>
      <c r="D8" s="84" t="str">
        <f ca="1">INDEX(Customer_MRR_Data!$G:$G,MATCH($B8,Customer_MRR_Data!$B:$B,0))</f>
        <v>Nora Patel</v>
      </c>
      <c r="E8" s="92">
        <f ca="1">INDEX(Customer_MRR_Data!$S:$S,MATCH($B8,Customer_MRR_Data!$B:$B,0))</f>
        <v>46285</v>
      </c>
      <c r="F8" s="96">
        <f ca="1">INDEX(Customer_MRR_Data!$T:$T,MATCH($B8,Customer_MRR_Data!$B:$B,0))</f>
        <v>54</v>
      </c>
      <c r="G8" s="98">
        <f ca="1">INDEX(Customer_MRR_Data!$U:$U,MATCH($B8,Customer_MRR_Data!$B:$B,0))</f>
        <v>0.39</v>
      </c>
      <c r="H8" s="103">
        <f ca="1">INDEX(Customer_MRR_Data!$H:$H,MATCH($B8,Customer_MRR_Data!$B:$B,0))</f>
        <v>340000</v>
      </c>
      <c r="I8" s="82" t="str">
        <f ca="1">INDEX(Customer_MRR_Data!$W:$W,MATCH($B8,Customer_MRR_Data!$B:$B,0))</f>
        <v>High</v>
      </c>
      <c r="J8" s="83" t="str">
        <f ca="1">INDEX(Customer_MRR_Data!$X:$X,MATCH($B8,Customer_MRR_Data!$B:$B,0))</f>
        <v>Executive save plan + adoption intervention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" customHeight="1">
      <c r="A9" s="110">
        <v>5</v>
      </c>
      <c r="B9" s="77" t="str">
        <f ca="1">INDEX(Customer_MRR_Data!$B:$B,MATCH(LARGE(Customer_MRR_Data!$Y:$Y,A9),Customer_MRR_Data!$Y:$Y,0))</f>
        <v>Union Billing</v>
      </c>
      <c r="C9" s="78" t="str">
        <f ca="1">INDEX(Customer_MRR_Data!$D:$D,MATCH($B9,Customer_MRR_Data!$B:$B,0))</f>
        <v>SMB</v>
      </c>
      <c r="D9" s="78" t="str">
        <f ca="1">INDEX(Customer_MRR_Data!$G:$G,MATCH($B9,Customer_MRR_Data!$B:$B,0))</f>
        <v>Leo Park</v>
      </c>
      <c r="E9" s="90">
        <f ca="1">INDEX(Customer_MRR_Data!$S:$S,MATCH($B9,Customer_MRR_Data!$B:$B,0))</f>
        <v>46078</v>
      </c>
      <c r="F9" s="62">
        <f ca="1">INDEX(Customer_MRR_Data!$T:$T,MATCH($B9,Customer_MRR_Data!$B:$B,0))</f>
        <v>59</v>
      </c>
      <c r="G9" s="69">
        <f ca="1">INDEX(Customer_MRR_Data!$U:$U,MATCH($B9,Customer_MRR_Data!$B:$B,0))</f>
        <v>0.46</v>
      </c>
      <c r="H9" s="104">
        <f ca="1">INDEX(Customer_MRR_Data!$H:$H,MATCH($B9,Customer_MRR_Data!$B:$B,0))</f>
        <v>66000</v>
      </c>
      <c r="I9" s="85" t="str">
        <f ca="1">INDEX(Customer_MRR_Data!$W:$W,MATCH($B9,Customer_MRR_Data!$B:$B,0))</f>
        <v>Medium</v>
      </c>
      <c r="J9" s="77" t="str">
        <f ca="1">INDEX(Customer_MRR_Data!$X:$X,MATCH($B9,Customer_MRR_Data!$B:$B,0))</f>
        <v>CSM action plan before renewal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customHeight="1">
      <c r="A10" s="111">
        <v>6</v>
      </c>
      <c r="B10" s="80" t="str">
        <f ca="1">INDEX(Customer_MRR_Data!$B:$B,MATCH(LARGE(Customer_MRR_Data!$Y:$Y,A10),Customer_MRR_Data!$Y:$Y,0))</f>
        <v>BlueRiver Health</v>
      </c>
      <c r="C10" s="81" t="str">
        <f ca="1">INDEX(Customer_MRR_Data!$D:$D,MATCH($B10,Customer_MRR_Data!$B:$B,0))</f>
        <v>Mid-Market</v>
      </c>
      <c r="D10" s="81" t="str">
        <f ca="1">INDEX(Customer_MRR_Data!$G:$G,MATCH($B10,Customer_MRR_Data!$B:$B,0))</f>
        <v>Maya Singh</v>
      </c>
      <c r="E10" s="91">
        <f ca="1">INDEX(Customer_MRR_Data!$S:$S,MATCH($B10,Customer_MRR_Data!$B:$B,0))</f>
        <v>46209</v>
      </c>
      <c r="F10" s="61">
        <f ca="1">INDEX(Customer_MRR_Data!$T:$T,MATCH($B10,Customer_MRR_Data!$B:$B,0))</f>
        <v>68</v>
      </c>
      <c r="G10" s="68">
        <f ca="1">INDEX(Customer_MRR_Data!$U:$U,MATCH($B10,Customer_MRR_Data!$B:$B,0))</f>
        <v>0.57999999999999996</v>
      </c>
      <c r="H10" s="105">
        <f ca="1">INDEX(Customer_MRR_Data!$H:$H,MATCH($B10,Customer_MRR_Data!$B:$B,0))</f>
        <v>155000</v>
      </c>
      <c r="I10" s="86" t="str">
        <f ca="1">INDEX(Customer_MRR_Data!$W:$W,MATCH($B10,Customer_MRR_Data!$B:$B,0))</f>
        <v>Medium</v>
      </c>
      <c r="J10" s="80" t="str">
        <f ca="1">INDEX(Customer_MRR_Data!$X:$X,MATCH($B10,Customer_MRR_Data!$B:$B,0))</f>
        <v>CSM action plan before renewal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" customHeight="1">
      <c r="A11" s="110">
        <v>7</v>
      </c>
      <c r="B11" s="77" t="str">
        <f ca="1">INDEX(Customer_MRR_Data!$B:$B,MATCH(LARGE(Customer_MRR_Data!$Y:$Y,A11),Customer_MRR_Data!$Y:$Y,0))</f>
        <v>Keystone Plastics</v>
      </c>
      <c r="C11" s="78" t="str">
        <f ca="1">INDEX(Customer_MRR_Data!$D:$D,MATCH($B11,Customer_MRR_Data!$B:$B,0))</f>
        <v>Enterprise</v>
      </c>
      <c r="D11" s="78" t="str">
        <f ca="1">INDEX(Customer_MRR_Data!$G:$G,MATCH($B11,Customer_MRR_Data!$B:$B,0))</f>
        <v>Jordan Chen</v>
      </c>
      <c r="E11" s="90">
        <f ca="1">INDEX(Customer_MRR_Data!$S:$S,MATCH($B11,Customer_MRR_Data!$B:$B,0))</f>
        <v>46127</v>
      </c>
      <c r="F11" s="62">
        <f ca="1">INDEX(Customer_MRR_Data!$T:$T,MATCH($B11,Customer_MRR_Data!$B:$B,0))</f>
        <v>66</v>
      </c>
      <c r="G11" s="69">
        <f ca="1">INDEX(Customer_MRR_Data!$U:$U,MATCH($B11,Customer_MRR_Data!$B:$B,0))</f>
        <v>0.56000000000000005</v>
      </c>
      <c r="H11" s="104">
        <f ca="1">INDEX(Customer_MRR_Data!$H:$H,MATCH($B11,Customer_MRR_Data!$B:$B,0))</f>
        <v>260000</v>
      </c>
      <c r="I11" s="85" t="str">
        <f ca="1">INDEX(Customer_MRR_Data!$W:$W,MATCH($B11,Customer_MRR_Data!$B:$B,0))</f>
        <v>Medium</v>
      </c>
      <c r="J11" s="77" t="str">
        <f ca="1">INDEX(Customer_MRR_Data!$X:$X,MATCH($B11,Customer_MRR_Data!$B:$B,0))</f>
        <v>CSM action plan before renewal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customHeight="1">
      <c r="A12" s="111">
        <v>8</v>
      </c>
      <c r="B12" s="80" t="str">
        <f ca="1">INDEX(Customer_MRR_Data!$B:$B,MATCH(LARGE(Customer_MRR_Data!$Y:$Y,A12),Customer_MRR_Data!$Y:$Y,0))</f>
        <v>Yardline Medical</v>
      </c>
      <c r="C12" s="81" t="str">
        <f ca="1">INDEX(Customer_MRR_Data!$D:$D,MATCH($B12,Customer_MRR_Data!$B:$B,0))</f>
        <v>SMB</v>
      </c>
      <c r="D12" s="81" t="str">
        <f ca="1">INDEX(Customer_MRR_Data!$G:$G,MATCH($B12,Customer_MRR_Data!$B:$B,0))</f>
        <v>Leo Park</v>
      </c>
      <c r="E12" s="91">
        <f ca="1">INDEX(Customer_MRR_Data!$S:$S,MATCH($B12,Customer_MRR_Data!$B:$B,0))</f>
        <v>46170</v>
      </c>
      <c r="F12" s="61">
        <f ca="1">INDEX(Customer_MRR_Data!$T:$T,MATCH($B12,Customer_MRR_Data!$B:$B,0))</f>
        <v>64</v>
      </c>
      <c r="G12" s="68">
        <f ca="1">INDEX(Customer_MRR_Data!$U:$U,MATCH($B12,Customer_MRR_Data!$B:$B,0))</f>
        <v>0.55000000000000004</v>
      </c>
      <c r="H12" s="105">
        <f ca="1">INDEX(Customer_MRR_Data!$H:$H,MATCH($B12,Customer_MRR_Data!$B:$B,0))</f>
        <v>52000</v>
      </c>
      <c r="I12" s="86" t="str">
        <f ca="1">INDEX(Customer_MRR_Data!$W:$W,MATCH($B12,Customer_MRR_Data!$B:$B,0))</f>
        <v>Medium</v>
      </c>
      <c r="J12" s="80" t="str">
        <f ca="1">INDEX(Customer_MRR_Data!$X:$X,MATCH($B12,Customer_MRR_Data!$B:$B,0))</f>
        <v>CSM action plan before renewal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" customHeight="1">
      <c r="A13" s="110">
        <v>9</v>
      </c>
      <c r="B13" s="77" t="str">
        <f ca="1">INDEX(Customer_MRR_Data!$B:$B,MATCH(LARGE(Customer_MRR_Data!$Y:$Y,A13),Customer_MRR_Data!$Y:$Y,0))</f>
        <v>Ivy Claims</v>
      </c>
      <c r="C13" s="78" t="str">
        <f ca="1">INDEX(Customer_MRR_Data!$D:$D,MATCH($B13,Customer_MRR_Data!$B:$B,0))</f>
        <v>SMB</v>
      </c>
      <c r="D13" s="78" t="str">
        <f ca="1">INDEX(Customer_MRR_Data!$G:$G,MATCH($B13,Customer_MRR_Data!$B:$B,0))</f>
        <v>Leo Park</v>
      </c>
      <c r="E13" s="90">
        <f ca="1">INDEX(Customer_MRR_Data!$S:$S,MATCH($B13,Customer_MRR_Data!$B:$B,0))</f>
        <v>46109</v>
      </c>
      <c r="F13" s="62">
        <f ca="1">INDEX(Customer_MRR_Data!$T:$T,MATCH($B13,Customer_MRR_Data!$B:$B,0))</f>
        <v>67</v>
      </c>
      <c r="G13" s="69">
        <f ca="1">INDEX(Customer_MRR_Data!$U:$U,MATCH($B13,Customer_MRR_Data!$B:$B,0))</f>
        <v>0.54</v>
      </c>
      <c r="H13" s="104">
        <f ca="1">INDEX(Customer_MRR_Data!$H:$H,MATCH($B13,Customer_MRR_Data!$B:$B,0))</f>
        <v>45000</v>
      </c>
      <c r="I13" s="85" t="str">
        <f ca="1">INDEX(Customer_MRR_Data!$W:$W,MATCH($B13,Customer_MRR_Data!$B:$B,0))</f>
        <v>Medium</v>
      </c>
      <c r="J13" s="77" t="str">
        <f ca="1">INDEX(Customer_MRR_Data!$X:$X,MATCH($B13,Customer_MRR_Data!$B:$B,0))</f>
        <v>CSM action plan before renewal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customHeight="1">
      <c r="A14" s="111">
        <v>10</v>
      </c>
      <c r="B14" s="80" t="str">
        <f ca="1">INDEX(Customer_MRR_Data!$B:$B,MATCH(LARGE(Customer_MRR_Data!$Y:$Y,A14),Customer_MRR_Data!$Y:$Y,0))</f>
        <v>Lakeview Supply</v>
      </c>
      <c r="C14" s="81" t="str">
        <f ca="1">INDEX(Customer_MRR_Data!$D:$D,MATCH($B14,Customer_MRR_Data!$B:$B,0))</f>
        <v>SMB</v>
      </c>
      <c r="D14" s="81" t="str">
        <f ca="1">INDEX(Customer_MRR_Data!$G:$G,MATCH($B14,Customer_MRR_Data!$B:$B,0))</f>
        <v>Leo Park</v>
      </c>
      <c r="E14" s="91">
        <f ca="1">INDEX(Customer_MRR_Data!$S:$S,MATCH($B14,Customer_MRR_Data!$B:$B,0))</f>
        <v>46158</v>
      </c>
      <c r="F14" s="61">
        <f ca="1">INDEX(Customer_MRR_Data!$T:$T,MATCH($B14,Customer_MRR_Data!$B:$B,0))</f>
        <v>69</v>
      </c>
      <c r="G14" s="68">
        <f ca="1">INDEX(Customer_MRR_Data!$U:$U,MATCH($B14,Customer_MRR_Data!$B:$B,0))</f>
        <v>0.56999999999999995</v>
      </c>
      <c r="H14" s="105">
        <f ca="1">INDEX(Customer_MRR_Data!$H:$H,MATCH($B14,Customer_MRR_Data!$B:$B,0))</f>
        <v>54000</v>
      </c>
      <c r="I14" s="86" t="str">
        <f ca="1">INDEX(Customer_MRR_Data!$W:$W,MATCH($B14,Customer_MRR_Data!$B:$B,0))</f>
        <v>Medium</v>
      </c>
      <c r="J14" s="80" t="str">
        <f ca="1">INDEX(Customer_MRR_Data!$X:$X,MATCH($B14,Customer_MRR_Data!$B:$B,0))</f>
        <v>CSM action plan before renewal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" customHeight="1">
      <c r="A15" s="110">
        <v>11</v>
      </c>
      <c r="B15" s="77" t="str">
        <f ca="1">INDEX(Customer_MRR_Data!$B:$B,MATCH(LARGE(Customer_MRR_Data!$Y:$Y,A15),Customer_MRR_Data!$Y:$Y,0))</f>
        <v>Granite Payroll</v>
      </c>
      <c r="C15" s="78" t="str">
        <f ca="1">INDEX(Customer_MRR_Data!$D:$D,MATCH($B15,Customer_MRR_Data!$B:$B,0))</f>
        <v>SMB</v>
      </c>
      <c r="D15" s="78" t="str">
        <f ca="1">INDEX(Customer_MRR_Data!$G:$G,MATCH($B15,Customer_MRR_Data!$B:$B,0))</f>
        <v>Leo Park</v>
      </c>
      <c r="E15" s="90">
        <f ca="1">INDEX(Customer_MRR_Data!$S:$S,MATCH($B15,Customer_MRR_Data!$B:$B,0))</f>
        <v>46367</v>
      </c>
      <c r="F15" s="62">
        <f ca="1">INDEX(Customer_MRR_Data!$T:$T,MATCH($B15,Customer_MRR_Data!$B:$B,0))</f>
        <v>57</v>
      </c>
      <c r="G15" s="69">
        <f ca="1">INDEX(Customer_MRR_Data!$U:$U,MATCH($B15,Customer_MRR_Data!$B:$B,0))</f>
        <v>0.44</v>
      </c>
      <c r="H15" s="104">
        <f ca="1">INDEX(Customer_MRR_Data!$H:$H,MATCH($B15,Customer_MRR_Data!$B:$B,0))</f>
        <v>62000</v>
      </c>
      <c r="I15" s="85" t="str">
        <f ca="1">INDEX(Customer_MRR_Data!$W:$W,MATCH($B15,Customer_MRR_Data!$B:$B,0))</f>
        <v>Medium</v>
      </c>
      <c r="J15" s="77" t="str">
        <f ca="1">INDEX(Customer_MRR_Data!$X:$X,MATCH($B15,Customer_MRR_Data!$B:$B,0))</f>
        <v>CSM action plan before renewal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customHeight="1" thickBot="1">
      <c r="A16" s="112">
        <v>12</v>
      </c>
      <c r="B16" s="88" t="str">
        <f ca="1">INDEX(Customer_MRR_Data!$B:$B,MATCH(LARGE(Customer_MRR_Data!$Y:$Y,A16),Customer_MRR_Data!$Y:$Y,0))</f>
        <v>Evergreen Fleet</v>
      </c>
      <c r="C16" s="89" t="str">
        <f ca="1">INDEX(Customer_MRR_Data!$D:$D,MATCH($B16,Customer_MRR_Data!$B:$B,0))</f>
        <v>Mid-Market</v>
      </c>
      <c r="D16" s="89" t="str">
        <f ca="1">INDEX(Customer_MRR_Data!$G:$G,MATCH($B16,Customer_MRR_Data!$B:$B,0))</f>
        <v>Nora Patel</v>
      </c>
      <c r="E16" s="93">
        <f ca="1">INDEX(Customer_MRR_Data!$S:$S,MATCH($B16,Customer_MRR_Data!$B:$B,0))</f>
        <v>46354</v>
      </c>
      <c r="F16" s="97">
        <f ca="1">INDEX(Customer_MRR_Data!$T:$T,MATCH($B16,Customer_MRR_Data!$B:$B,0))</f>
        <v>60</v>
      </c>
      <c r="G16" s="99">
        <f ca="1">INDEX(Customer_MRR_Data!$U:$U,MATCH($B16,Customer_MRR_Data!$B:$B,0))</f>
        <v>0.48</v>
      </c>
      <c r="H16" s="106">
        <f ca="1">INDEX(Customer_MRR_Data!$H:$H,MATCH($B16,Customer_MRR_Data!$B:$B,0))</f>
        <v>150000</v>
      </c>
      <c r="I16" s="87" t="str">
        <f ca="1">INDEX(Customer_MRR_Data!$W:$W,MATCH($B16,Customer_MRR_Data!$B:$B,0))</f>
        <v>Medium</v>
      </c>
      <c r="J16" s="88" t="str">
        <f ca="1">INDEX(Customer_MRR_Data!$X:$X,MATCH($B16,Customer_MRR_Data!$B:$B,0))</f>
        <v>CSM action plan before renewal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conditionalFormatting sqref="I5:I16">
    <cfRule type="containsText" dxfId="32" priority="1" operator="containsText" text="High">
      <formula>NOT(ISERROR(SEARCH("High",I5)))</formula>
    </cfRule>
  </conditionalFormatting>
  <conditionalFormatting sqref="I5:I16">
    <cfRule type="containsText" dxfId="31" priority="2" operator="containsText" text="Medium">
      <formula>NOT(ISERROR(SEARCH("Medium",I5)))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61413"/>
  </sheetPr>
  <dimension ref="A1:Z200"/>
  <sheetViews>
    <sheetView showGridLines="0" showRowColHeaders="0" workbookViewId="0">
      <pane ySplit="4" topLeftCell="A5" activePane="bottomLeft" state="frozen"/>
      <selection pane="bottomLeft" activeCell="F31" sqref="F31"/>
    </sheetView>
  </sheetViews>
  <sheetFormatPr baseColWidth="10" defaultColWidth="8.83203125" defaultRowHeight="14"/>
  <cols>
    <col min="1" max="1" width="21.6640625" customWidth="1"/>
    <col min="2" max="3" width="19.1640625" customWidth="1"/>
    <col min="4" max="4" width="23.33203125" customWidth="1"/>
    <col min="5" max="5" width="20" customWidth="1"/>
    <col min="6" max="6" width="22.5" customWidth="1"/>
    <col min="7" max="7" width="15.83203125" customWidth="1"/>
    <col min="8" max="8" width="25.83203125" customWidth="1"/>
    <col min="9" max="26" width="0" hidden="1" customWidth="1"/>
  </cols>
  <sheetData>
    <row r="1" spans="1:26" ht="28" customHeight="1">
      <c r="A1" s="33" t="s">
        <v>237</v>
      </c>
      <c r="B1" s="31"/>
      <c r="C1" s="31"/>
      <c r="D1" s="31"/>
      <c r="E1" s="31"/>
      <c r="F1" s="31"/>
      <c r="G1" s="31"/>
      <c r="H1" s="3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34" t="s">
        <v>238</v>
      </c>
      <c r="B2" s="31"/>
      <c r="C2" s="31"/>
      <c r="D2" s="31"/>
      <c r="E2" s="31"/>
      <c r="F2" s="31"/>
      <c r="G2" s="31"/>
      <c r="H2" s="3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" customHeight="1" thickBot="1">
      <c r="A3" s="32"/>
      <c r="B3" s="32"/>
      <c r="C3" s="32"/>
      <c r="D3" s="32"/>
      <c r="E3" s="32"/>
      <c r="F3" s="32"/>
      <c r="G3" s="32"/>
      <c r="H3" s="3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" customHeight="1">
      <c r="A4" s="13" t="s">
        <v>239</v>
      </c>
      <c r="B4" s="35" t="s">
        <v>240</v>
      </c>
      <c r="C4" s="35" t="s">
        <v>241</v>
      </c>
      <c r="D4" s="35" t="s">
        <v>242</v>
      </c>
      <c r="E4" s="35" t="s">
        <v>62</v>
      </c>
      <c r="F4" s="35" t="s">
        <v>243</v>
      </c>
      <c r="G4" s="35" t="s">
        <v>65</v>
      </c>
      <c r="H4" s="35" t="s">
        <v>244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" customHeight="1">
      <c r="A5" s="77" t="s">
        <v>245</v>
      </c>
      <c r="B5" s="69">
        <v>0.02</v>
      </c>
      <c r="C5" s="69">
        <v>0.01</v>
      </c>
      <c r="D5" s="115">
        <f>SUM(Customer_MRR_Data!$H:$H)*B5</f>
        <v>127900</v>
      </c>
      <c r="E5" s="69">
        <f>Inputs!$B$9</f>
        <v>0.7</v>
      </c>
      <c r="F5" s="115">
        <f>D5*E5</f>
        <v>89530</v>
      </c>
      <c r="G5" s="117">
        <f>Inputs!$B$10</f>
        <v>12</v>
      </c>
      <c r="H5" s="119">
        <f>F5*G5</f>
        <v>1074360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" customHeight="1">
      <c r="A6" s="121" t="s">
        <v>246</v>
      </c>
      <c r="B6" s="122">
        <v>0.04</v>
      </c>
      <c r="C6" s="122">
        <v>0.02</v>
      </c>
      <c r="D6" s="123">
        <f>SUM(Customer_MRR_Data!$H:$H)*B6</f>
        <v>255800</v>
      </c>
      <c r="E6" s="122">
        <f>Inputs!$B$9</f>
        <v>0.7</v>
      </c>
      <c r="F6" s="123">
        <f>D6*E6</f>
        <v>179060</v>
      </c>
      <c r="G6" s="124">
        <f>Inputs!$B$10</f>
        <v>12</v>
      </c>
      <c r="H6" s="125">
        <f>F6*G6</f>
        <v>2148720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" customHeight="1" thickBot="1">
      <c r="A7" s="113" t="s">
        <v>247</v>
      </c>
      <c r="B7" s="114">
        <v>0.06</v>
      </c>
      <c r="C7" s="114">
        <v>0.03</v>
      </c>
      <c r="D7" s="116">
        <f>SUM(Customer_MRR_Data!$H:$H)*B7</f>
        <v>383700</v>
      </c>
      <c r="E7" s="114">
        <f>Inputs!$B$9</f>
        <v>0.7</v>
      </c>
      <c r="F7" s="116">
        <f>D7*E7</f>
        <v>268590</v>
      </c>
      <c r="G7" s="118">
        <f>Inputs!$B$10</f>
        <v>12</v>
      </c>
      <c r="H7" s="120">
        <f>F7*G7</f>
        <v>3223080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61413"/>
  </sheetPr>
  <dimension ref="A1:Z200"/>
  <sheetViews>
    <sheetView showGridLines="0" showRowColHeader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35" customWidth="1"/>
    <col min="2" max="4" width="21.6640625" customWidth="1"/>
    <col min="5" max="26" width="0" hidden="1" customWidth="1"/>
  </cols>
  <sheetData>
    <row r="1" spans="1:26" ht="28" customHeight="1">
      <c r="A1" s="33" t="s">
        <v>248</v>
      </c>
      <c r="B1" s="31"/>
      <c r="C1" s="31"/>
      <c r="D1" s="31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34" t="s">
        <v>249</v>
      </c>
      <c r="B2" s="31"/>
      <c r="C2" s="31"/>
      <c r="D2" s="31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" customHeight="1" thickBot="1">
      <c r="A3" s="32"/>
      <c r="B3" s="32"/>
      <c r="C3" s="32"/>
      <c r="D3" s="32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" customHeight="1">
      <c r="A4" s="13" t="s">
        <v>250</v>
      </c>
      <c r="B4" s="35" t="s">
        <v>251</v>
      </c>
      <c r="C4" s="35" t="s">
        <v>252</v>
      </c>
      <c r="D4" s="35" t="s">
        <v>253</v>
      </c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" customHeight="1">
      <c r="A5" s="77" t="s">
        <v>2</v>
      </c>
      <c r="B5" s="115">
        <f>SUM(Customer_MRR_Data!$H:$H)</f>
        <v>6395000</v>
      </c>
      <c r="C5" s="115">
        <f>B5</f>
        <v>6395000</v>
      </c>
      <c r="D5" s="115">
        <f t="shared" ref="D5:D13" si="0">C5-B5</f>
        <v>0</v>
      </c>
      <c r="E5" s="5"/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" customHeight="1">
      <c r="A6" s="80" t="s">
        <v>3</v>
      </c>
      <c r="B6" s="66">
        <f>SUM(Customer_MRR_Data!$I:$I)</f>
        <v>5826000</v>
      </c>
      <c r="C6" s="66">
        <f>B5*Inputs!$B$7</f>
        <v>6906600</v>
      </c>
      <c r="D6" s="66">
        <f t="shared" si="0"/>
        <v>1080600</v>
      </c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" customHeight="1">
      <c r="A7" s="77" t="s">
        <v>4</v>
      </c>
      <c r="B7" s="69">
        <f>SUM(Customer_MRR_Data!$M:$M)/SUM(Customer_MRR_Data!$H:$H)</f>
        <v>0.87724784988272086</v>
      </c>
      <c r="C7" s="69">
        <f>Inputs!$B$8</f>
        <v>0.92</v>
      </c>
      <c r="D7" s="127">
        <f t="shared" si="0"/>
        <v>4.2752150117279175E-2</v>
      </c>
      <c r="E7" s="5"/>
      <c r="F7" s="5"/>
      <c r="G7" s="5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customHeight="1">
      <c r="A8" s="83" t="s">
        <v>5</v>
      </c>
      <c r="B8" s="98">
        <f>SUM(Customer_MRR_Data!$N:$N)/SUM(Customer_MRR_Data!$H:$H)</f>
        <v>0.91102423768569196</v>
      </c>
      <c r="C8" s="98">
        <f>Inputs!$B$7</f>
        <v>1.08</v>
      </c>
      <c r="D8" s="128">
        <f t="shared" si="0"/>
        <v>0.16897576231430811</v>
      </c>
      <c r="E8" s="5"/>
      <c r="F8" s="5"/>
      <c r="G8" s="5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" customHeight="1">
      <c r="A9" s="77" t="s">
        <v>254</v>
      </c>
      <c r="B9" s="65">
        <f>0</f>
        <v>0</v>
      </c>
      <c r="C9" s="65">
        <f>SUM(Customer_MRR_Data!$H:$H)*(C8-B8)</f>
        <v>1080600.0000000005</v>
      </c>
      <c r="D9" s="129">
        <f t="shared" si="0"/>
        <v>1080600.0000000005</v>
      </c>
      <c r="E9" s="5"/>
      <c r="F9" s="5"/>
      <c r="G9" s="5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customHeight="1">
      <c r="A10" s="80" t="s">
        <v>62</v>
      </c>
      <c r="B10" s="68">
        <f>Inputs!$B$9</f>
        <v>0.7</v>
      </c>
      <c r="C10" s="68">
        <f>Inputs!$B$9</f>
        <v>0.7</v>
      </c>
      <c r="D10" s="68">
        <f t="shared" si="0"/>
        <v>0</v>
      </c>
      <c r="E10" s="5"/>
      <c r="F10" s="5"/>
      <c r="G10" s="5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" customHeight="1">
      <c r="A11" s="126" t="s">
        <v>243</v>
      </c>
      <c r="B11" s="130">
        <f>0</f>
        <v>0</v>
      </c>
      <c r="C11" s="130">
        <f>C9*C10</f>
        <v>756420.00000000023</v>
      </c>
      <c r="D11" s="131">
        <f t="shared" si="0"/>
        <v>756420.00000000023</v>
      </c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customHeight="1">
      <c r="A12" s="80" t="s">
        <v>65</v>
      </c>
      <c r="B12" s="132">
        <f>Inputs!$B$10</f>
        <v>12</v>
      </c>
      <c r="C12" s="132">
        <f>Inputs!$B$10</f>
        <v>12</v>
      </c>
      <c r="D12" s="132">
        <f t="shared" si="0"/>
        <v>0</v>
      </c>
      <c r="E12" s="5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" customHeight="1" thickBot="1">
      <c r="A13" s="133" t="s">
        <v>244</v>
      </c>
      <c r="B13" s="134">
        <f>0</f>
        <v>0</v>
      </c>
      <c r="C13" s="135">
        <f>C11*C12</f>
        <v>9077040.0000000037</v>
      </c>
      <c r="D13" s="136">
        <f t="shared" si="0"/>
        <v>9077040.0000000037</v>
      </c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8B7E"/>
  </sheetPr>
  <dimension ref="A1:Z200"/>
  <sheetViews>
    <sheetView showGridLines="0" showRowColHeaders="0" tabSelected="1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30" customWidth="1"/>
    <col min="2" max="2" width="63.33203125" customWidth="1"/>
    <col min="3" max="3" width="46.6640625" hidden="1" customWidth="1"/>
    <col min="4" max="26" width="0" hidden="1" customWidth="1"/>
  </cols>
  <sheetData>
    <row r="1" spans="1:26" ht="28" customHeight="1">
      <c r="A1" s="33" t="s">
        <v>255</v>
      </c>
      <c r="B1" s="31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34" t="s">
        <v>256</v>
      </c>
      <c r="B2" s="31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" customHeight="1" thickBot="1">
      <c r="A3" s="32"/>
      <c r="B3" s="32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" customHeight="1">
      <c r="A4" s="13" t="s">
        <v>257</v>
      </c>
      <c r="B4" s="13" t="s">
        <v>258</v>
      </c>
      <c r="C4" s="4" t="s">
        <v>24</v>
      </c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" customHeight="1">
      <c r="A5" s="56" t="s">
        <v>259</v>
      </c>
      <c r="B5" s="162" t="s">
        <v>260</v>
      </c>
      <c r="C5" s="28" t="s">
        <v>261</v>
      </c>
      <c r="D5" s="5"/>
      <c r="E5" s="5"/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" customHeight="1">
      <c r="A6" s="38" t="s">
        <v>262</v>
      </c>
      <c r="B6" s="163" t="s">
        <v>263</v>
      </c>
      <c r="C6" s="29" t="s">
        <v>264</v>
      </c>
      <c r="D6" s="5"/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" customHeight="1">
      <c r="A7" s="56" t="s">
        <v>265</v>
      </c>
      <c r="B7" s="162" t="s">
        <v>266</v>
      </c>
      <c r="C7" s="28" t="s">
        <v>267</v>
      </c>
      <c r="D7" s="5"/>
      <c r="E7" s="5"/>
      <c r="F7" s="5"/>
      <c r="G7" s="5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" customHeight="1">
      <c r="A8" s="38" t="s">
        <v>268</v>
      </c>
      <c r="B8" s="163" t="s">
        <v>266</v>
      </c>
      <c r="C8" s="29" t="s">
        <v>269</v>
      </c>
      <c r="D8" s="5"/>
      <c r="E8" s="5"/>
      <c r="F8" s="5"/>
      <c r="G8" s="5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" customHeight="1" thickBot="1">
      <c r="A9" s="164" t="s">
        <v>270</v>
      </c>
      <c r="B9" s="165" t="s">
        <v>271</v>
      </c>
      <c r="C9" s="30" t="s">
        <v>272</v>
      </c>
      <c r="D9" s="5"/>
      <c r="E9" s="5"/>
      <c r="F9" s="5"/>
      <c r="G9" s="5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Instructions</vt:lpstr>
      <vt:lpstr>Inputs</vt:lpstr>
      <vt:lpstr>Customer_MRR_Data</vt:lpstr>
      <vt:lpstr>Cohort_Retention</vt:lpstr>
      <vt:lpstr>NRR_Bridge</vt:lpstr>
      <vt:lpstr>Churn_Analysis</vt:lpstr>
      <vt:lpstr>Renewal_Risk</vt:lpstr>
      <vt:lpstr>Scenarios</vt:lpstr>
      <vt:lpstr>EBITDA_Impact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Blake Henkel</cp:lastModifiedBy>
  <dcterms:modified xsi:type="dcterms:W3CDTF">2026-05-16T03:27:48Z</dcterms:modified>
</cp:coreProperties>
</file>