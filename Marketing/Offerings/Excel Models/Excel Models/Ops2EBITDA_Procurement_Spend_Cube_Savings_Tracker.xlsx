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lakehenkelsmacbook/Desktop/Blake's-Vault/projects/pe-ops-learning-os/Marketing/Offerings/Excel Models/Excel Models/"/>
    </mc:Choice>
  </mc:AlternateContent>
  <xr:revisionPtr revIDLastSave="0" documentId="13_ncr:1_{BC175F40-244B-964C-87F6-3B4A4939A4F7}" xr6:coauthVersionLast="47" xr6:coauthVersionMax="47" xr10:uidLastSave="{00000000-0000-0000-0000-000000000000}"/>
  <bookViews>
    <workbookView xWindow="29400" yWindow="500" windowWidth="38400" windowHeight="21100" xr2:uid="{00000000-000D-0000-FFFF-FFFF00000000}"/>
  </bookViews>
  <sheets>
    <sheet name="Dashboard" sheetId="1" r:id="rId1"/>
    <sheet name="Instructions" sheetId="2" r:id="rId2"/>
    <sheet name="Inputs" sheetId="3" r:id="rId3"/>
    <sheet name="Spend_Data" sheetId="4" r:id="rId4"/>
    <sheet name="Spend_Cube" sheetId="5" r:id="rId5"/>
    <sheet name="Vendor_Consolidation" sheetId="6" r:id="rId6"/>
    <sheet name="Savings_Pipeline" sheetId="7" r:id="rId7"/>
    <sheet name="EBITDA_Valid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6" l="1"/>
  <c r="I13" i="6"/>
  <c r="I12" i="6"/>
  <c r="I11" i="6"/>
  <c r="I10" i="6"/>
  <c r="I9" i="6"/>
  <c r="I8" i="6"/>
  <c r="I7" i="6"/>
  <c r="I6" i="6"/>
  <c r="I5" i="6"/>
  <c r="C10" i="8"/>
  <c r="C7" i="8"/>
  <c r="C6" i="8"/>
  <c r="I12" i="7"/>
  <c r="F12" i="7"/>
  <c r="H12" i="7" s="1"/>
  <c r="J12" i="7" s="1"/>
  <c r="I11" i="7"/>
  <c r="F11" i="7"/>
  <c r="H11" i="7" s="1"/>
  <c r="I10" i="7"/>
  <c r="F10" i="7"/>
  <c r="H10" i="7" s="1"/>
  <c r="J10" i="7" s="1"/>
  <c r="I9" i="7"/>
  <c r="F9" i="7"/>
  <c r="H9" i="7" s="1"/>
  <c r="J9" i="7" s="1"/>
  <c r="K15" i="1" s="1"/>
  <c r="I8" i="7"/>
  <c r="F8" i="7"/>
  <c r="H8" i="7" s="1"/>
  <c r="J8" i="7" s="1"/>
  <c r="I7" i="7"/>
  <c r="F7" i="7"/>
  <c r="H7" i="7" s="1"/>
  <c r="J7" i="7" s="1"/>
  <c r="I6" i="7"/>
  <c r="F6" i="7"/>
  <c r="H6" i="7" s="1"/>
  <c r="I5" i="7"/>
  <c r="F5" i="7"/>
  <c r="H5" i="7" s="1"/>
  <c r="H14" i="6"/>
  <c r="G14" i="6"/>
  <c r="F14" i="6"/>
  <c r="H13" i="6"/>
  <c r="G13" i="6"/>
  <c r="F13" i="6"/>
  <c r="H12" i="6"/>
  <c r="G12" i="6"/>
  <c r="F12" i="6"/>
  <c r="H11" i="6"/>
  <c r="G11" i="6"/>
  <c r="F11" i="6"/>
  <c r="H10" i="6"/>
  <c r="G10" i="6"/>
  <c r="F10" i="6"/>
  <c r="H9" i="6"/>
  <c r="G9" i="6"/>
  <c r="F9" i="6"/>
  <c r="H8" i="6"/>
  <c r="G8" i="6"/>
  <c r="F8" i="6"/>
  <c r="H7" i="6"/>
  <c r="G7" i="6"/>
  <c r="F7" i="6"/>
  <c r="H6" i="6"/>
  <c r="G6" i="6"/>
  <c r="F6" i="6"/>
  <c r="H5" i="6"/>
  <c r="G5" i="6"/>
  <c r="F5" i="6"/>
  <c r="C24" i="5"/>
  <c r="B24" i="5"/>
  <c r="F24" i="5" s="1"/>
  <c r="C23" i="5"/>
  <c r="B23" i="5"/>
  <c r="C22" i="5"/>
  <c r="B22" i="5"/>
  <c r="F22" i="5" s="1"/>
  <c r="C21" i="5"/>
  <c r="B21" i="5"/>
  <c r="P20" i="5"/>
  <c r="O20" i="5"/>
  <c r="L20" i="5"/>
  <c r="K20" i="5"/>
  <c r="C20" i="5"/>
  <c r="B20" i="5"/>
  <c r="F23" i="5" s="1"/>
  <c r="P19" i="5"/>
  <c r="O19" i="5"/>
  <c r="L19" i="5"/>
  <c r="K19" i="5"/>
  <c r="P18" i="5"/>
  <c r="O18" i="5"/>
  <c r="L18" i="5"/>
  <c r="K18" i="5"/>
  <c r="P17" i="5"/>
  <c r="O17" i="5"/>
  <c r="L17" i="5"/>
  <c r="K17" i="5"/>
  <c r="P16" i="5"/>
  <c r="O16" i="5"/>
  <c r="L16" i="5"/>
  <c r="K16" i="5"/>
  <c r="P15" i="5"/>
  <c r="O15" i="5"/>
  <c r="L15" i="5"/>
  <c r="K15" i="5"/>
  <c r="C15" i="5"/>
  <c r="B15" i="5"/>
  <c r="P14" i="5"/>
  <c r="O14" i="5"/>
  <c r="L14" i="5"/>
  <c r="K14" i="5"/>
  <c r="C14" i="5"/>
  <c r="B14" i="5"/>
  <c r="P13" i="5"/>
  <c r="O13" i="5"/>
  <c r="L13" i="5"/>
  <c r="K13" i="5"/>
  <c r="C13" i="5"/>
  <c r="B13" i="5"/>
  <c r="P12" i="5"/>
  <c r="O12" i="5"/>
  <c r="L12" i="5"/>
  <c r="K12" i="5"/>
  <c r="C12" i="5"/>
  <c r="B12" i="5"/>
  <c r="G12" i="5" s="1"/>
  <c r="P11" i="5"/>
  <c r="O11" i="5"/>
  <c r="L11" i="5"/>
  <c r="K11" i="5"/>
  <c r="C11" i="5"/>
  <c r="B11" i="5"/>
  <c r="G11" i="5" s="1"/>
  <c r="P10" i="5"/>
  <c r="O10" i="5"/>
  <c r="L10" i="5"/>
  <c r="K10" i="5"/>
  <c r="C10" i="5"/>
  <c r="B10" i="5"/>
  <c r="P9" i="5"/>
  <c r="O9" i="5"/>
  <c r="L9" i="5"/>
  <c r="K9" i="5"/>
  <c r="C9" i="5"/>
  <c r="B9" i="5"/>
  <c r="P8" i="5"/>
  <c r="O8" i="5"/>
  <c r="M8" i="5"/>
  <c r="L8" i="5"/>
  <c r="K8" i="5"/>
  <c r="C8" i="5"/>
  <c r="B8" i="5"/>
  <c r="P7" i="5"/>
  <c r="O7" i="5"/>
  <c r="M7" i="5"/>
  <c r="L7" i="5"/>
  <c r="K7" i="5"/>
  <c r="C7" i="5"/>
  <c r="B7" i="5"/>
  <c r="G7" i="5" s="1"/>
  <c r="P6" i="5"/>
  <c r="O6" i="5"/>
  <c r="L6" i="5"/>
  <c r="K6" i="5"/>
  <c r="C6" i="5"/>
  <c r="B6" i="5"/>
  <c r="G10" i="5" s="1"/>
  <c r="R304" i="4"/>
  <c r="Q304" i="4"/>
  <c r="P304" i="4"/>
  <c r="O304" i="4"/>
  <c r="N304" i="4"/>
  <c r="R303" i="4"/>
  <c r="P303" i="4"/>
  <c r="O303" i="4"/>
  <c r="N303" i="4"/>
  <c r="Q303" i="4" s="1"/>
  <c r="R302" i="4"/>
  <c r="P302" i="4"/>
  <c r="O302" i="4"/>
  <c r="Q302" i="4" s="1"/>
  <c r="N302" i="4"/>
  <c r="P301" i="4"/>
  <c r="R301" i="4" s="1"/>
  <c r="O301" i="4"/>
  <c r="N301" i="4"/>
  <c r="Q301" i="4" s="1"/>
  <c r="R300" i="4"/>
  <c r="Q300" i="4"/>
  <c r="P300" i="4"/>
  <c r="O300" i="4"/>
  <c r="N300" i="4"/>
  <c r="P299" i="4"/>
  <c r="R299" i="4" s="1"/>
  <c r="O299" i="4"/>
  <c r="N299" i="4"/>
  <c r="Q299" i="4" s="1"/>
  <c r="R298" i="4"/>
  <c r="Q298" i="4"/>
  <c r="P298" i="4"/>
  <c r="O298" i="4"/>
  <c r="N298" i="4"/>
  <c r="P297" i="4"/>
  <c r="R297" i="4" s="1"/>
  <c r="O297" i="4"/>
  <c r="N297" i="4"/>
  <c r="Q297" i="4" s="1"/>
  <c r="R296" i="4"/>
  <c r="Q296" i="4"/>
  <c r="P296" i="4"/>
  <c r="O296" i="4"/>
  <c r="N296" i="4"/>
  <c r="P295" i="4"/>
  <c r="R295" i="4" s="1"/>
  <c r="O295" i="4"/>
  <c r="N295" i="4"/>
  <c r="Q295" i="4" s="1"/>
  <c r="R294" i="4"/>
  <c r="Q294" i="4"/>
  <c r="P294" i="4"/>
  <c r="O294" i="4"/>
  <c r="N294" i="4"/>
  <c r="R293" i="4"/>
  <c r="P293" i="4"/>
  <c r="O293" i="4"/>
  <c r="N293" i="4"/>
  <c r="Q293" i="4" s="1"/>
  <c r="R292" i="4"/>
  <c r="Q292" i="4"/>
  <c r="P292" i="4"/>
  <c r="O292" i="4"/>
  <c r="N292" i="4"/>
  <c r="P291" i="4"/>
  <c r="R291" i="4" s="1"/>
  <c r="O291" i="4"/>
  <c r="N291" i="4"/>
  <c r="Q291" i="4" s="1"/>
  <c r="R290" i="4"/>
  <c r="Q290" i="4"/>
  <c r="P290" i="4"/>
  <c r="O290" i="4"/>
  <c r="N290" i="4"/>
  <c r="R289" i="4"/>
  <c r="P289" i="4"/>
  <c r="O289" i="4"/>
  <c r="N289" i="4"/>
  <c r="Q289" i="4" s="1"/>
  <c r="R288" i="4"/>
  <c r="P288" i="4"/>
  <c r="O288" i="4"/>
  <c r="Q288" i="4" s="1"/>
  <c r="N288" i="4"/>
  <c r="P287" i="4"/>
  <c r="R287" i="4" s="1"/>
  <c r="O287" i="4"/>
  <c r="N287" i="4"/>
  <c r="Q287" i="4" s="1"/>
  <c r="R286" i="4"/>
  <c r="Q286" i="4"/>
  <c r="P286" i="4"/>
  <c r="O286" i="4"/>
  <c r="N286" i="4"/>
  <c r="P285" i="4"/>
  <c r="R285" i="4" s="1"/>
  <c r="O285" i="4"/>
  <c r="N285" i="4"/>
  <c r="Q285" i="4" s="1"/>
  <c r="R284" i="4"/>
  <c r="Q284" i="4"/>
  <c r="P284" i="4"/>
  <c r="O284" i="4"/>
  <c r="N284" i="4"/>
  <c r="R283" i="4"/>
  <c r="P283" i="4"/>
  <c r="O283" i="4"/>
  <c r="N283" i="4"/>
  <c r="Q283" i="4" s="1"/>
  <c r="R282" i="4"/>
  <c r="Q282" i="4"/>
  <c r="P282" i="4"/>
  <c r="O282" i="4"/>
  <c r="N282" i="4"/>
  <c r="P281" i="4"/>
  <c r="R281" i="4" s="1"/>
  <c r="O281" i="4"/>
  <c r="N281" i="4"/>
  <c r="Q281" i="4" s="1"/>
  <c r="R280" i="4"/>
  <c r="Q280" i="4"/>
  <c r="P280" i="4"/>
  <c r="O280" i="4"/>
  <c r="N280" i="4"/>
  <c r="P279" i="4"/>
  <c r="R279" i="4" s="1"/>
  <c r="O279" i="4"/>
  <c r="N279" i="4"/>
  <c r="Q279" i="4" s="1"/>
  <c r="R278" i="4"/>
  <c r="P278" i="4"/>
  <c r="O278" i="4"/>
  <c r="Q278" i="4" s="1"/>
  <c r="N278" i="4"/>
  <c r="P277" i="4"/>
  <c r="R277" i="4" s="1"/>
  <c r="O277" i="4"/>
  <c r="N277" i="4"/>
  <c r="Q277" i="4" s="1"/>
  <c r="R276" i="4"/>
  <c r="Q276" i="4"/>
  <c r="P276" i="4"/>
  <c r="O276" i="4"/>
  <c r="N276" i="4"/>
  <c r="P275" i="4"/>
  <c r="R275" i="4" s="1"/>
  <c r="O275" i="4"/>
  <c r="N275" i="4"/>
  <c r="Q275" i="4" s="1"/>
  <c r="R274" i="4"/>
  <c r="Q274" i="4"/>
  <c r="P274" i="4"/>
  <c r="O274" i="4"/>
  <c r="N274" i="4"/>
  <c r="R273" i="4"/>
  <c r="P273" i="4"/>
  <c r="O273" i="4"/>
  <c r="N273" i="4"/>
  <c r="Q273" i="4" s="1"/>
  <c r="R272" i="4"/>
  <c r="Q272" i="4"/>
  <c r="P272" i="4"/>
  <c r="O272" i="4"/>
  <c r="N272" i="4"/>
  <c r="P271" i="4"/>
  <c r="R271" i="4" s="1"/>
  <c r="O271" i="4"/>
  <c r="N271" i="4"/>
  <c r="Q271" i="4" s="1"/>
  <c r="R270" i="4"/>
  <c r="Q270" i="4"/>
  <c r="P270" i="4"/>
  <c r="O270" i="4"/>
  <c r="N270" i="4"/>
  <c r="R269" i="4"/>
  <c r="P269" i="4"/>
  <c r="O269" i="4"/>
  <c r="N269" i="4"/>
  <c r="Q269" i="4" s="1"/>
  <c r="R268" i="4"/>
  <c r="Q268" i="4"/>
  <c r="P268" i="4"/>
  <c r="O268" i="4"/>
  <c r="N268" i="4"/>
  <c r="P267" i="4"/>
  <c r="R267" i="4" s="1"/>
  <c r="O267" i="4"/>
  <c r="N267" i="4"/>
  <c r="Q267" i="4" s="1"/>
  <c r="R266" i="4"/>
  <c r="P266" i="4"/>
  <c r="O266" i="4"/>
  <c r="Q266" i="4" s="1"/>
  <c r="N266" i="4"/>
  <c r="P265" i="4"/>
  <c r="R265" i="4" s="1"/>
  <c r="O265" i="4"/>
  <c r="N265" i="4"/>
  <c r="Q265" i="4" s="1"/>
  <c r="R264" i="4"/>
  <c r="Q264" i="4"/>
  <c r="P264" i="4"/>
  <c r="O264" i="4"/>
  <c r="N264" i="4"/>
  <c r="R263" i="4"/>
  <c r="P263" i="4"/>
  <c r="O263" i="4"/>
  <c r="N263" i="4"/>
  <c r="Q263" i="4" s="1"/>
  <c r="R262" i="4"/>
  <c r="Q262" i="4"/>
  <c r="P262" i="4"/>
  <c r="O262" i="4"/>
  <c r="N262" i="4"/>
  <c r="P261" i="4"/>
  <c r="R261" i="4" s="1"/>
  <c r="O261" i="4"/>
  <c r="N261" i="4"/>
  <c r="Q261" i="4" s="1"/>
  <c r="R260" i="4"/>
  <c r="Q260" i="4"/>
  <c r="P260" i="4"/>
  <c r="O260" i="4"/>
  <c r="N260" i="4"/>
  <c r="P259" i="4"/>
  <c r="R259" i="4" s="1"/>
  <c r="O259" i="4"/>
  <c r="N259" i="4"/>
  <c r="Q259" i="4" s="1"/>
  <c r="R258" i="4"/>
  <c r="Q258" i="4"/>
  <c r="P258" i="4"/>
  <c r="O258" i="4"/>
  <c r="N258" i="4"/>
  <c r="P257" i="4"/>
  <c r="R257" i="4" s="1"/>
  <c r="O257" i="4"/>
  <c r="N257" i="4"/>
  <c r="Q257" i="4" s="1"/>
  <c r="R256" i="4"/>
  <c r="P256" i="4"/>
  <c r="O256" i="4"/>
  <c r="Q256" i="4" s="1"/>
  <c r="N256" i="4"/>
  <c r="P255" i="4"/>
  <c r="R255" i="4" s="1"/>
  <c r="O255" i="4"/>
  <c r="N255" i="4"/>
  <c r="Q255" i="4" s="1"/>
  <c r="R254" i="4"/>
  <c r="Q254" i="4"/>
  <c r="P254" i="4"/>
  <c r="O254" i="4"/>
  <c r="N254" i="4"/>
  <c r="R253" i="4"/>
  <c r="P253" i="4"/>
  <c r="O253" i="4"/>
  <c r="N253" i="4"/>
  <c r="Q253" i="4" s="1"/>
  <c r="R252" i="4"/>
  <c r="Q252" i="4"/>
  <c r="P252" i="4"/>
  <c r="O252" i="4"/>
  <c r="N252" i="4"/>
  <c r="P251" i="4"/>
  <c r="R251" i="4" s="1"/>
  <c r="O251" i="4"/>
  <c r="N251" i="4"/>
  <c r="Q251" i="4" s="1"/>
  <c r="R250" i="4"/>
  <c r="Q250" i="4"/>
  <c r="P250" i="4"/>
  <c r="O250" i="4"/>
  <c r="N250" i="4"/>
  <c r="R249" i="4"/>
  <c r="P249" i="4"/>
  <c r="O249" i="4"/>
  <c r="N249" i="4"/>
  <c r="Q249" i="4" s="1"/>
  <c r="R248" i="4"/>
  <c r="Q248" i="4"/>
  <c r="P248" i="4"/>
  <c r="O248" i="4"/>
  <c r="N248" i="4"/>
  <c r="P247" i="4"/>
  <c r="R247" i="4" s="1"/>
  <c r="O247" i="4"/>
  <c r="N247" i="4"/>
  <c r="Q247" i="4" s="1"/>
  <c r="R246" i="4"/>
  <c r="Q246" i="4"/>
  <c r="P246" i="4"/>
  <c r="O246" i="4"/>
  <c r="N246" i="4"/>
  <c r="P245" i="4"/>
  <c r="R245" i="4" s="1"/>
  <c r="O245" i="4"/>
  <c r="N245" i="4"/>
  <c r="Q245" i="4" s="1"/>
  <c r="R244" i="4"/>
  <c r="Q244" i="4"/>
  <c r="P244" i="4"/>
  <c r="O244" i="4"/>
  <c r="N244" i="4"/>
  <c r="R243" i="4"/>
  <c r="P243" i="4"/>
  <c r="O243" i="4"/>
  <c r="N243" i="4"/>
  <c r="Q243" i="4" s="1"/>
  <c r="R242" i="4"/>
  <c r="Q242" i="4"/>
  <c r="P242" i="4"/>
  <c r="O242" i="4"/>
  <c r="N242" i="4"/>
  <c r="P241" i="4"/>
  <c r="R241" i="4" s="1"/>
  <c r="O241" i="4"/>
  <c r="N241" i="4"/>
  <c r="Q241" i="4" s="1"/>
  <c r="R240" i="4"/>
  <c r="Q240" i="4"/>
  <c r="P240" i="4"/>
  <c r="O240" i="4"/>
  <c r="N240" i="4"/>
  <c r="P239" i="4"/>
  <c r="R239" i="4" s="1"/>
  <c r="O239" i="4"/>
  <c r="N239" i="4"/>
  <c r="Q239" i="4" s="1"/>
  <c r="R238" i="4"/>
  <c r="Q238" i="4"/>
  <c r="P238" i="4"/>
  <c r="O238" i="4"/>
  <c r="N238" i="4"/>
  <c r="P237" i="4"/>
  <c r="R237" i="4" s="1"/>
  <c r="O237" i="4"/>
  <c r="N237" i="4"/>
  <c r="Q237" i="4" s="1"/>
  <c r="R236" i="4"/>
  <c r="P236" i="4"/>
  <c r="O236" i="4"/>
  <c r="Q236" i="4" s="1"/>
  <c r="N236" i="4"/>
  <c r="P235" i="4"/>
  <c r="R235" i="4" s="1"/>
  <c r="O235" i="4"/>
  <c r="N235" i="4"/>
  <c r="Q235" i="4" s="1"/>
  <c r="R234" i="4"/>
  <c r="Q234" i="4"/>
  <c r="P234" i="4"/>
  <c r="O234" i="4"/>
  <c r="N234" i="4"/>
  <c r="R233" i="4"/>
  <c r="P233" i="4"/>
  <c r="O233" i="4"/>
  <c r="N233" i="4"/>
  <c r="Q233" i="4" s="1"/>
  <c r="R232" i="4"/>
  <c r="Q232" i="4"/>
  <c r="P232" i="4"/>
  <c r="O232" i="4"/>
  <c r="N232" i="4"/>
  <c r="P231" i="4"/>
  <c r="R231" i="4" s="1"/>
  <c r="O231" i="4"/>
  <c r="N231" i="4"/>
  <c r="Q231" i="4" s="1"/>
  <c r="R230" i="4"/>
  <c r="Q230" i="4"/>
  <c r="P230" i="4"/>
  <c r="O230" i="4"/>
  <c r="N230" i="4"/>
  <c r="R229" i="4"/>
  <c r="P229" i="4"/>
  <c r="O229" i="4"/>
  <c r="N229" i="4"/>
  <c r="Q229" i="4" s="1"/>
  <c r="R228" i="4"/>
  <c r="Q228" i="4"/>
  <c r="P228" i="4"/>
  <c r="O228" i="4"/>
  <c r="N228" i="4"/>
  <c r="P227" i="4"/>
  <c r="R227" i="4" s="1"/>
  <c r="O227" i="4"/>
  <c r="N227" i="4"/>
  <c r="Q227" i="4" s="1"/>
  <c r="R226" i="4"/>
  <c r="Q226" i="4"/>
  <c r="P226" i="4"/>
  <c r="O226" i="4"/>
  <c r="N226" i="4"/>
  <c r="P225" i="4"/>
  <c r="R225" i="4" s="1"/>
  <c r="O225" i="4"/>
  <c r="N225" i="4"/>
  <c r="Q225" i="4" s="1"/>
  <c r="R224" i="4"/>
  <c r="P224" i="4"/>
  <c r="O224" i="4"/>
  <c r="Q224" i="4" s="1"/>
  <c r="N224" i="4"/>
  <c r="R223" i="4"/>
  <c r="P223" i="4"/>
  <c r="O223" i="4"/>
  <c r="N223" i="4"/>
  <c r="Q223" i="4" s="1"/>
  <c r="R222" i="4"/>
  <c r="Q222" i="4"/>
  <c r="P222" i="4"/>
  <c r="O222" i="4"/>
  <c r="N222" i="4"/>
  <c r="P221" i="4"/>
  <c r="R221" i="4" s="1"/>
  <c r="O221" i="4"/>
  <c r="N221" i="4"/>
  <c r="Q221" i="4" s="1"/>
  <c r="R220" i="4"/>
  <c r="Q220" i="4"/>
  <c r="P220" i="4"/>
  <c r="O220" i="4"/>
  <c r="N220" i="4"/>
  <c r="P219" i="4"/>
  <c r="R219" i="4" s="1"/>
  <c r="O219" i="4"/>
  <c r="N219" i="4"/>
  <c r="Q219" i="4" s="1"/>
  <c r="R218" i="4"/>
  <c r="Q218" i="4"/>
  <c r="P218" i="4"/>
  <c r="O218" i="4"/>
  <c r="N218" i="4"/>
  <c r="P217" i="4"/>
  <c r="R217" i="4" s="1"/>
  <c r="O217" i="4"/>
  <c r="N217" i="4"/>
  <c r="Q217" i="4" s="1"/>
  <c r="R216" i="4"/>
  <c r="P216" i="4"/>
  <c r="O216" i="4"/>
  <c r="Q216" i="4" s="1"/>
  <c r="N216" i="4"/>
  <c r="P215" i="4"/>
  <c r="R215" i="4" s="1"/>
  <c r="O215" i="4"/>
  <c r="N215" i="4"/>
  <c r="Q215" i="4" s="1"/>
  <c r="R214" i="4"/>
  <c r="P214" i="4"/>
  <c r="O214" i="4"/>
  <c r="Q214" i="4" s="1"/>
  <c r="N214" i="4"/>
  <c r="R213" i="4"/>
  <c r="P213" i="4"/>
  <c r="O213" i="4"/>
  <c r="N213" i="4"/>
  <c r="Q213" i="4" s="1"/>
  <c r="R212" i="4"/>
  <c r="Q212" i="4"/>
  <c r="P212" i="4"/>
  <c r="O212" i="4"/>
  <c r="N212" i="4"/>
  <c r="P211" i="4"/>
  <c r="R211" i="4" s="1"/>
  <c r="O211" i="4"/>
  <c r="N211" i="4"/>
  <c r="Q211" i="4" s="1"/>
  <c r="R210" i="4"/>
  <c r="Q210" i="4"/>
  <c r="P210" i="4"/>
  <c r="O210" i="4"/>
  <c r="N210" i="4"/>
  <c r="R209" i="4"/>
  <c r="P209" i="4"/>
  <c r="O209" i="4"/>
  <c r="N209" i="4"/>
  <c r="Q209" i="4" s="1"/>
  <c r="R208" i="4"/>
  <c r="P208" i="4"/>
  <c r="O208" i="4"/>
  <c r="Q208" i="4" s="1"/>
  <c r="N208" i="4"/>
  <c r="P207" i="4"/>
  <c r="R207" i="4" s="1"/>
  <c r="O207" i="4"/>
  <c r="N207" i="4"/>
  <c r="Q207" i="4" s="1"/>
  <c r="R206" i="4"/>
  <c r="P206" i="4"/>
  <c r="O206" i="4"/>
  <c r="Q206" i="4" s="1"/>
  <c r="N206" i="4"/>
  <c r="P205" i="4"/>
  <c r="N16" i="5" s="1"/>
  <c r="O205" i="4"/>
  <c r="N205" i="4"/>
  <c r="R204" i="4"/>
  <c r="P204" i="4"/>
  <c r="O204" i="4"/>
  <c r="Q204" i="4" s="1"/>
  <c r="N204" i="4"/>
  <c r="R203" i="4"/>
  <c r="P203" i="4"/>
  <c r="O203" i="4"/>
  <c r="N203" i="4"/>
  <c r="Q203" i="4" s="1"/>
  <c r="R202" i="4"/>
  <c r="Q202" i="4"/>
  <c r="P202" i="4"/>
  <c r="O202" i="4"/>
  <c r="N202" i="4"/>
  <c r="P201" i="4"/>
  <c r="R201" i="4" s="1"/>
  <c r="O201" i="4"/>
  <c r="N201" i="4"/>
  <c r="Q201" i="4" s="1"/>
  <c r="R200" i="4"/>
  <c r="Q200" i="4"/>
  <c r="P200" i="4"/>
  <c r="O200" i="4"/>
  <c r="N200" i="4"/>
  <c r="P199" i="4"/>
  <c r="R199" i="4" s="1"/>
  <c r="O199" i="4"/>
  <c r="N199" i="4"/>
  <c r="Q199" i="4" s="1"/>
  <c r="R198" i="4"/>
  <c r="Q198" i="4"/>
  <c r="P198" i="4"/>
  <c r="O198" i="4"/>
  <c r="N198" i="4"/>
  <c r="P197" i="4"/>
  <c r="R197" i="4" s="1"/>
  <c r="O197" i="4"/>
  <c r="N197" i="4"/>
  <c r="Q197" i="4" s="1"/>
  <c r="R196" i="4"/>
  <c r="Q196" i="4"/>
  <c r="P196" i="4"/>
  <c r="O196" i="4"/>
  <c r="N196" i="4"/>
  <c r="P195" i="4"/>
  <c r="R195" i="4" s="1"/>
  <c r="O195" i="4"/>
  <c r="N195" i="4"/>
  <c r="Q195" i="4" s="1"/>
  <c r="R194" i="4"/>
  <c r="Q194" i="4"/>
  <c r="P194" i="4"/>
  <c r="O194" i="4"/>
  <c r="N194" i="4"/>
  <c r="R193" i="4"/>
  <c r="P193" i="4"/>
  <c r="O193" i="4"/>
  <c r="N193" i="4"/>
  <c r="Q193" i="4" s="1"/>
  <c r="R192" i="4"/>
  <c r="Q192" i="4"/>
  <c r="P192" i="4"/>
  <c r="O192" i="4"/>
  <c r="N192" i="4"/>
  <c r="P191" i="4"/>
  <c r="R191" i="4" s="1"/>
  <c r="O191" i="4"/>
  <c r="N191" i="4"/>
  <c r="Q191" i="4" s="1"/>
  <c r="R190" i="4"/>
  <c r="Q190" i="4"/>
  <c r="P190" i="4"/>
  <c r="O190" i="4"/>
  <c r="N190" i="4"/>
  <c r="R189" i="4"/>
  <c r="P189" i="4"/>
  <c r="O189" i="4"/>
  <c r="N189" i="4"/>
  <c r="Q189" i="4" s="1"/>
  <c r="R188" i="4"/>
  <c r="Q188" i="4"/>
  <c r="P188" i="4"/>
  <c r="O188" i="4"/>
  <c r="N188" i="4"/>
  <c r="P187" i="4"/>
  <c r="R187" i="4" s="1"/>
  <c r="O187" i="4"/>
  <c r="N187" i="4"/>
  <c r="Q187" i="4" s="1"/>
  <c r="R186" i="4"/>
  <c r="P186" i="4"/>
  <c r="O186" i="4"/>
  <c r="Q186" i="4" s="1"/>
  <c r="N186" i="4"/>
  <c r="P185" i="4"/>
  <c r="R185" i="4" s="1"/>
  <c r="O185" i="4"/>
  <c r="N185" i="4"/>
  <c r="Q185" i="4" s="1"/>
  <c r="R184" i="4"/>
  <c r="Q184" i="4"/>
  <c r="P184" i="4"/>
  <c r="O184" i="4"/>
  <c r="N184" i="4"/>
  <c r="R183" i="4"/>
  <c r="P183" i="4"/>
  <c r="O183" i="4"/>
  <c r="N183" i="4"/>
  <c r="Q183" i="4" s="1"/>
  <c r="R182" i="4"/>
  <c r="Q182" i="4"/>
  <c r="P182" i="4"/>
  <c r="O182" i="4"/>
  <c r="N182" i="4"/>
  <c r="P181" i="4"/>
  <c r="R181" i="4" s="1"/>
  <c r="O181" i="4"/>
  <c r="N181" i="4"/>
  <c r="Q181" i="4" s="1"/>
  <c r="R180" i="4"/>
  <c r="Q180" i="4"/>
  <c r="P180" i="4"/>
  <c r="O180" i="4"/>
  <c r="N180" i="4"/>
  <c r="P179" i="4"/>
  <c r="F13" i="1" s="1"/>
  <c r="G13" i="1" s="1"/>
  <c r="O179" i="4"/>
  <c r="N179" i="4"/>
  <c r="Q179" i="4" s="1"/>
  <c r="R178" i="4"/>
  <c r="Q178" i="4"/>
  <c r="P178" i="4"/>
  <c r="O178" i="4"/>
  <c r="N178" i="4"/>
  <c r="P177" i="4"/>
  <c r="R177" i="4" s="1"/>
  <c r="O177" i="4"/>
  <c r="N177" i="4"/>
  <c r="Q177" i="4" s="1"/>
  <c r="R176" i="4"/>
  <c r="Q176" i="4"/>
  <c r="P176" i="4"/>
  <c r="O176" i="4"/>
  <c r="N176" i="4"/>
  <c r="P175" i="4"/>
  <c r="O175" i="4"/>
  <c r="N175" i="4"/>
  <c r="R174" i="4"/>
  <c r="P174" i="4"/>
  <c r="O174" i="4"/>
  <c r="Q174" i="4" s="1"/>
  <c r="N174" i="4"/>
  <c r="R173" i="4"/>
  <c r="P173" i="4"/>
  <c r="O173" i="4"/>
  <c r="N173" i="4"/>
  <c r="Q173" i="4" s="1"/>
  <c r="R172" i="4"/>
  <c r="Q172" i="4"/>
  <c r="P172" i="4"/>
  <c r="O172" i="4"/>
  <c r="N172" i="4"/>
  <c r="P171" i="4"/>
  <c r="R171" i="4" s="1"/>
  <c r="O171" i="4"/>
  <c r="N171" i="4"/>
  <c r="Q171" i="4" s="1"/>
  <c r="R170" i="4"/>
  <c r="Q170" i="4"/>
  <c r="P170" i="4"/>
  <c r="O170" i="4"/>
  <c r="N170" i="4"/>
  <c r="R169" i="4"/>
  <c r="P169" i="4"/>
  <c r="O169" i="4"/>
  <c r="N169" i="4"/>
  <c r="Q169" i="4" s="1"/>
  <c r="R168" i="4"/>
  <c r="Q168" i="4"/>
  <c r="P168" i="4"/>
  <c r="O168" i="4"/>
  <c r="N168" i="4"/>
  <c r="P167" i="4"/>
  <c r="R167" i="4" s="1"/>
  <c r="O167" i="4"/>
  <c r="N167" i="4"/>
  <c r="Q167" i="4" s="1"/>
  <c r="R166" i="4"/>
  <c r="Q166" i="4"/>
  <c r="P166" i="4"/>
  <c r="O166" i="4"/>
  <c r="N166" i="4"/>
  <c r="P165" i="4"/>
  <c r="R165" i="4" s="1"/>
  <c r="O165" i="4"/>
  <c r="N165" i="4"/>
  <c r="Q165" i="4" s="1"/>
  <c r="R164" i="4"/>
  <c r="P164" i="4"/>
  <c r="O164" i="4"/>
  <c r="Q164" i="4" s="1"/>
  <c r="N164" i="4"/>
  <c r="R163" i="4"/>
  <c r="P163" i="4"/>
  <c r="O163" i="4"/>
  <c r="N163" i="4"/>
  <c r="Q163" i="4" s="1"/>
  <c r="R162" i="4"/>
  <c r="Q162" i="4"/>
  <c r="P162" i="4"/>
  <c r="O162" i="4"/>
  <c r="N162" i="4"/>
  <c r="R161" i="4"/>
  <c r="Q161" i="4"/>
  <c r="P161" i="4"/>
  <c r="O161" i="4"/>
  <c r="N161" i="4"/>
  <c r="R160" i="4"/>
  <c r="Q160" i="4"/>
  <c r="P160" i="4"/>
  <c r="O160" i="4"/>
  <c r="N160" i="4"/>
  <c r="R159" i="4"/>
  <c r="Q159" i="4"/>
  <c r="P159" i="4"/>
  <c r="O159" i="4"/>
  <c r="N159" i="4"/>
  <c r="R158" i="4"/>
  <c r="Q158" i="4"/>
  <c r="P158" i="4"/>
  <c r="O158" i="4"/>
  <c r="N158" i="4"/>
  <c r="R157" i="4"/>
  <c r="Q157" i="4"/>
  <c r="P157" i="4"/>
  <c r="O157" i="4"/>
  <c r="N157" i="4"/>
  <c r="R156" i="4"/>
  <c r="Q156" i="4"/>
  <c r="P156" i="4"/>
  <c r="O156" i="4"/>
  <c r="N156" i="4"/>
  <c r="R155" i="4"/>
  <c r="Q155" i="4"/>
  <c r="P155" i="4"/>
  <c r="O155" i="4"/>
  <c r="N155" i="4"/>
  <c r="R154" i="4"/>
  <c r="Q154" i="4"/>
  <c r="P154" i="4"/>
  <c r="O154" i="4"/>
  <c r="N154" i="4"/>
  <c r="R153" i="4"/>
  <c r="Q153" i="4"/>
  <c r="P153" i="4"/>
  <c r="O153" i="4"/>
  <c r="N153" i="4"/>
  <c r="R152" i="4"/>
  <c r="Q152" i="4"/>
  <c r="P152" i="4"/>
  <c r="O152" i="4"/>
  <c r="N152" i="4"/>
  <c r="R151" i="4"/>
  <c r="Q151" i="4"/>
  <c r="P151" i="4"/>
  <c r="O151" i="4"/>
  <c r="N151" i="4"/>
  <c r="R150" i="4"/>
  <c r="Q150" i="4"/>
  <c r="P150" i="4"/>
  <c r="O150" i="4"/>
  <c r="N150" i="4"/>
  <c r="R149" i="4"/>
  <c r="Q149" i="4"/>
  <c r="P149" i="4"/>
  <c r="O149" i="4"/>
  <c r="N149" i="4"/>
  <c r="R148" i="4"/>
  <c r="Q148" i="4"/>
  <c r="P148" i="4"/>
  <c r="O148" i="4"/>
  <c r="N148" i="4"/>
  <c r="R147" i="4"/>
  <c r="Q147" i="4"/>
  <c r="P147" i="4"/>
  <c r="O147" i="4"/>
  <c r="N147" i="4"/>
  <c r="R146" i="4"/>
  <c r="Q146" i="4"/>
  <c r="P146" i="4"/>
  <c r="O146" i="4"/>
  <c r="N146" i="4"/>
  <c r="R145" i="4"/>
  <c r="Q145" i="4"/>
  <c r="P145" i="4"/>
  <c r="O145" i="4"/>
  <c r="N145" i="4"/>
  <c r="R144" i="4"/>
  <c r="Q144" i="4"/>
  <c r="P144" i="4"/>
  <c r="O144" i="4"/>
  <c r="N144" i="4"/>
  <c r="R143" i="4"/>
  <c r="Q143" i="4"/>
  <c r="P143" i="4"/>
  <c r="O143" i="4"/>
  <c r="N143" i="4"/>
  <c r="R142" i="4"/>
  <c r="Q142" i="4"/>
  <c r="P142" i="4"/>
  <c r="O142" i="4"/>
  <c r="N142" i="4"/>
  <c r="R141" i="4"/>
  <c r="Q141" i="4"/>
  <c r="P141" i="4"/>
  <c r="O141" i="4"/>
  <c r="N141" i="4"/>
  <c r="R140" i="4"/>
  <c r="Q140" i="4"/>
  <c r="P140" i="4"/>
  <c r="O140" i="4"/>
  <c r="N140" i="4"/>
  <c r="R139" i="4"/>
  <c r="Q139" i="4"/>
  <c r="P139" i="4"/>
  <c r="O139" i="4"/>
  <c r="N139" i="4"/>
  <c r="R138" i="4"/>
  <c r="Q138" i="4"/>
  <c r="P138" i="4"/>
  <c r="O138" i="4"/>
  <c r="N138" i="4"/>
  <c r="R137" i="4"/>
  <c r="Q137" i="4"/>
  <c r="P137" i="4"/>
  <c r="O137" i="4"/>
  <c r="N137" i="4"/>
  <c r="R136" i="4"/>
  <c r="Q136" i="4"/>
  <c r="P136" i="4"/>
  <c r="O136" i="4"/>
  <c r="N136" i="4"/>
  <c r="R135" i="4"/>
  <c r="Q135" i="4"/>
  <c r="P135" i="4"/>
  <c r="O135" i="4"/>
  <c r="N135" i="4"/>
  <c r="R134" i="4"/>
  <c r="Q134" i="4"/>
  <c r="P134" i="4"/>
  <c r="O134" i="4"/>
  <c r="N134" i="4"/>
  <c r="R133" i="4"/>
  <c r="Q133" i="4"/>
  <c r="P133" i="4"/>
  <c r="O133" i="4"/>
  <c r="N133" i="4"/>
  <c r="R132" i="4"/>
  <c r="Q132" i="4"/>
  <c r="P132" i="4"/>
  <c r="O132" i="4"/>
  <c r="N132" i="4"/>
  <c r="R131" i="4"/>
  <c r="Q131" i="4"/>
  <c r="P131" i="4"/>
  <c r="O131" i="4"/>
  <c r="N131" i="4"/>
  <c r="R130" i="4"/>
  <c r="Q130" i="4"/>
  <c r="P130" i="4"/>
  <c r="O130" i="4"/>
  <c r="N130" i="4"/>
  <c r="R129" i="4"/>
  <c r="Q129" i="4"/>
  <c r="P129" i="4"/>
  <c r="O129" i="4"/>
  <c r="N129" i="4"/>
  <c r="R128" i="4"/>
  <c r="Q128" i="4"/>
  <c r="P128" i="4"/>
  <c r="O128" i="4"/>
  <c r="N128" i="4"/>
  <c r="R127" i="4"/>
  <c r="Q127" i="4"/>
  <c r="P127" i="4"/>
  <c r="O127" i="4"/>
  <c r="N127" i="4"/>
  <c r="R126" i="4"/>
  <c r="Q126" i="4"/>
  <c r="P126" i="4"/>
  <c r="O126" i="4"/>
  <c r="N126" i="4"/>
  <c r="R125" i="4"/>
  <c r="Q125" i="4"/>
  <c r="P125" i="4"/>
  <c r="O125" i="4"/>
  <c r="N125" i="4"/>
  <c r="R124" i="4"/>
  <c r="Q124" i="4"/>
  <c r="P124" i="4"/>
  <c r="O124" i="4"/>
  <c r="N124" i="4"/>
  <c r="R123" i="4"/>
  <c r="Q123" i="4"/>
  <c r="P123" i="4"/>
  <c r="O123" i="4"/>
  <c r="N123" i="4"/>
  <c r="R122" i="4"/>
  <c r="Q122" i="4"/>
  <c r="P122" i="4"/>
  <c r="O122" i="4"/>
  <c r="N122" i="4"/>
  <c r="R121" i="4"/>
  <c r="Q121" i="4"/>
  <c r="P121" i="4"/>
  <c r="O121" i="4"/>
  <c r="N121" i="4"/>
  <c r="R120" i="4"/>
  <c r="P120" i="4"/>
  <c r="O120" i="4"/>
  <c r="Q120" i="4" s="1"/>
  <c r="N120" i="4"/>
  <c r="R119" i="4"/>
  <c r="Q119" i="4"/>
  <c r="P119" i="4"/>
  <c r="O119" i="4"/>
  <c r="N119" i="4"/>
  <c r="M14" i="5" s="1"/>
  <c r="R118" i="4"/>
  <c r="Q118" i="4"/>
  <c r="P118" i="4"/>
  <c r="O118" i="4"/>
  <c r="N118" i="4"/>
  <c r="R117" i="4"/>
  <c r="Q117" i="4"/>
  <c r="P117" i="4"/>
  <c r="O117" i="4"/>
  <c r="N117" i="4"/>
  <c r="R116" i="4"/>
  <c r="Q116" i="4"/>
  <c r="P116" i="4"/>
  <c r="O116" i="4"/>
  <c r="N116" i="4"/>
  <c r="R115" i="4"/>
  <c r="Q115" i="4"/>
  <c r="P115" i="4"/>
  <c r="O115" i="4"/>
  <c r="N115" i="4"/>
  <c r="R114" i="4"/>
  <c r="P114" i="4"/>
  <c r="O114" i="4"/>
  <c r="Q114" i="4" s="1"/>
  <c r="N114" i="4"/>
  <c r="R113" i="4"/>
  <c r="Q113" i="4"/>
  <c r="P113" i="4"/>
  <c r="O113" i="4"/>
  <c r="N113" i="4"/>
  <c r="R112" i="4"/>
  <c r="P112" i="4"/>
  <c r="O112" i="4"/>
  <c r="Q112" i="4" s="1"/>
  <c r="N112" i="4"/>
  <c r="R111" i="4"/>
  <c r="Q111" i="4"/>
  <c r="P111" i="4"/>
  <c r="O111" i="4"/>
  <c r="N111" i="4"/>
  <c r="R110" i="4"/>
  <c r="P110" i="4"/>
  <c r="O110" i="4"/>
  <c r="Q110" i="4" s="1"/>
  <c r="N110" i="4"/>
  <c r="R109" i="4"/>
  <c r="Q109" i="4"/>
  <c r="P109" i="4"/>
  <c r="O109" i="4"/>
  <c r="N109" i="4"/>
  <c r="R108" i="4"/>
  <c r="Q108" i="4"/>
  <c r="P108" i="4"/>
  <c r="O108" i="4"/>
  <c r="N108" i="4"/>
  <c r="R107" i="4"/>
  <c r="Q107" i="4"/>
  <c r="P107" i="4"/>
  <c r="O107" i="4"/>
  <c r="N107" i="4"/>
  <c r="R106" i="4"/>
  <c r="Q106" i="4"/>
  <c r="P106" i="4"/>
  <c r="O106" i="4"/>
  <c r="N106" i="4"/>
  <c r="R105" i="4"/>
  <c r="Q105" i="4"/>
  <c r="P105" i="4"/>
  <c r="O105" i="4"/>
  <c r="N105" i="4"/>
  <c r="R104" i="4"/>
  <c r="Q104" i="4"/>
  <c r="P104" i="4"/>
  <c r="O104" i="4"/>
  <c r="N104" i="4"/>
  <c r="R103" i="4"/>
  <c r="Q103" i="4"/>
  <c r="P103" i="4"/>
  <c r="O103" i="4"/>
  <c r="N103" i="4"/>
  <c r="R102" i="4"/>
  <c r="Q102" i="4"/>
  <c r="P102" i="4"/>
  <c r="O102" i="4"/>
  <c r="N102" i="4"/>
  <c r="R101" i="4"/>
  <c r="Q101" i="4"/>
  <c r="P101" i="4"/>
  <c r="O101" i="4"/>
  <c r="N101" i="4"/>
  <c r="R100" i="4"/>
  <c r="Q100" i="4"/>
  <c r="P100" i="4"/>
  <c r="O100" i="4"/>
  <c r="N100" i="4"/>
  <c r="R99" i="4"/>
  <c r="Q99" i="4"/>
  <c r="P99" i="4"/>
  <c r="O99" i="4"/>
  <c r="N99" i="4"/>
  <c r="R98" i="4"/>
  <c r="Q98" i="4"/>
  <c r="P98" i="4"/>
  <c r="O98" i="4"/>
  <c r="N98" i="4"/>
  <c r="R97" i="4"/>
  <c r="Q97" i="4"/>
  <c r="P97" i="4"/>
  <c r="O97" i="4"/>
  <c r="N97" i="4"/>
  <c r="R96" i="4"/>
  <c r="P96" i="4"/>
  <c r="O96" i="4"/>
  <c r="Q96" i="4" s="1"/>
  <c r="N96" i="4"/>
  <c r="R95" i="4"/>
  <c r="Q95" i="4"/>
  <c r="P95" i="4"/>
  <c r="O95" i="4"/>
  <c r="N95" i="4"/>
  <c r="R94" i="4"/>
  <c r="Q94" i="4"/>
  <c r="P94" i="4"/>
  <c r="O94" i="4"/>
  <c r="N94" i="4"/>
  <c r="R93" i="4"/>
  <c r="Q93" i="4"/>
  <c r="P93" i="4"/>
  <c r="O93" i="4"/>
  <c r="N93" i="4"/>
  <c r="R92" i="4"/>
  <c r="P92" i="4"/>
  <c r="O92" i="4"/>
  <c r="Q92" i="4" s="1"/>
  <c r="N92" i="4"/>
  <c r="R91" i="4"/>
  <c r="Q91" i="4"/>
  <c r="P91" i="4"/>
  <c r="O91" i="4"/>
  <c r="N91" i="4"/>
  <c r="R90" i="4"/>
  <c r="P90" i="4"/>
  <c r="O90" i="4"/>
  <c r="Q90" i="4" s="1"/>
  <c r="N90" i="4"/>
  <c r="R89" i="4"/>
  <c r="Q89" i="4"/>
  <c r="P89" i="4"/>
  <c r="O89" i="4"/>
  <c r="N89" i="4"/>
  <c r="R88" i="4"/>
  <c r="Q88" i="4"/>
  <c r="P88" i="4"/>
  <c r="O88" i="4"/>
  <c r="N88" i="4"/>
  <c r="R87" i="4"/>
  <c r="Q87" i="4"/>
  <c r="P87" i="4"/>
  <c r="O87" i="4"/>
  <c r="N87" i="4"/>
  <c r="R86" i="4"/>
  <c r="Q86" i="4"/>
  <c r="P86" i="4"/>
  <c r="O86" i="4"/>
  <c r="N86" i="4"/>
  <c r="R85" i="4"/>
  <c r="Q85" i="4"/>
  <c r="P85" i="4"/>
  <c r="O85" i="4"/>
  <c r="N85" i="4"/>
  <c r="R84" i="4"/>
  <c r="P84" i="4"/>
  <c r="O84" i="4"/>
  <c r="Q84" i="4" s="1"/>
  <c r="N84" i="4"/>
  <c r="R83" i="4"/>
  <c r="Q83" i="4"/>
  <c r="P83" i="4"/>
  <c r="O83" i="4"/>
  <c r="N83" i="4"/>
  <c r="R82" i="4"/>
  <c r="P82" i="4"/>
  <c r="O82" i="4"/>
  <c r="Q82" i="4" s="1"/>
  <c r="N82" i="4"/>
  <c r="R81" i="4"/>
  <c r="Q81" i="4"/>
  <c r="P81" i="4"/>
  <c r="O81" i="4"/>
  <c r="N81" i="4"/>
  <c r="R80" i="4"/>
  <c r="Q80" i="4"/>
  <c r="P80" i="4"/>
  <c r="O80" i="4"/>
  <c r="N80" i="4"/>
  <c r="R79" i="4"/>
  <c r="Q79" i="4"/>
  <c r="P79" i="4"/>
  <c r="O79" i="4"/>
  <c r="N79" i="4"/>
  <c r="R78" i="4"/>
  <c r="Q78" i="4"/>
  <c r="P78" i="4"/>
  <c r="O78" i="4"/>
  <c r="N78" i="4"/>
  <c r="R77" i="4"/>
  <c r="Q77" i="4"/>
  <c r="P77" i="4"/>
  <c r="N17" i="5" s="1"/>
  <c r="O77" i="4"/>
  <c r="N77" i="4"/>
  <c r="M17" i="5" s="1"/>
  <c r="R76" i="4"/>
  <c r="Q76" i="4"/>
  <c r="P76" i="4"/>
  <c r="O76" i="4"/>
  <c r="N76" i="4"/>
  <c r="R75" i="4"/>
  <c r="Q75" i="4"/>
  <c r="P75" i="4"/>
  <c r="O75" i="4"/>
  <c r="N75" i="4"/>
  <c r="M10" i="5" s="1"/>
  <c r="R74" i="4"/>
  <c r="P74" i="4"/>
  <c r="O74" i="4"/>
  <c r="Q74" i="4" s="1"/>
  <c r="N74" i="4"/>
  <c r="R73" i="4"/>
  <c r="Q73" i="4"/>
  <c r="P73" i="4"/>
  <c r="O73" i="4"/>
  <c r="N73" i="4"/>
  <c r="R72" i="4"/>
  <c r="Q72" i="4"/>
  <c r="P72" i="4"/>
  <c r="O72" i="4"/>
  <c r="N72" i="4"/>
  <c r="R71" i="4"/>
  <c r="Q71" i="4"/>
  <c r="P71" i="4"/>
  <c r="N19" i="5" s="1"/>
  <c r="O71" i="4"/>
  <c r="N71" i="4"/>
  <c r="M19" i="5" s="1"/>
  <c r="R70" i="4"/>
  <c r="P70" i="4"/>
  <c r="O70" i="4"/>
  <c r="Q70" i="4" s="1"/>
  <c r="N70" i="4"/>
  <c r="R69" i="4"/>
  <c r="Q69" i="4"/>
  <c r="P69" i="4"/>
  <c r="O69" i="4"/>
  <c r="N69" i="4"/>
  <c r="R68" i="4"/>
  <c r="Q68" i="4"/>
  <c r="P68" i="4"/>
  <c r="O68" i="4"/>
  <c r="N68" i="4"/>
  <c r="R67" i="4"/>
  <c r="Q67" i="4"/>
  <c r="P67" i="4"/>
  <c r="O67" i="4"/>
  <c r="N67" i="4"/>
  <c r="R66" i="4"/>
  <c r="P66" i="4"/>
  <c r="O66" i="4"/>
  <c r="Q66" i="4" s="1"/>
  <c r="N66" i="4"/>
  <c r="R65" i="4"/>
  <c r="Q65" i="4"/>
  <c r="P65" i="4"/>
  <c r="O65" i="4"/>
  <c r="N65" i="4"/>
  <c r="R64" i="4"/>
  <c r="Q64" i="4"/>
  <c r="P64" i="4"/>
  <c r="O64" i="4"/>
  <c r="N64" i="4"/>
  <c r="R63" i="4"/>
  <c r="Q63" i="4"/>
  <c r="P63" i="4"/>
  <c r="O63" i="4"/>
  <c r="N63" i="4"/>
  <c r="R62" i="4"/>
  <c r="Q62" i="4"/>
  <c r="P62" i="4"/>
  <c r="O62" i="4"/>
  <c r="N62" i="4"/>
  <c r="R61" i="4"/>
  <c r="Q61" i="4"/>
  <c r="P61" i="4"/>
  <c r="O61" i="4"/>
  <c r="N61" i="4"/>
  <c r="R60" i="4"/>
  <c r="Q60" i="4"/>
  <c r="P60" i="4"/>
  <c r="O60" i="4"/>
  <c r="N60" i="4"/>
  <c r="R59" i="4"/>
  <c r="Q59" i="4"/>
  <c r="P59" i="4"/>
  <c r="O59" i="4"/>
  <c r="N59" i="4"/>
  <c r="R58" i="4"/>
  <c r="Q58" i="4"/>
  <c r="P58" i="4"/>
  <c r="O58" i="4"/>
  <c r="N58" i="4"/>
  <c r="R57" i="4"/>
  <c r="Q57" i="4"/>
  <c r="P57" i="4"/>
  <c r="O57" i="4"/>
  <c r="N57" i="4"/>
  <c r="R56" i="4"/>
  <c r="Q56" i="4"/>
  <c r="P56" i="4"/>
  <c r="O56" i="4"/>
  <c r="N56" i="4"/>
  <c r="R55" i="4"/>
  <c r="Q55" i="4"/>
  <c r="P55" i="4"/>
  <c r="O55" i="4"/>
  <c r="N55" i="4"/>
  <c r="R54" i="4"/>
  <c r="Q54" i="4"/>
  <c r="P54" i="4"/>
  <c r="O54" i="4"/>
  <c r="N54" i="4"/>
  <c r="R53" i="4"/>
  <c r="Q53" i="4"/>
  <c r="P53" i="4"/>
  <c r="O53" i="4"/>
  <c r="N53" i="4"/>
  <c r="R52" i="4"/>
  <c r="Q52" i="4"/>
  <c r="P52" i="4"/>
  <c r="O52" i="4"/>
  <c r="N52" i="4"/>
  <c r="R51" i="4"/>
  <c r="Q51" i="4"/>
  <c r="P51" i="4"/>
  <c r="O51" i="4"/>
  <c r="N51" i="4"/>
  <c r="R50" i="4"/>
  <c r="P50" i="4"/>
  <c r="O50" i="4"/>
  <c r="Q50" i="4" s="1"/>
  <c r="N50" i="4"/>
  <c r="R49" i="4"/>
  <c r="Q49" i="4"/>
  <c r="P49" i="4"/>
  <c r="O49" i="4"/>
  <c r="N49" i="4"/>
  <c r="R48" i="4"/>
  <c r="Q48" i="4"/>
  <c r="P48" i="4"/>
  <c r="O48" i="4"/>
  <c r="N48" i="4"/>
  <c r="R47" i="4"/>
  <c r="Q47" i="4"/>
  <c r="P47" i="4"/>
  <c r="O47" i="4"/>
  <c r="N47" i="4"/>
  <c r="R46" i="4"/>
  <c r="P46" i="4"/>
  <c r="O46" i="4"/>
  <c r="Q46" i="4" s="1"/>
  <c r="N46" i="4"/>
  <c r="R45" i="4"/>
  <c r="Q45" i="4"/>
  <c r="P45" i="4"/>
  <c r="O45" i="4"/>
  <c r="N45" i="4"/>
  <c r="R44" i="4"/>
  <c r="Q44" i="4"/>
  <c r="P44" i="4"/>
  <c r="O44" i="4"/>
  <c r="N44" i="4"/>
  <c r="R43" i="4"/>
  <c r="Q43" i="4"/>
  <c r="P43" i="4"/>
  <c r="O43" i="4"/>
  <c r="N43" i="4"/>
  <c r="R42" i="4"/>
  <c r="Q42" i="4"/>
  <c r="P42" i="4"/>
  <c r="O42" i="4"/>
  <c r="N42" i="4"/>
  <c r="R41" i="4"/>
  <c r="Q41" i="4"/>
  <c r="P41" i="4"/>
  <c r="O41" i="4"/>
  <c r="N41" i="4"/>
  <c r="R40" i="4"/>
  <c r="P40" i="4"/>
  <c r="O40" i="4"/>
  <c r="Q40" i="4" s="1"/>
  <c r="N40" i="4"/>
  <c r="R39" i="4"/>
  <c r="Q39" i="4"/>
  <c r="P39" i="4"/>
  <c r="O39" i="4"/>
  <c r="N39" i="4"/>
  <c r="R38" i="4"/>
  <c r="Q38" i="4"/>
  <c r="P38" i="4"/>
  <c r="O38" i="4"/>
  <c r="N38" i="4"/>
  <c r="R37" i="4"/>
  <c r="Q37" i="4"/>
  <c r="P37" i="4"/>
  <c r="O37" i="4"/>
  <c r="N37" i="4"/>
  <c r="D9" i="5" s="1"/>
  <c r="R36" i="4"/>
  <c r="P36" i="4"/>
  <c r="O36" i="4"/>
  <c r="Q36" i="4" s="1"/>
  <c r="N36" i="4"/>
  <c r="R35" i="4"/>
  <c r="Q35" i="4"/>
  <c r="P35" i="4"/>
  <c r="O35" i="4"/>
  <c r="N35" i="4"/>
  <c r="R34" i="4"/>
  <c r="Q34" i="4"/>
  <c r="P34" i="4"/>
  <c r="O34" i="4"/>
  <c r="N34" i="4"/>
  <c r="R33" i="4"/>
  <c r="Q33" i="4"/>
  <c r="P33" i="4"/>
  <c r="O33" i="4"/>
  <c r="N33" i="4"/>
  <c r="R32" i="4"/>
  <c r="Q32" i="4"/>
  <c r="P32" i="4"/>
  <c r="O32" i="4"/>
  <c r="N32" i="4"/>
  <c r="R31" i="4"/>
  <c r="Q31" i="4"/>
  <c r="P31" i="4"/>
  <c r="O31" i="4"/>
  <c r="N31" i="4"/>
  <c r="M9" i="5" s="1"/>
  <c r="R30" i="4"/>
  <c r="Q30" i="4"/>
  <c r="P30" i="4"/>
  <c r="O30" i="4"/>
  <c r="N30" i="4"/>
  <c r="R29" i="4"/>
  <c r="Q29" i="4"/>
  <c r="P29" i="4"/>
  <c r="O29" i="4"/>
  <c r="N29" i="4"/>
  <c r="R28" i="4"/>
  <c r="Q28" i="4"/>
  <c r="P28" i="4"/>
  <c r="O28" i="4"/>
  <c r="N28" i="4"/>
  <c r="R27" i="4"/>
  <c r="Q27" i="4"/>
  <c r="P27" i="4"/>
  <c r="O27" i="4"/>
  <c r="N27" i="4"/>
  <c r="R26" i="4"/>
  <c r="Q26" i="4"/>
  <c r="P26" i="4"/>
  <c r="O26" i="4"/>
  <c r="N26" i="4"/>
  <c r="R25" i="4"/>
  <c r="Q25" i="4"/>
  <c r="P25" i="4"/>
  <c r="O25" i="4"/>
  <c r="N25" i="4"/>
  <c r="R24" i="4"/>
  <c r="Q24" i="4"/>
  <c r="P24" i="4"/>
  <c r="O24" i="4"/>
  <c r="N24" i="4"/>
  <c r="R23" i="4"/>
  <c r="Q23" i="4"/>
  <c r="P23" i="4"/>
  <c r="O23" i="4"/>
  <c r="N23" i="4"/>
  <c r="D12" i="5" s="1"/>
  <c r="R22" i="4"/>
  <c r="P22" i="4"/>
  <c r="O22" i="4"/>
  <c r="Q22" i="4" s="1"/>
  <c r="N22" i="4"/>
  <c r="R21" i="4"/>
  <c r="Q21" i="4"/>
  <c r="P21" i="4"/>
  <c r="O21" i="4"/>
  <c r="N21" i="4"/>
  <c r="R20" i="4"/>
  <c r="Q20" i="4"/>
  <c r="P20" i="4"/>
  <c r="O20" i="4"/>
  <c r="N20" i="4"/>
  <c r="R19" i="4"/>
  <c r="Q19" i="4"/>
  <c r="P19" i="4"/>
  <c r="O19" i="4"/>
  <c r="N19" i="4"/>
  <c r="R18" i="4"/>
  <c r="Q18" i="4"/>
  <c r="P18" i="4"/>
  <c r="O18" i="4"/>
  <c r="N18" i="4"/>
  <c r="R17" i="4"/>
  <c r="Q17" i="4"/>
  <c r="P17" i="4"/>
  <c r="O17" i="4"/>
  <c r="N17" i="4"/>
  <c r="D13" i="5" s="1"/>
  <c r="R16" i="4"/>
  <c r="Q16" i="4"/>
  <c r="P16" i="4"/>
  <c r="O16" i="4"/>
  <c r="N16" i="4"/>
  <c r="R15" i="4"/>
  <c r="Q15" i="4"/>
  <c r="P15" i="4"/>
  <c r="O15" i="4"/>
  <c r="N15" i="4"/>
  <c r="D7" i="5" s="1"/>
  <c r="R14" i="4"/>
  <c r="Q14" i="4"/>
  <c r="P14" i="4"/>
  <c r="O14" i="4"/>
  <c r="N14" i="4"/>
  <c r="R13" i="4"/>
  <c r="Q13" i="4"/>
  <c r="P13" i="4"/>
  <c r="O13" i="4"/>
  <c r="N13" i="4"/>
  <c r="M18" i="5" s="1"/>
  <c r="R12" i="4"/>
  <c r="Q12" i="4"/>
  <c r="P12" i="4"/>
  <c r="O12" i="4"/>
  <c r="E13" i="6" s="1"/>
  <c r="J13" i="6" s="1"/>
  <c r="K13" i="6" s="1"/>
  <c r="N12" i="4"/>
  <c r="R11" i="4"/>
  <c r="Q11" i="4"/>
  <c r="P11" i="4"/>
  <c r="O11" i="4"/>
  <c r="N11" i="4"/>
  <c r="R10" i="4"/>
  <c r="Q10" i="4"/>
  <c r="P10" i="4"/>
  <c r="O10" i="4"/>
  <c r="N10" i="4"/>
  <c r="R9" i="4"/>
  <c r="Q9" i="4"/>
  <c r="P9" i="4"/>
  <c r="O9" i="4"/>
  <c r="N9" i="4"/>
  <c r="R8" i="4"/>
  <c r="P8" i="4"/>
  <c r="O8" i="4"/>
  <c r="Q8" i="4" s="1"/>
  <c r="N8" i="4"/>
  <c r="R7" i="4"/>
  <c r="Q7" i="4"/>
  <c r="P7" i="4"/>
  <c r="O7" i="4"/>
  <c r="N7" i="4"/>
  <c r="M11" i="5" s="1"/>
  <c r="R6" i="4"/>
  <c r="P6" i="4"/>
  <c r="O6" i="4"/>
  <c r="Q6" i="4" s="1"/>
  <c r="N6" i="4"/>
  <c r="R5" i="4"/>
  <c r="Q5" i="4"/>
  <c r="P5" i="4"/>
  <c r="O5" i="4"/>
  <c r="N5" i="4"/>
  <c r="D8" i="5" s="1"/>
  <c r="D17" i="1"/>
  <c r="C17" i="1"/>
  <c r="E16" i="1"/>
  <c r="D16" i="1"/>
  <c r="C16" i="1"/>
  <c r="J15" i="1"/>
  <c r="D15" i="1"/>
  <c r="C15" i="1"/>
  <c r="E14" i="1"/>
  <c r="D14" i="1"/>
  <c r="C14" i="1"/>
  <c r="J13" i="1"/>
  <c r="D13" i="1"/>
  <c r="C13" i="1"/>
  <c r="D12" i="1"/>
  <c r="C12" i="1"/>
  <c r="D5" i="1"/>
  <c r="B5" i="1"/>
  <c r="D24" i="5" l="1"/>
  <c r="R179" i="4"/>
  <c r="F17" i="1"/>
  <c r="G17" i="1" s="1"/>
  <c r="Q205" i="4"/>
  <c r="M16" i="5"/>
  <c r="G15" i="5"/>
  <c r="G9" i="5"/>
  <c r="C9" i="8"/>
  <c r="J5" i="7"/>
  <c r="D22" i="5"/>
  <c r="E14" i="6"/>
  <c r="J14" i="6" s="1"/>
  <c r="K14" i="6" s="1"/>
  <c r="F15" i="1"/>
  <c r="G15" i="1" s="1"/>
  <c r="D20" i="5"/>
  <c r="M20" i="5"/>
  <c r="D21" i="5"/>
  <c r="E15" i="1"/>
  <c r="D15" i="5"/>
  <c r="G8" i="5"/>
  <c r="G13" i="5"/>
  <c r="M6" i="5"/>
  <c r="E10" i="6"/>
  <c r="J10" i="6" s="1"/>
  <c r="K10" i="6" s="1"/>
  <c r="E17" i="1"/>
  <c r="D14" i="5"/>
  <c r="E7" i="6"/>
  <c r="J7" i="6" s="1"/>
  <c r="K7" i="6" s="1"/>
  <c r="E11" i="6"/>
  <c r="J11" i="6" s="1"/>
  <c r="K11" i="6" s="1"/>
  <c r="D6" i="5"/>
  <c r="J12" i="1"/>
  <c r="J6" i="7"/>
  <c r="K12" i="1" s="1"/>
  <c r="J11" i="7"/>
  <c r="K14" i="1" s="1"/>
  <c r="J14" i="1"/>
  <c r="Q175" i="4"/>
  <c r="M12" i="5"/>
  <c r="D23" i="5"/>
  <c r="E8" i="6"/>
  <c r="J8" i="6" s="1"/>
  <c r="K8" i="6" s="1"/>
  <c r="M13" i="5"/>
  <c r="E13" i="1"/>
  <c r="M15" i="5"/>
  <c r="E5" i="6"/>
  <c r="J5" i="6" s="1"/>
  <c r="K5" i="6" s="1"/>
  <c r="E9" i="6"/>
  <c r="J9" i="6" s="1"/>
  <c r="K9" i="6" s="1"/>
  <c r="E12" i="6"/>
  <c r="J12" i="6" s="1"/>
  <c r="K12" i="6" s="1"/>
  <c r="E20" i="5"/>
  <c r="F8" i="5"/>
  <c r="H8" i="5" s="1"/>
  <c r="N20" i="5"/>
  <c r="C8" i="8"/>
  <c r="F5" i="1" s="1"/>
  <c r="F14" i="1"/>
  <c r="G14" i="1" s="1"/>
  <c r="F12" i="1"/>
  <c r="G12" i="1" s="1"/>
  <c r="F6" i="5"/>
  <c r="H6" i="5" s="1"/>
  <c r="N11" i="5"/>
  <c r="F10" i="5"/>
  <c r="H10" i="5" s="1"/>
  <c r="E21" i="5"/>
  <c r="E24" i="5"/>
  <c r="F11" i="5"/>
  <c r="H11" i="5" s="1"/>
  <c r="N18" i="5"/>
  <c r="N13" i="5"/>
  <c r="F13" i="5"/>
  <c r="H13" i="5" s="1"/>
  <c r="F15" i="5"/>
  <c r="H15" i="5" s="1"/>
  <c r="F12" i="5"/>
  <c r="H12" i="5" s="1"/>
  <c r="E22" i="5"/>
  <c r="N7" i="5"/>
  <c r="F14" i="5"/>
  <c r="H14" i="5" s="1"/>
  <c r="N9" i="5"/>
  <c r="F9" i="5"/>
  <c r="H9" i="5" s="1"/>
  <c r="N8" i="5"/>
  <c r="N10" i="5"/>
  <c r="N6" i="5"/>
  <c r="R205" i="4"/>
  <c r="G6" i="5"/>
  <c r="D11" i="5"/>
  <c r="E12" i="1"/>
  <c r="F16" i="1"/>
  <c r="G16" i="1" s="1"/>
  <c r="E6" i="6"/>
  <c r="J6" i="6" s="1"/>
  <c r="K6" i="6" s="1"/>
  <c r="N12" i="5"/>
  <c r="F7" i="5"/>
  <c r="H7" i="5" s="1"/>
  <c r="E23" i="5"/>
  <c r="N15" i="5"/>
  <c r="N14" i="5"/>
  <c r="R175" i="4"/>
  <c r="D10" i="5"/>
  <c r="G14" i="5"/>
  <c r="F20" i="5"/>
  <c r="F21" i="5"/>
  <c r="C11" i="8" l="1"/>
  <c r="F7" i="8" s="1"/>
  <c r="K13" i="1"/>
  <c r="F6" i="8"/>
  <c r="C12" i="8" l="1"/>
  <c r="F8" i="8"/>
  <c r="H5" i="1"/>
  <c r="F9" i="8" l="1"/>
  <c r="J5" i="1"/>
</calcChain>
</file>

<file path=xl/sharedStrings.xml><?xml version="1.0" encoding="utf-8"?>
<sst xmlns="http://schemas.openxmlformats.org/spreadsheetml/2006/main" count="2991" uniqueCount="230">
  <si>
    <t>Ops2EBITDA</t>
  </si>
  <si>
    <t>Procurement Spend Cube &amp; Savings Tracker</t>
  </si>
  <si>
    <t>EXECUTIVE PROCUREMENT SNAPSHOT</t>
  </si>
  <si>
    <t>Total Spend</t>
  </si>
  <si>
    <t>Addressable Spend</t>
  </si>
  <si>
    <t>Identified Savings</t>
  </si>
  <si>
    <t>Validated EBITDA</t>
  </si>
  <si>
    <t>EV Impact</t>
  </si>
  <si>
    <t>TOP CATEGORY OPPORTUNITIES</t>
  </si>
  <si>
    <t>SAVINGS PIPELINE STATUS</t>
  </si>
  <si>
    <t>Category</t>
  </si>
  <si>
    <t>Maverick Spend</t>
  </si>
  <si>
    <t>Savings Opportunity</t>
  </si>
  <si>
    <t>Priority</t>
  </si>
  <si>
    <t>Status</t>
  </si>
  <si>
    <t>Gross Savings</t>
  </si>
  <si>
    <t>Run-Rate EBITDA</t>
  </si>
  <si>
    <t>Freight &amp; Logistics</t>
  </si>
  <si>
    <t>Not Started</t>
  </si>
  <si>
    <t>IT Software</t>
  </si>
  <si>
    <t>In Progress</t>
  </si>
  <si>
    <t>Packaging</t>
  </si>
  <si>
    <t>At Risk</t>
  </si>
  <si>
    <t>Telecom</t>
  </si>
  <si>
    <t>Complete</t>
  </si>
  <si>
    <t>Raw Materials</t>
  </si>
  <si>
    <t>Facilities</t>
  </si>
  <si>
    <t>How to Use This Model</t>
  </si>
  <si>
    <t>Procurement spend cube and savings tracker workflow.</t>
  </si>
  <si>
    <t>Step</t>
  </si>
  <si>
    <t>Action</t>
  </si>
  <si>
    <t>Notes</t>
  </si>
  <si>
    <t>Replace sample data in Spend_Data</t>
  </si>
  <si>
    <t>Paste AP/PO export fields into columns A:M. Keep derived formula columns N:R.</t>
  </si>
  <si>
    <t>Update assumptions in Inputs</t>
  </si>
  <si>
    <t>Adjust EBITDA multiple, realization rate, consolidation capture, and category savings rates.</t>
  </si>
  <si>
    <t>Review Spend_Cube</t>
  </si>
  <si>
    <t>Use category, site, and vendor cuts to identify concentration, maverick spend, and savings opportunity.</t>
  </si>
  <si>
    <t>Prioritize Vendor_Consolidation</t>
  </si>
  <si>
    <t>Focus on categories with high tail spend, many vendors, and meaningful estimated savings.</t>
  </si>
  <si>
    <t>Build Savings_Pipeline</t>
  </si>
  <si>
    <t>Convert opportunities into owned initiatives with status, dates, and run-rate EBITDA impact.</t>
  </si>
  <si>
    <t>Validate EBITDA</t>
  </si>
  <si>
    <t>Use EBITDA_Validation to separate gross opportunity from realized run-rate impact and EV impact.</t>
  </si>
  <si>
    <t>Use Dashboard for executive readout</t>
  </si>
  <si>
    <t>Summarize the opportunity set, savings pipeline, and impact story for management or board discussion.</t>
  </si>
  <si>
    <t>Ops2EBITDA Procurement Spend Cube &amp; Savings Tracker</t>
  </si>
  <si>
    <t>Editable model assumptions and category savings benchmarks.</t>
  </si>
  <si>
    <t>Assumption</t>
  </si>
  <si>
    <t>Value</t>
  </si>
  <si>
    <t>EBITDA Multiple</t>
  </si>
  <si>
    <t>Used to translate run-rate savings into enterprise value impact</t>
  </si>
  <si>
    <t>Benefit Realization Rate</t>
  </si>
  <si>
    <t>Portion of identified savings expected to hit EBITDA</t>
  </si>
  <si>
    <t>Maverick Spend Savings Rate</t>
  </si>
  <si>
    <t>Default savings rate on non-contract / non-preferred spend</t>
  </si>
  <si>
    <t>Vendor Consolidation Capture</t>
  </si>
  <si>
    <t>Percent of tail spend that can be consolidated into preferred vendors</t>
  </si>
  <si>
    <t>Minimum Addressable Spend Threshold</t>
  </si>
  <si>
    <t>Used to filter small opportunities</t>
  </si>
  <si>
    <t>Run-Rate Conversion Months</t>
  </si>
  <si>
    <t>Months used for annualized EBITDA impact</t>
  </si>
  <si>
    <t>CATEGORY BENCHMARKS</t>
  </si>
  <si>
    <t>Spend Type</t>
  </si>
  <si>
    <t>Default Savings Rate</t>
  </si>
  <si>
    <t>Primary Lever</t>
  </si>
  <si>
    <t>Addressability Notes</t>
  </si>
  <si>
    <t>Direct</t>
  </si>
  <si>
    <t>Carrier rebid / route optimization</t>
  </si>
  <si>
    <t>Addressable if not core supply risk</t>
  </si>
  <si>
    <t>Supplier negotiation / should-cost</t>
  </si>
  <si>
    <t>Specification standardization</t>
  </si>
  <si>
    <t>Indirect</t>
  </si>
  <si>
    <t>License rationalization / vendor consolidation</t>
  </si>
  <si>
    <t>Plan consolidation / contract rebid</t>
  </si>
  <si>
    <t>Scope standardization / site consolidation</t>
  </si>
  <si>
    <t>Professional Services</t>
  </si>
  <si>
    <t>Demand management / panel rates</t>
  </si>
  <si>
    <t>Validate carefully; may be relationship or quality constrained</t>
  </si>
  <si>
    <t>Temp Labor</t>
  </si>
  <si>
    <t>Vendor consolidation / mark-up reduction</t>
  </si>
  <si>
    <t>Office Supplies</t>
  </si>
  <si>
    <t>Catalog control / preferred vendor</t>
  </si>
  <si>
    <t>MRO</t>
  </si>
  <si>
    <t>SKU rationalization / preferred suppliers</t>
  </si>
  <si>
    <t>Spend Data</t>
  </si>
  <si>
    <t>Sample invoice-level third-party spend data. Replace sample rows with AP/PO export data.</t>
  </si>
  <si>
    <t>Invoice ID</t>
  </si>
  <si>
    <t>Invoice Date</t>
  </si>
  <si>
    <t>Vendor</t>
  </si>
  <si>
    <t>Site</t>
  </si>
  <si>
    <t>Business Unit</t>
  </si>
  <si>
    <t>Spend</t>
  </si>
  <si>
    <t>Under Contract?</t>
  </si>
  <si>
    <t>Preferred Vendor?</t>
  </si>
  <si>
    <t>Addressable?</t>
  </si>
  <si>
    <t>Owner</t>
  </si>
  <si>
    <t>Maverick?</t>
  </si>
  <si>
    <t>Tail Vendor?</t>
  </si>
  <si>
    <t>Savings Type</t>
  </si>
  <si>
    <t>BoxWorks</t>
  </si>
  <si>
    <t>Chicago</t>
  </si>
  <si>
    <t>Field Operations</t>
  </si>
  <si>
    <t>Yes</t>
  </si>
  <si>
    <t>COO</t>
  </si>
  <si>
    <t>Summit Polymers</t>
  </si>
  <si>
    <t>Atlanta</t>
  </si>
  <si>
    <t>Manufacturing</t>
  </si>
  <si>
    <t>No</t>
  </si>
  <si>
    <t>Regional LTL</t>
  </si>
  <si>
    <t>Corporate</t>
  </si>
  <si>
    <t>PartsPlus</t>
  </si>
  <si>
    <t>MobileWorks</t>
  </si>
  <si>
    <t>Dallas</t>
  </si>
  <si>
    <t>CIO</t>
  </si>
  <si>
    <t>Columbus</t>
  </si>
  <si>
    <t>FacilityOne</t>
  </si>
  <si>
    <t>Workplace Mart</t>
  </si>
  <si>
    <t>CFO</t>
  </si>
  <si>
    <t>NorthLine Freight</t>
  </si>
  <si>
    <t>Distribution</t>
  </si>
  <si>
    <t>Prime Components</t>
  </si>
  <si>
    <t>ToolWorks</t>
  </si>
  <si>
    <t>WorkforceOne</t>
  </si>
  <si>
    <t>CHRO</t>
  </si>
  <si>
    <t>PaperTrail</t>
  </si>
  <si>
    <t>FiberOne</t>
  </si>
  <si>
    <t>Phoenix</t>
  </si>
  <si>
    <t>MaintainCo</t>
  </si>
  <si>
    <t>BrandNorth</t>
  </si>
  <si>
    <t>FastLane Carriers</t>
  </si>
  <si>
    <t>ShiftPro</t>
  </si>
  <si>
    <t>OfficeDirect</t>
  </si>
  <si>
    <t>ShipMax</t>
  </si>
  <si>
    <t>RepairMax</t>
  </si>
  <si>
    <t>RoadPro Logistics</t>
  </si>
  <si>
    <t>CloudSuite</t>
  </si>
  <si>
    <t>DataGrid</t>
  </si>
  <si>
    <t>SafeSite</t>
  </si>
  <si>
    <t>SupplyHub</t>
  </si>
  <si>
    <t>PackRight</t>
  </si>
  <si>
    <t>TaxBridge</t>
  </si>
  <si>
    <t>ConnectTel</t>
  </si>
  <si>
    <t>FlexPack</t>
  </si>
  <si>
    <t>Industrial Supply</t>
  </si>
  <si>
    <t>CoreMetals</t>
  </si>
  <si>
    <t>PowerCare</t>
  </si>
  <si>
    <t>Allied Inputs</t>
  </si>
  <si>
    <t>ContractConsult</t>
  </si>
  <si>
    <t>LaborFlex</t>
  </si>
  <si>
    <t>VoiceNet</t>
  </si>
  <si>
    <t>United Materials</t>
  </si>
  <si>
    <t>SecureID</t>
  </si>
  <si>
    <t>AdvisoryCo</t>
  </si>
  <si>
    <t>SecureWrap</t>
  </si>
  <si>
    <t>OfficeCloud</t>
  </si>
  <si>
    <t>WorkflowPro</t>
  </si>
  <si>
    <t>National Packaging</t>
  </si>
  <si>
    <t>CleanCo</t>
  </si>
  <si>
    <t>SecureGuard</t>
  </si>
  <si>
    <t>LegalWorks</t>
  </si>
  <si>
    <t>PeopleNow</t>
  </si>
  <si>
    <t>Spend Cube</t>
  </si>
  <si>
    <t>Vendor, category, and site cuts to isolate addressable spend and opportunity concentration.</t>
  </si>
  <si>
    <t>CATEGORY CUT</t>
  </si>
  <si>
    <t>TOP VENDOR CUT</t>
  </si>
  <si>
    <t># Vendors</t>
  </si>
  <si>
    <t>% of Total Spend</t>
  </si>
  <si>
    <t>Avg Savings Rate</t>
  </si>
  <si>
    <t>Preferred?</t>
  </si>
  <si>
    <t>Primary Category</t>
  </si>
  <si>
    <t>SITE CUT</t>
  </si>
  <si>
    <t>Vendor Consolidation</t>
  </si>
  <si>
    <t>Identify fragmented categories, tail spend, and preferred-vendor migration opportunities.</t>
  </si>
  <si>
    <t>Total Vendors</t>
  </si>
  <si>
    <t>Preferred Vendors</t>
  </si>
  <si>
    <t>Tail Vendors</t>
  </si>
  <si>
    <t>Tail Spend</t>
  </si>
  <si>
    <t>Preferred Spend</t>
  </si>
  <si>
    <t>Non-Preferred Spend</t>
  </si>
  <si>
    <t>Consolidation Capture</t>
  </si>
  <si>
    <t>Estimated Savings</t>
  </si>
  <si>
    <t>Recommended Action</t>
  </si>
  <si>
    <t>Savings Pipeline</t>
  </si>
  <si>
    <t>Opportunity register for sourcing, consolidation, maverick spend control, and benefit capture.</t>
  </si>
  <si>
    <t>ID</t>
  </si>
  <si>
    <t>Opportunity</t>
  </si>
  <si>
    <t>Lever</t>
  </si>
  <si>
    <t>Baseline Spend</t>
  </si>
  <si>
    <t>Savings Rate</t>
  </si>
  <si>
    <t>Realization %</t>
  </si>
  <si>
    <t>Target Date</t>
  </si>
  <si>
    <t>Rebid top freight lanes</t>
  </si>
  <si>
    <t>Carrier rebid</t>
  </si>
  <si>
    <t>Consolidate IT software licenses</t>
  </si>
  <si>
    <t>License rationalization</t>
  </si>
  <si>
    <t>Migrate office supplies to catalog</t>
  </si>
  <si>
    <t>Preferred vendor control</t>
  </si>
  <si>
    <t>Facilities vendor panel</t>
  </si>
  <si>
    <t>Vendor consolidation</t>
  </si>
  <si>
    <t>Telecom plan normalization</t>
  </si>
  <si>
    <t>Contract rebid</t>
  </si>
  <si>
    <t>Packaging spec standardization</t>
  </si>
  <si>
    <t>Specification rationalization</t>
  </si>
  <si>
    <t>Professional services demand controls</t>
  </si>
  <si>
    <t>Demand management</t>
  </si>
  <si>
    <t>Temp labor vendor markup reset</t>
  </si>
  <si>
    <t>Rate negotiation</t>
  </si>
  <si>
    <t>EBITDA Validation</t>
  </si>
  <si>
    <t>Bridge identified procurement opportunities into validated run-rate EBITDA and enterprise value.</t>
  </si>
  <si>
    <t>SUMMARY</t>
  </si>
  <si>
    <t>EBITDA BRIDGE</t>
  </si>
  <si>
    <t>Metric</t>
  </si>
  <si>
    <t>Formula / Source</t>
  </si>
  <si>
    <t>Bridge Item</t>
  </si>
  <si>
    <t>Amount</t>
  </si>
  <si>
    <t>Total Third-Party Spend</t>
  </si>
  <si>
    <t>Spend_Data total spend</t>
  </si>
  <si>
    <t>Identified Gross Savings</t>
  </si>
  <si>
    <t>Spend marked addressable</t>
  </si>
  <si>
    <t>Realization Discount</t>
  </si>
  <si>
    <t>Spend_Data savings opportunity</t>
  </si>
  <si>
    <t>Validated Run-Rate EBITDA</t>
  </si>
  <si>
    <t>Pipeline Gross Savings</t>
  </si>
  <si>
    <t>Savings_Pipeline gross savings</t>
  </si>
  <si>
    <t>Enterprise Value Impact</t>
  </si>
  <si>
    <t>Realization Rate</t>
  </si>
  <si>
    <t>Inputs assumption</t>
  </si>
  <si>
    <t>Pipeline gross savings × realization rate</t>
  </si>
  <si>
    <t>Run-rate EBITDA × 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</si>
</sst>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x"/>
    <numFmt numFmtId="166" formatCode="\$#,##0"/>
    <numFmt numFmtId="167" formatCode="yyyy\-mm\-dd"/>
  </numFmts>
  <fonts count="12">
    <font>
      <sz val="11"/>
      <name val="Carlito"/>
    </font>
    <font>
      <sz val="10"/>
      <color rgb="FF161413"/>
      <name val="Geist"/>
    </font>
    <font>
      <b/>
      <sz val="24"/>
      <color rgb="FF161413"/>
      <name val="Newsreader"/>
    </font>
    <font>
      <sz val="10"/>
      <color rgb="FF928B7E"/>
      <name val="Geist"/>
    </font>
    <font>
      <b/>
      <sz val="9"/>
      <color rgb="FFF4EFE6"/>
      <name val="Geist"/>
    </font>
    <font>
      <b/>
      <sz val="9"/>
      <color rgb="FFB8862F"/>
      <name val="JetBrains Mono"/>
    </font>
    <font>
      <b/>
      <sz val="26"/>
      <color rgb="FF161413"/>
      <name val="Newsreader"/>
    </font>
    <font>
      <sz val="12"/>
      <color rgb="FF928B7E"/>
      <name val="Geist"/>
    </font>
    <font>
      <b/>
      <sz val="20"/>
      <color rgb="FF161413"/>
      <name val="Newsreader"/>
    </font>
    <font>
      <sz val="11"/>
      <color theme="4"/>
      <name val="Carlito"/>
    </font>
    <font>
      <b/>
      <sz val="10"/>
      <color rgb="FFB8862F"/>
      <name val="JetBrains Mon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BF8F2"/>
      </patternFill>
    </fill>
    <fill>
      <patternFill patternType="solid">
        <fgColor rgb="FFF4EFE6"/>
      </patternFill>
    </fill>
    <fill>
      <patternFill patternType="solid">
        <fgColor rgb="FF161413"/>
      </patternFill>
    </fill>
    <fill>
      <patternFill patternType="solid">
        <fgColor rgb="FFF4EFE6"/>
        <bgColor rgb="FF0000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3" borderId="0" xfId="0" applyFont="1" applyFill="1"/>
    <xf numFmtId="0" fontId="0" fillId="3" borderId="0" xfId="0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164" fontId="0" fillId="0" borderId="5" xfId="0" applyNumberFormat="1" applyBorder="1"/>
    <xf numFmtId="166" fontId="0" fillId="0" borderId="5" xfId="0" applyNumberFormat="1" applyBorder="1"/>
    <xf numFmtId="0" fontId="0" fillId="0" borderId="7" xfId="0" applyBorder="1"/>
    <xf numFmtId="0" fontId="0" fillId="0" borderId="9" xfId="0" applyBorder="1"/>
    <xf numFmtId="0" fontId="0" fillId="0" borderId="5" xfId="0" applyBorder="1"/>
    <xf numFmtId="0" fontId="0" fillId="0" borderId="8" xfId="0" applyBorder="1"/>
    <xf numFmtId="164" fontId="0" fillId="0" borderId="8" xfId="0" applyNumberFormat="1" applyBorder="1"/>
    <xf numFmtId="166" fontId="0" fillId="0" borderId="8" xfId="0" applyNumberFormat="1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66" fontId="0" fillId="0" borderId="5" xfId="0" applyNumberFormat="1" applyBorder="1" applyAlignment="1">
      <alignment wrapText="1"/>
    </xf>
    <xf numFmtId="164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6" fontId="0" fillId="0" borderId="8" xfId="0" applyNumberFormat="1" applyBorder="1" applyAlignment="1">
      <alignment wrapText="1"/>
    </xf>
    <xf numFmtId="164" fontId="0" fillId="0" borderId="8" xfId="0" applyNumberFormat="1" applyBorder="1" applyAlignment="1">
      <alignment wrapText="1"/>
    </xf>
    <xf numFmtId="0" fontId="0" fillId="0" borderId="9" xfId="0" applyBorder="1" applyAlignment="1">
      <alignment wrapText="1"/>
    </xf>
    <xf numFmtId="164" fontId="0" fillId="0" borderId="6" xfId="0" applyNumberFormat="1" applyBorder="1"/>
    <xf numFmtId="164" fontId="0" fillId="0" borderId="9" xfId="0" applyNumberFormat="1" applyBorder="1"/>
    <xf numFmtId="0" fontId="5" fillId="3" borderId="0" xfId="0" applyFont="1" applyFill="1" applyAlignment="1">
      <alignment horizontal="left" vertical="center"/>
    </xf>
    <xf numFmtId="0" fontId="4" fillId="4" borderId="11" xfId="0" applyFont="1" applyFill="1" applyBorder="1" applyAlignment="1">
      <alignment horizontal="center" vertical="center" wrapText="1"/>
    </xf>
    <xf numFmtId="0" fontId="0" fillId="0" borderId="11" xfId="0" applyBorder="1"/>
    <xf numFmtId="166" fontId="0" fillId="0" borderId="11" xfId="0" applyNumberFormat="1" applyBorder="1"/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wrapText="1"/>
    </xf>
    <xf numFmtId="0" fontId="0" fillId="0" borderId="11" xfId="0" applyBorder="1" applyAlignment="1">
      <alignment vertical="top" wrapText="1"/>
    </xf>
    <xf numFmtId="164" fontId="0" fillId="0" borderId="11" xfId="0" applyNumberFormat="1" applyBorder="1"/>
    <xf numFmtId="165" fontId="9" fillId="0" borderId="11" xfId="0" applyNumberFormat="1" applyFont="1" applyBorder="1"/>
    <xf numFmtId="164" fontId="9" fillId="0" borderId="11" xfId="0" applyNumberFormat="1" applyFont="1" applyBorder="1"/>
    <xf numFmtId="166" fontId="9" fillId="0" borderId="11" xfId="0" applyNumberFormat="1" applyFont="1" applyBorder="1"/>
    <xf numFmtId="1" fontId="9" fillId="0" borderId="11" xfId="0" applyNumberFormat="1" applyFont="1" applyBorder="1"/>
    <xf numFmtId="0" fontId="9" fillId="0" borderId="4" xfId="0" applyFont="1" applyBorder="1" applyAlignment="1">
      <alignment wrapText="1"/>
    </xf>
    <xf numFmtId="167" fontId="9" fillId="0" borderId="5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164" fontId="9" fillId="0" borderId="5" xfId="0" applyNumberFormat="1" applyFont="1" applyBorder="1" applyAlignment="1">
      <alignment wrapText="1"/>
    </xf>
    <xf numFmtId="0" fontId="9" fillId="0" borderId="7" xfId="0" applyFont="1" applyBorder="1" applyAlignment="1">
      <alignment wrapText="1"/>
    </xf>
    <xf numFmtId="167" fontId="9" fillId="0" borderId="8" xfId="0" applyNumberFormat="1" applyFont="1" applyBorder="1" applyAlignment="1">
      <alignment wrapText="1"/>
    </xf>
    <xf numFmtId="0" fontId="9" fillId="0" borderId="8" xfId="0" applyFont="1" applyBorder="1" applyAlignment="1">
      <alignment wrapText="1"/>
    </xf>
    <xf numFmtId="166" fontId="9" fillId="0" borderId="8" xfId="0" applyNumberFormat="1" applyFont="1" applyBorder="1" applyAlignment="1">
      <alignment wrapText="1"/>
    </xf>
    <xf numFmtId="164" fontId="9" fillId="0" borderId="8" xfId="0" applyNumberFormat="1" applyFont="1" applyBorder="1" applyAlignment="1">
      <alignment wrapText="1"/>
    </xf>
    <xf numFmtId="166" fontId="0" fillId="0" borderId="11" xfId="0" applyNumberFormat="1" applyBorder="1" applyAlignment="1">
      <alignment wrapText="1"/>
    </xf>
    <xf numFmtId="164" fontId="0" fillId="0" borderId="11" xfId="0" applyNumberFormat="1" applyBorder="1" applyAlignment="1">
      <alignment wrapText="1"/>
    </xf>
    <xf numFmtId="167" fontId="0" fillId="0" borderId="11" xfId="0" applyNumberFormat="1" applyBorder="1" applyAlignment="1">
      <alignment wrapText="1"/>
    </xf>
    <xf numFmtId="0" fontId="0" fillId="5" borderId="10" xfId="0" applyFill="1" applyBorder="1"/>
    <xf numFmtId="0" fontId="2" fillId="3" borderId="0" xfId="0" applyFont="1" applyFill="1" applyAlignment="1">
      <alignment vertical="center"/>
    </xf>
    <xf numFmtId="0" fontId="1" fillId="3" borderId="0" xfId="0" applyFont="1" applyFill="1"/>
    <xf numFmtId="0" fontId="3" fillId="3" borderId="0" xfId="0" applyFont="1" applyFill="1" applyAlignment="1">
      <alignment wrapText="1"/>
    </xf>
    <xf numFmtId="0" fontId="0" fillId="3" borderId="0" xfId="0" applyFill="1"/>
    <xf numFmtId="0" fontId="5" fillId="3" borderId="0" xfId="0" applyFont="1" applyFill="1" applyAlignment="1">
      <alignment horizontal="left" vertical="center"/>
    </xf>
    <xf numFmtId="0" fontId="0" fillId="0" borderId="0" xfId="0"/>
    <xf numFmtId="0" fontId="5" fillId="3" borderId="10" xfId="0" applyFont="1" applyFill="1" applyBorder="1" applyAlignment="1">
      <alignment horizontal="left" vertical="center"/>
    </xf>
    <xf numFmtId="0" fontId="0" fillId="0" borderId="10" xfId="0" applyBorder="1"/>
    <xf numFmtId="0" fontId="5" fillId="3" borderId="1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wrapText="1"/>
    </xf>
    <xf numFmtId="0" fontId="1" fillId="3" borderId="0" xfId="0" applyFont="1" applyFill="1" applyAlignment="1">
      <alignment wrapText="1"/>
    </xf>
    <xf numFmtId="0" fontId="7" fillId="3" borderId="0" xfId="0" applyFont="1" applyFill="1"/>
    <xf numFmtId="166" fontId="8" fillId="2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0" fillId="0" borderId="4" xfId="0" applyBorder="1"/>
    <xf numFmtId="166" fontId="0" fillId="0" borderId="5" xfId="0" applyNumberFormat="1" applyBorder="1"/>
    <xf numFmtId="0" fontId="0" fillId="0" borderId="11" xfId="0" applyFont="1" applyBorder="1"/>
    <xf numFmtId="0" fontId="10" fillId="3" borderId="0" xfId="0" applyFont="1" applyFill="1" applyAlignment="1">
      <alignment horizontal="center"/>
    </xf>
    <xf numFmtId="0" fontId="11" fillId="0" borderId="0" xfId="0" applyFont="1"/>
  </cellXfs>
  <cellStyles count="1">
    <cellStyle name="Normal" xfId="0" builtinId="0"/>
  </cellStyles>
  <dxfs count="31">
    <dxf>
      <font>
        <b/>
        <color rgb="FF7A2E1F"/>
      </font>
      <fill>
        <patternFill patternType="solid">
          <bgColor rgb="FFF1E4D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7A2E1F"/>
      </font>
      <fill>
        <patternFill patternType="solid">
          <bgColor rgb="FFF1E4D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7A2E1F"/>
      </font>
      <fill>
        <patternFill patternType="solid">
          <bgColor rgb="FFF1E4D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theme="4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Savings Opportunity</c:v>
          </c:tx>
          <c:spPr>
            <a:solidFill>
              <a:srgbClr val="000000"/>
            </a:solidFill>
          </c:spPr>
          <c:invertIfNegative val="1"/>
          <c:dLbls>
            <c:numFmt formatCode="#,##0.#,&quot;K&quot;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Dashboard!$B$12:$B$17</c:f>
              <c:strCache>
                <c:ptCount val="6"/>
                <c:pt idx="0">
                  <c:v>Freight &amp; Logistics</c:v>
                </c:pt>
                <c:pt idx="1">
                  <c:v>IT Software</c:v>
                </c:pt>
                <c:pt idx="2">
                  <c:v>Packaging</c:v>
                </c:pt>
                <c:pt idx="3">
                  <c:v>Telecom</c:v>
                </c:pt>
                <c:pt idx="4">
                  <c:v>Raw Materials</c:v>
                </c:pt>
                <c:pt idx="5">
                  <c:v>Facilities</c:v>
                </c:pt>
              </c:strCache>
            </c:strRef>
          </c:cat>
          <c:val>
            <c:numRef>
              <c:f>Dashboard!$F$12:$F$17</c:f>
              <c:numCache>
                <c:formatCode>\$#,##0</c:formatCode>
                <c:ptCount val="6"/>
                <c:pt idx="0">
                  <c:v>107802.40000000001</c:v>
                </c:pt>
                <c:pt idx="1">
                  <c:v>50606.400000000001</c:v>
                </c:pt>
                <c:pt idx="2">
                  <c:v>33369</c:v>
                </c:pt>
                <c:pt idx="3">
                  <c:v>28408.5</c:v>
                </c:pt>
                <c:pt idx="4">
                  <c:v>28096.5</c:v>
                </c:pt>
                <c:pt idx="5">
                  <c:v>27582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890-194E-9B79-B60EF2460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spPr>
          <a:ln/>
        </c:sp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out"/>
        <c:minorTickMark val="none"/>
        <c:tickLblPos val="nextTo"/>
        <c:spPr>
          <a:ln/>
        </c:sp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Run-Rate EBITDA</c:v>
          </c:tx>
          <c:spPr>
            <a:solidFill>
              <a:srgbClr val="000000"/>
            </a:solidFill>
          </c:spPr>
          <c:invertIfNegative val="1"/>
          <c:dLbls>
            <c:numFmt formatCode="#,##0.#,&quot;K&quot;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Dashboard!$I$12:$I$15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At Risk</c:v>
                </c:pt>
                <c:pt idx="3">
                  <c:v>Complete</c:v>
                </c:pt>
              </c:strCache>
            </c:strRef>
          </c:cat>
          <c:val>
            <c:numRef>
              <c:f>Dashboard!$K$12:$K$15</c:f>
              <c:numCache>
                <c:formatCode>\$#,##0</c:formatCode>
                <c:ptCount val="4"/>
                <c:pt idx="0">
                  <c:v>60344.160000000003</c:v>
                </c:pt>
                <c:pt idx="1">
                  <c:v>129116.76</c:v>
                </c:pt>
                <c:pt idx="2">
                  <c:v>0</c:v>
                </c:pt>
                <c:pt idx="3">
                  <c:v>22726.800000000003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FC8-7743-82D4-BE81465AC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/>
        </c:sp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out"/>
        <c:minorTickMark val="none"/>
        <c:tickLblPos val="nextTo"/>
        <c:spPr>
          <a:ln/>
        </c:sp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50800</xdr:rowOff>
    </xdr:from>
    <xdr:ext cx="7594600" cy="38862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254000</xdr:colOff>
      <xdr:row>18</xdr:row>
      <xdr:rowOff>50800</xdr:rowOff>
    </xdr:from>
    <xdr:ext cx="6946900" cy="3873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ndDataTable" displayName="SpendDataTable" ref="A4:R304">
  <tableColumns count="18">
    <tableColumn id="1" xr3:uid="{00000000-0010-0000-0000-000001000000}" name="Invoice ID" dataDxfId="30"/>
    <tableColumn id="2" xr3:uid="{00000000-0010-0000-0000-000002000000}" name="Invoice Date" dataDxfId="29"/>
    <tableColumn id="3" xr3:uid="{00000000-0010-0000-0000-000003000000}" name="Vendor" dataDxfId="28"/>
    <tableColumn id="4" xr3:uid="{00000000-0010-0000-0000-000004000000}" name="Category" dataDxfId="27"/>
    <tableColumn id="5" xr3:uid="{00000000-0010-0000-0000-000005000000}" name="Spend Type" dataDxfId="26"/>
    <tableColumn id="6" xr3:uid="{00000000-0010-0000-0000-000006000000}" name="Site" dataDxfId="25"/>
    <tableColumn id="7" xr3:uid="{00000000-0010-0000-0000-000007000000}" name="Business Unit" dataDxfId="24"/>
    <tableColumn id="8" xr3:uid="{00000000-0010-0000-0000-000008000000}" name="Spend" dataDxfId="23"/>
    <tableColumn id="9" xr3:uid="{00000000-0010-0000-0000-000009000000}" name="Under Contract?" dataDxfId="22"/>
    <tableColumn id="10" xr3:uid="{00000000-0010-0000-0000-00000A000000}" name="Preferred Vendor?" dataDxfId="21"/>
    <tableColumn id="11" xr3:uid="{00000000-0010-0000-0000-00000B000000}" name="Addressable?" dataDxfId="20"/>
    <tableColumn id="12" xr3:uid="{00000000-0010-0000-0000-00000C000000}" name="Default Savings Rate" dataDxfId="19"/>
    <tableColumn id="13" xr3:uid="{00000000-0010-0000-0000-00000D000000}" name="Owner" dataDxfId="18"/>
    <tableColumn id="14" xr3:uid="{00000000-0010-0000-0000-00000E000000}" name="Maverick?"/>
    <tableColumn id="15" xr3:uid="{00000000-0010-0000-0000-00000F000000}" name="Tail Vendor?"/>
    <tableColumn id="16" xr3:uid="{00000000-0010-0000-0000-000010000000}" name="Savings Opportunity"/>
    <tableColumn id="17" xr3:uid="{00000000-0010-0000-0000-000011000000}" name="Savings Type"/>
    <tableColumn id="18" xr3:uid="{00000000-0010-0000-0000-000012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vingsPipelineTable" displayName="SavingsPipelineTable" ref="A4:L12">
  <tableColumns count="12">
    <tableColumn id="1" xr3:uid="{00000000-0010-0000-0100-000001000000}" name="ID" dataDxfId="17"/>
    <tableColumn id="2" xr3:uid="{00000000-0010-0000-0100-000002000000}" name="Opportunity" dataDxfId="16"/>
    <tableColumn id="3" xr3:uid="{00000000-0010-0000-0100-000003000000}" name="Category" dataDxfId="15"/>
    <tableColumn id="4" xr3:uid="{00000000-0010-0000-0100-000004000000}" name="Owner" dataDxfId="14"/>
    <tableColumn id="5" xr3:uid="{00000000-0010-0000-0100-000005000000}" name="Lever" dataDxfId="13"/>
    <tableColumn id="6" xr3:uid="{00000000-0010-0000-0100-000006000000}" name="Baseline Spend" dataDxfId="12"/>
    <tableColumn id="7" xr3:uid="{00000000-0010-0000-0100-000007000000}" name="Savings Rate" dataDxfId="11"/>
    <tableColumn id="8" xr3:uid="{00000000-0010-0000-0100-000008000000}" name="Gross Savings" dataDxfId="10"/>
    <tableColumn id="9" xr3:uid="{00000000-0010-0000-0100-000009000000}" name="Realization %" dataDxfId="9"/>
    <tableColumn id="10" xr3:uid="{00000000-0010-0000-0100-00000A000000}" name="Run-Rate EBITDA" dataDxfId="8"/>
    <tableColumn id="11" xr3:uid="{00000000-0010-0000-0100-00000B000000}" name="Status" dataDxfId="7"/>
    <tableColumn id="12" xr3:uid="{00000000-0010-0000-0100-00000C000000}" name="Target Date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showGridLines="0" tabSelected="1" workbookViewId="0">
      <selection activeCell="R38" sqref="R38"/>
    </sheetView>
  </sheetViews>
  <sheetFormatPr baseColWidth="10" defaultColWidth="8.83203125" defaultRowHeight="14"/>
  <cols>
    <col min="1" max="1" width="6" customWidth="1"/>
    <col min="2" max="2" width="24" customWidth="1"/>
    <col min="3" max="5" width="16" customWidth="1"/>
    <col min="6" max="6" width="18" customWidth="1"/>
    <col min="7" max="7" width="10" customWidth="1"/>
    <col min="8" max="8" width="4" customWidth="1"/>
    <col min="9" max="9" width="18" customWidth="1"/>
    <col min="10" max="11" width="16" customWidth="1"/>
    <col min="12" max="13" width="10" customWidth="1"/>
  </cols>
  <sheetData>
    <row r="1" spans="1:13" ht="48" customHeight="1">
      <c r="A1" s="28"/>
      <c r="B1" s="64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32" customHeight="1">
      <c r="A2" s="28"/>
      <c r="B2" s="66" t="s">
        <v>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>
      <c r="A3" s="2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9.25" customHeight="1">
      <c r="A4" s="28"/>
      <c r="B4" s="59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</row>
    <row r="5" spans="1:13">
      <c r="A5" s="28"/>
      <c r="B5" s="67">
        <f>EBITDA_Validation!C6</f>
        <v>6975760</v>
      </c>
      <c r="C5" s="68"/>
      <c r="D5" s="67">
        <f>EBITDA_Validation!C7</f>
        <v>3502330</v>
      </c>
      <c r="E5" s="68"/>
      <c r="F5" s="67">
        <f>EBITDA_Validation!C8</f>
        <v>302826.99999999994</v>
      </c>
      <c r="G5" s="68"/>
      <c r="H5" s="67">
        <f>EBITDA_Validation!C11</f>
        <v>212187.72000000003</v>
      </c>
      <c r="I5" s="68"/>
      <c r="J5" s="67">
        <f>EBITDA_Validation!C12</f>
        <v>2121877.2000000002</v>
      </c>
      <c r="K5" s="68"/>
      <c r="L5" s="59"/>
      <c r="M5" s="60"/>
    </row>
    <row r="6" spans="1:13">
      <c r="A6" s="28"/>
      <c r="B6" s="68"/>
      <c r="C6" s="68"/>
      <c r="D6" s="68"/>
      <c r="E6" s="68"/>
      <c r="F6" s="68"/>
      <c r="G6" s="68"/>
      <c r="H6" s="68"/>
      <c r="I6" s="68"/>
      <c r="J6" s="68"/>
      <c r="K6" s="68"/>
      <c r="L6" s="59"/>
      <c r="M6" s="60"/>
    </row>
    <row r="7" spans="1:13">
      <c r="A7" s="28"/>
      <c r="B7" s="68"/>
      <c r="C7" s="68"/>
      <c r="D7" s="68"/>
      <c r="E7" s="68"/>
      <c r="F7" s="68"/>
      <c r="G7" s="68"/>
      <c r="H7" s="68"/>
      <c r="I7" s="68"/>
      <c r="J7" s="68"/>
      <c r="K7" s="68"/>
      <c r="L7" s="59"/>
      <c r="M7" s="60"/>
    </row>
    <row r="8" spans="1:13">
      <c r="A8" s="28"/>
      <c r="B8" s="72" t="s">
        <v>3</v>
      </c>
      <c r="C8" s="73"/>
      <c r="D8" s="72" t="s">
        <v>4</v>
      </c>
      <c r="E8" s="73"/>
      <c r="F8" s="72" t="s">
        <v>5</v>
      </c>
      <c r="G8" s="73"/>
      <c r="H8" s="72" t="s">
        <v>6</v>
      </c>
      <c r="I8" s="73"/>
      <c r="J8" s="72" t="s">
        <v>7</v>
      </c>
      <c r="K8" s="73"/>
      <c r="L8" s="59"/>
      <c r="M8" s="60"/>
    </row>
    <row r="10" spans="1:13" ht="29.25" customHeight="1">
      <c r="B10" s="61" t="s">
        <v>8</v>
      </c>
      <c r="C10" s="62"/>
      <c r="D10" s="62"/>
      <c r="E10" s="62"/>
      <c r="F10" s="62"/>
      <c r="G10" s="62"/>
      <c r="I10" s="63" t="s">
        <v>9</v>
      </c>
      <c r="J10" s="63"/>
      <c r="K10" s="63"/>
    </row>
    <row r="11" spans="1:13">
      <c r="B11" s="32" t="s">
        <v>10</v>
      </c>
      <c r="C11" s="32" t="s">
        <v>3</v>
      </c>
      <c r="D11" s="32" t="s">
        <v>4</v>
      </c>
      <c r="E11" s="32" t="s">
        <v>11</v>
      </c>
      <c r="F11" s="32" t="s">
        <v>12</v>
      </c>
      <c r="G11" s="32" t="s">
        <v>13</v>
      </c>
      <c r="I11" s="29" t="s">
        <v>14</v>
      </c>
      <c r="J11" s="29" t="s">
        <v>15</v>
      </c>
      <c r="K11" s="29" t="s">
        <v>16</v>
      </c>
    </row>
    <row r="12" spans="1:13">
      <c r="B12" s="30" t="s">
        <v>17</v>
      </c>
      <c r="C12" s="31">
        <f>SUMIFS(Spend_Data!$H:$H,Spend_Data!$D:$D,B12)</f>
        <v>1347530</v>
      </c>
      <c r="D12" s="31">
        <f>SUMIFS(Spend_Data!$H:$H,Spend_Data!$D:$D,B12,Spend_Data!$K:$K,"Yes")</f>
        <v>1347530</v>
      </c>
      <c r="E12" s="31">
        <f>SUMIFS(Spend_Data!$H:$H,Spend_Data!$D:$D,B12,Spend_Data!$N:$N,"Yes")</f>
        <v>860720</v>
      </c>
      <c r="F12" s="31">
        <f>SUMIFS(Spend_Data!$P:$P,Spend_Data!$D:$D,B12)</f>
        <v>107802.40000000001</v>
      </c>
      <c r="G12" s="30" t="str">
        <f t="shared" ref="G12:G17" si="0">IF(F12&gt;=50000,"High",IF(F12&gt;=15000,"Medium","Low"))</f>
        <v>High</v>
      </c>
      <c r="I12" s="30" t="s">
        <v>18</v>
      </c>
      <c r="J12" s="31">
        <f>SUMIFS(Savings_Pipeline!$H:$H,Savings_Pipeline!$K:$K,I12)</f>
        <v>75430.2</v>
      </c>
      <c r="K12" s="31">
        <f>SUMIFS(Savings_Pipeline!$J:$J,Savings_Pipeline!$K:$K,I12)</f>
        <v>60344.160000000003</v>
      </c>
    </row>
    <row r="13" spans="1:13">
      <c r="B13" s="30" t="s">
        <v>19</v>
      </c>
      <c r="C13" s="31">
        <f>SUMIFS(Spend_Data!$H:$H,Spend_Data!$D:$D,B13)</f>
        <v>421720</v>
      </c>
      <c r="D13" s="31">
        <f>SUMIFS(Spend_Data!$H:$H,Spend_Data!$D:$D,B13,Spend_Data!$K:$K,"Yes")</f>
        <v>421720</v>
      </c>
      <c r="E13" s="31">
        <f>SUMIFS(Spend_Data!$H:$H,Spend_Data!$D:$D,B13,Spend_Data!$N:$N,"Yes")</f>
        <v>277970</v>
      </c>
      <c r="F13" s="31">
        <f>SUMIFS(Spend_Data!$P:$P,Spend_Data!$D:$D,B13)</f>
        <v>50606.400000000001</v>
      </c>
      <c r="G13" s="30" t="str">
        <f t="shared" si="0"/>
        <v>High</v>
      </c>
      <c r="I13" s="30" t="s">
        <v>20</v>
      </c>
      <c r="J13" s="31">
        <f>SUMIFS(Savings_Pipeline!$H:$H,Savings_Pipeline!$K:$K,I13)</f>
        <v>161395.95000000001</v>
      </c>
      <c r="K13" s="31">
        <f>SUMIFS(Savings_Pipeline!$J:$J,Savings_Pipeline!$K:$K,I13)</f>
        <v>129116.76</v>
      </c>
    </row>
    <row r="14" spans="1:13">
      <c r="B14" s="30" t="s">
        <v>21</v>
      </c>
      <c r="C14" s="31">
        <f>SUMIFS(Spend_Data!$H:$H,Spend_Data!$D:$D,B14)</f>
        <v>556150</v>
      </c>
      <c r="D14" s="31">
        <f>SUMIFS(Spend_Data!$H:$H,Spend_Data!$D:$D,B14,Spend_Data!$K:$K,"Yes")</f>
        <v>556150</v>
      </c>
      <c r="E14" s="31">
        <f>SUMIFS(Spend_Data!$H:$H,Spend_Data!$D:$D,B14,Spend_Data!$N:$N,"Yes")</f>
        <v>317290</v>
      </c>
      <c r="F14" s="31">
        <f>SUMIFS(Spend_Data!$P:$P,Spend_Data!$D:$D,B14)</f>
        <v>33369</v>
      </c>
      <c r="G14" s="71" t="str">
        <f t="shared" si="0"/>
        <v>Medium</v>
      </c>
      <c r="I14" s="30" t="s">
        <v>22</v>
      </c>
      <c r="J14" s="31">
        <f>SUMIFS(Savings_Pipeline!$H:$H,Savings_Pipeline!$K:$K,I14)</f>
        <v>0</v>
      </c>
      <c r="K14" s="31">
        <f>SUMIFS(Savings_Pipeline!$J:$J,Savings_Pipeline!$K:$K,I14)</f>
        <v>0</v>
      </c>
    </row>
    <row r="15" spans="1:13">
      <c r="B15" s="30" t="s">
        <v>23</v>
      </c>
      <c r="C15" s="31">
        <f>SUMIFS(Spend_Data!$H:$H,Spend_Data!$D:$D,B15)</f>
        <v>189390</v>
      </c>
      <c r="D15" s="31">
        <f>SUMIFS(Spend_Data!$H:$H,Spend_Data!$D:$D,B15,Spend_Data!$K:$K,"Yes")</f>
        <v>189390</v>
      </c>
      <c r="E15" s="31">
        <f>SUMIFS(Spend_Data!$H:$H,Spend_Data!$D:$D,B15,Spend_Data!$N:$N,"Yes")</f>
        <v>128200</v>
      </c>
      <c r="F15" s="31">
        <f>SUMIFS(Spend_Data!$P:$P,Spend_Data!$D:$D,B15)</f>
        <v>28408.5</v>
      </c>
      <c r="G15" s="71" t="str">
        <f t="shared" si="0"/>
        <v>Medium</v>
      </c>
      <c r="I15" s="30" t="s">
        <v>24</v>
      </c>
      <c r="J15" s="31">
        <f>SUMIFS(Savings_Pipeline!$H:$H,Savings_Pipeline!$K:$K,I15)</f>
        <v>28408.5</v>
      </c>
      <c r="K15" s="31">
        <f>SUMIFS(Savings_Pipeline!$J:$J,Savings_Pipeline!$K:$K,I15)</f>
        <v>22726.800000000003</v>
      </c>
    </row>
    <row r="16" spans="1:13">
      <c r="B16" s="30" t="s">
        <v>25</v>
      </c>
      <c r="C16" s="31">
        <f>SUMIFS(Spend_Data!$H:$H,Spend_Data!$D:$D,B16)</f>
        <v>1824420</v>
      </c>
      <c r="D16" s="31">
        <f>SUMIFS(Spend_Data!$H:$H,Spend_Data!$D:$D,B16,Spend_Data!$K:$K,"Yes")</f>
        <v>561930</v>
      </c>
      <c r="E16" s="31">
        <f>SUMIFS(Spend_Data!$H:$H,Spend_Data!$D:$D,B16,Spend_Data!$N:$N,"Yes")</f>
        <v>666330</v>
      </c>
      <c r="F16" s="31">
        <f>SUMIFS(Spend_Data!$P:$P,Spend_Data!$D:$D,B16)</f>
        <v>28096.5</v>
      </c>
      <c r="G16" s="71" t="str">
        <f t="shared" si="0"/>
        <v>Medium</v>
      </c>
    </row>
    <row r="17" spans="2:7">
      <c r="B17" s="30" t="s">
        <v>26</v>
      </c>
      <c r="C17" s="31">
        <f>SUMIFS(Spend_Data!$H:$H,Spend_Data!$D:$D,B17)</f>
        <v>275820</v>
      </c>
      <c r="D17" s="31">
        <f>SUMIFS(Spend_Data!$H:$H,Spend_Data!$D:$D,B17,Spend_Data!$K:$K,"Yes")</f>
        <v>275820</v>
      </c>
      <c r="E17" s="31">
        <f>SUMIFS(Spend_Data!$H:$H,Spend_Data!$D:$D,B17,Spend_Data!$N:$N,"Yes")</f>
        <v>183980</v>
      </c>
      <c r="F17" s="31">
        <f>SUMIFS(Spend_Data!$P:$P,Spend_Data!$D:$D,B17)</f>
        <v>27582</v>
      </c>
      <c r="G17" s="71" t="str">
        <f t="shared" si="0"/>
        <v>Medium</v>
      </c>
    </row>
  </sheetData>
  <mergeCells count="19">
    <mergeCell ref="B1:M1"/>
    <mergeCell ref="B2:M2"/>
    <mergeCell ref="B4:M4"/>
    <mergeCell ref="B5:C7"/>
    <mergeCell ref="B8:C8"/>
    <mergeCell ref="D5:E7"/>
    <mergeCell ref="D8:E8"/>
    <mergeCell ref="F5:G7"/>
    <mergeCell ref="F8:G8"/>
    <mergeCell ref="H5:I7"/>
    <mergeCell ref="H8:I8"/>
    <mergeCell ref="J5:K7"/>
    <mergeCell ref="J8:K8"/>
    <mergeCell ref="B10:G10"/>
    <mergeCell ref="L5:M5"/>
    <mergeCell ref="L6:M6"/>
    <mergeCell ref="L7:M7"/>
    <mergeCell ref="L8:M8"/>
    <mergeCell ref="I10:K10"/>
  </mergeCells>
  <conditionalFormatting sqref="G12:G17">
    <cfRule type="expression" dxfId="1" priority="2">
      <formula>G12="Medium"</formula>
    </cfRule>
    <cfRule type="expression" dxfId="2" priority="1">
      <formula>G12="High"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showGridLines="0" workbookViewId="0">
      <selection activeCell="C15" sqref="C15"/>
    </sheetView>
  </sheetViews>
  <sheetFormatPr baseColWidth="10" defaultColWidth="8.83203125" defaultRowHeight="14"/>
  <cols>
    <col min="1" max="1" width="8" customWidth="1"/>
    <col min="2" max="2" width="34" customWidth="1"/>
    <col min="3" max="3" width="70" customWidth="1"/>
  </cols>
  <sheetData>
    <row r="1" spans="1:26" ht="45.25" customHeight="1">
      <c r="A1" s="55" t="s">
        <v>27</v>
      </c>
      <c r="B1" s="56"/>
      <c r="C1" s="56"/>
      <c r="D1" s="56"/>
      <c r="E1" s="56"/>
      <c r="F1" s="56"/>
      <c r="G1" s="56"/>
      <c r="H1" s="5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57" t="s">
        <v>28</v>
      </c>
      <c r="B2" s="58"/>
      <c r="C2" s="58"/>
      <c r="D2" s="58"/>
      <c r="E2" s="58"/>
      <c r="F2" s="58"/>
      <c r="G2" s="58"/>
      <c r="H2" s="5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29</v>
      </c>
      <c r="B4" s="4" t="s">
        <v>30</v>
      </c>
      <c r="C4" s="5" t="s">
        <v>31</v>
      </c>
    </row>
    <row r="5" spans="1:26" ht="15">
      <c r="A5" s="35">
        <v>1</v>
      </c>
      <c r="B5" s="35" t="s">
        <v>32</v>
      </c>
      <c r="C5" s="35" t="s">
        <v>33</v>
      </c>
    </row>
    <row r="6" spans="1:26" ht="30">
      <c r="A6" s="35">
        <v>2</v>
      </c>
      <c r="B6" s="35" t="s">
        <v>34</v>
      </c>
      <c r="C6" s="35" t="s">
        <v>35</v>
      </c>
    </row>
    <row r="7" spans="1:26" ht="30">
      <c r="A7" s="35">
        <v>3</v>
      </c>
      <c r="B7" s="35" t="s">
        <v>36</v>
      </c>
      <c r="C7" s="35" t="s">
        <v>37</v>
      </c>
    </row>
    <row r="8" spans="1:26" ht="30">
      <c r="A8" s="35">
        <v>4</v>
      </c>
      <c r="B8" s="35" t="s">
        <v>38</v>
      </c>
      <c r="C8" s="35" t="s">
        <v>39</v>
      </c>
    </row>
    <row r="9" spans="1:26" ht="30">
      <c r="A9" s="35">
        <v>5</v>
      </c>
      <c r="B9" s="35" t="s">
        <v>40</v>
      </c>
      <c r="C9" s="35" t="s">
        <v>41</v>
      </c>
    </row>
    <row r="10" spans="1:26" ht="30">
      <c r="A10" s="35">
        <v>6</v>
      </c>
      <c r="B10" s="35" t="s">
        <v>42</v>
      </c>
      <c r="C10" s="35" t="s">
        <v>43</v>
      </c>
    </row>
    <row r="11" spans="1:26" ht="30">
      <c r="A11" s="35">
        <v>7</v>
      </c>
      <c r="B11" s="35" t="s">
        <v>44</v>
      </c>
      <c r="C11" s="35" t="s">
        <v>45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"/>
  <sheetViews>
    <sheetView showGridLines="0" workbookViewId="0">
      <selection activeCell="C34" sqref="C34"/>
    </sheetView>
  </sheetViews>
  <sheetFormatPr baseColWidth="10" defaultColWidth="8.83203125" defaultRowHeight="14"/>
  <cols>
    <col min="1" max="1" width="54.6640625" customWidth="1"/>
    <col min="2" max="2" width="7.6640625" customWidth="1"/>
    <col min="3" max="3" width="54.83203125" customWidth="1"/>
    <col min="4" max="4" width="36.1640625" customWidth="1"/>
    <col min="5" max="5" width="48.33203125" customWidth="1"/>
  </cols>
  <sheetData>
    <row r="1" spans="1:26" ht="45.25" customHeight="1">
      <c r="A1" s="55" t="s">
        <v>46</v>
      </c>
      <c r="B1" s="56"/>
      <c r="C1" s="56"/>
      <c r="D1" s="56"/>
      <c r="E1" s="56"/>
      <c r="F1" s="56"/>
      <c r="G1" s="56"/>
      <c r="H1" s="5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57" t="s">
        <v>47</v>
      </c>
      <c r="B2" s="58"/>
      <c r="C2" s="58"/>
      <c r="D2" s="58"/>
      <c r="E2" s="58"/>
      <c r="F2" s="58"/>
      <c r="G2" s="58"/>
      <c r="H2" s="5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48</v>
      </c>
      <c r="B4" s="4" t="s">
        <v>49</v>
      </c>
      <c r="C4" s="5" t="s">
        <v>31</v>
      </c>
    </row>
    <row r="5" spans="1:26">
      <c r="A5" s="30" t="s">
        <v>50</v>
      </c>
      <c r="B5" s="37">
        <v>10</v>
      </c>
      <c r="C5" s="30" t="s">
        <v>51</v>
      </c>
    </row>
    <row r="6" spans="1:26">
      <c r="A6" s="30" t="s">
        <v>52</v>
      </c>
      <c r="B6" s="38">
        <v>0.8</v>
      </c>
      <c r="C6" s="30" t="s">
        <v>53</v>
      </c>
    </row>
    <row r="7" spans="1:26">
      <c r="A7" s="30" t="s">
        <v>54</v>
      </c>
      <c r="B7" s="38">
        <v>0.1</v>
      </c>
      <c r="C7" s="30" t="s">
        <v>55</v>
      </c>
    </row>
    <row r="8" spans="1:26">
      <c r="A8" s="30" t="s">
        <v>56</v>
      </c>
      <c r="B8" s="38">
        <v>0.6</v>
      </c>
      <c r="C8" s="30" t="s">
        <v>57</v>
      </c>
    </row>
    <row r="9" spans="1:26">
      <c r="A9" s="30" t="s">
        <v>58</v>
      </c>
      <c r="B9" s="39">
        <v>50000</v>
      </c>
      <c r="C9" s="30" t="s">
        <v>59</v>
      </c>
    </row>
    <row r="10" spans="1:26">
      <c r="A10" s="30" t="s">
        <v>60</v>
      </c>
      <c r="B10" s="40">
        <v>12</v>
      </c>
      <c r="C10" s="30" t="s">
        <v>61</v>
      </c>
    </row>
    <row r="12" spans="1:26" ht="29.25" customHeight="1">
      <c r="A12" s="59" t="s">
        <v>62</v>
      </c>
      <c r="B12" s="60"/>
      <c r="C12" s="60"/>
      <c r="D12" s="60"/>
      <c r="E12" s="60"/>
      <c r="F12" s="60"/>
      <c r="G12" s="60"/>
      <c r="H12" s="60"/>
    </row>
    <row r="13" spans="1:26" ht="26">
      <c r="A13" s="3" t="s">
        <v>10</v>
      </c>
      <c r="B13" s="4" t="s">
        <v>63</v>
      </c>
      <c r="C13" s="4" t="s">
        <v>64</v>
      </c>
      <c r="D13" s="4" t="s">
        <v>65</v>
      </c>
      <c r="E13" s="5" t="s">
        <v>66</v>
      </c>
    </row>
    <row r="14" spans="1:26">
      <c r="A14" s="30" t="s">
        <v>17</v>
      </c>
      <c r="B14" s="30" t="s">
        <v>67</v>
      </c>
      <c r="C14" s="36">
        <v>0.08</v>
      </c>
      <c r="D14" s="30" t="s">
        <v>68</v>
      </c>
      <c r="E14" s="30" t="s">
        <v>69</v>
      </c>
    </row>
    <row r="15" spans="1:26">
      <c r="A15" s="30" t="s">
        <v>25</v>
      </c>
      <c r="B15" s="30" t="s">
        <v>67</v>
      </c>
      <c r="C15" s="36">
        <v>0.05</v>
      </c>
      <c r="D15" s="30" t="s">
        <v>70</v>
      </c>
      <c r="E15" s="30" t="s">
        <v>69</v>
      </c>
    </row>
    <row r="16" spans="1:26">
      <c r="A16" s="30" t="s">
        <v>21</v>
      </c>
      <c r="B16" s="30" t="s">
        <v>67</v>
      </c>
      <c r="C16" s="36">
        <v>0.06</v>
      </c>
      <c r="D16" s="30" t="s">
        <v>71</v>
      </c>
      <c r="E16" s="30" t="s">
        <v>69</v>
      </c>
    </row>
    <row r="17" spans="1:5">
      <c r="A17" s="30" t="s">
        <v>19</v>
      </c>
      <c r="B17" s="30" t="s">
        <v>72</v>
      </c>
      <c r="C17" s="36">
        <v>0.12</v>
      </c>
      <c r="D17" s="30" t="s">
        <v>73</v>
      </c>
      <c r="E17" s="30" t="s">
        <v>69</v>
      </c>
    </row>
    <row r="18" spans="1:5">
      <c r="A18" s="30" t="s">
        <v>23</v>
      </c>
      <c r="B18" s="30" t="s">
        <v>72</v>
      </c>
      <c r="C18" s="36">
        <v>0.15</v>
      </c>
      <c r="D18" s="30" t="s">
        <v>74</v>
      </c>
      <c r="E18" s="30" t="s">
        <v>69</v>
      </c>
    </row>
    <row r="19" spans="1:5">
      <c r="A19" s="30" t="s">
        <v>26</v>
      </c>
      <c r="B19" s="30" t="s">
        <v>72</v>
      </c>
      <c r="C19" s="36">
        <v>0.1</v>
      </c>
      <c r="D19" s="30" t="s">
        <v>75</v>
      </c>
      <c r="E19" s="30" t="s">
        <v>69</v>
      </c>
    </row>
    <row r="20" spans="1:5">
      <c r="A20" s="30" t="s">
        <v>76</v>
      </c>
      <c r="B20" s="30" t="s">
        <v>72</v>
      </c>
      <c r="C20" s="36">
        <v>0.09</v>
      </c>
      <c r="D20" s="30" t="s">
        <v>77</v>
      </c>
      <c r="E20" s="30" t="s">
        <v>78</v>
      </c>
    </row>
    <row r="21" spans="1:5">
      <c r="A21" s="30" t="s">
        <v>79</v>
      </c>
      <c r="B21" s="30" t="s">
        <v>72</v>
      </c>
      <c r="C21" s="36">
        <v>7.0000000000000007E-2</v>
      </c>
      <c r="D21" s="30" t="s">
        <v>80</v>
      </c>
      <c r="E21" s="30" t="s">
        <v>78</v>
      </c>
    </row>
    <row r="22" spans="1:5">
      <c r="A22" s="30" t="s">
        <v>81</v>
      </c>
      <c r="B22" s="30" t="s">
        <v>72</v>
      </c>
      <c r="C22" s="36">
        <v>0.18</v>
      </c>
      <c r="D22" s="30" t="s">
        <v>82</v>
      </c>
      <c r="E22" s="30" t="s">
        <v>69</v>
      </c>
    </row>
    <row r="23" spans="1:5">
      <c r="A23" s="30" t="s">
        <v>83</v>
      </c>
      <c r="B23" s="30" t="s">
        <v>67</v>
      </c>
      <c r="C23" s="36">
        <v>0.06</v>
      </c>
      <c r="D23" s="30" t="s">
        <v>84</v>
      </c>
      <c r="E23" s="30" t="s">
        <v>78</v>
      </c>
    </row>
  </sheetData>
  <mergeCells count="3">
    <mergeCell ref="A1:H1"/>
    <mergeCell ref="A2:H2"/>
    <mergeCell ref="A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4"/>
  <sheetViews>
    <sheetView showGridLines="0" workbookViewId="0">
      <selection activeCell="T6" sqref="T6"/>
    </sheetView>
  </sheetViews>
  <sheetFormatPr baseColWidth="10" defaultColWidth="8.83203125" defaultRowHeight="14"/>
  <cols>
    <col min="1" max="1" width="12" customWidth="1"/>
    <col min="2" max="2" width="13" customWidth="1"/>
    <col min="3" max="3" width="20" customWidth="1"/>
    <col min="4" max="4" width="22" customWidth="1"/>
    <col min="5" max="5" width="12" customWidth="1"/>
    <col min="6" max="6" width="14" customWidth="1"/>
    <col min="7" max="7" width="18" customWidth="1"/>
    <col min="8" max="8" width="14" customWidth="1"/>
    <col min="9" max="9" width="13" customWidth="1"/>
    <col min="10" max="10" width="15" customWidth="1"/>
    <col min="11" max="11" width="13" customWidth="1"/>
    <col min="12" max="13" width="14" customWidth="1"/>
    <col min="14" max="15" width="12" customWidth="1"/>
    <col min="16" max="16" width="16" customWidth="1"/>
    <col min="17" max="17" width="22" customWidth="1"/>
    <col min="18" max="18" width="10" customWidth="1"/>
  </cols>
  <sheetData>
    <row r="1" spans="1:26" ht="45.25" customHeight="1">
      <c r="A1" s="55" t="s">
        <v>85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57" t="s">
        <v>86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">
      <c r="A4" s="3" t="s">
        <v>87</v>
      </c>
      <c r="B4" s="4" t="s">
        <v>88</v>
      </c>
      <c r="C4" s="4" t="s">
        <v>89</v>
      </c>
      <c r="D4" s="4" t="s">
        <v>10</v>
      </c>
      <c r="E4" s="4" t="s">
        <v>63</v>
      </c>
      <c r="F4" s="4" t="s">
        <v>90</v>
      </c>
      <c r="G4" s="4" t="s">
        <v>91</v>
      </c>
      <c r="H4" s="4" t="s">
        <v>92</v>
      </c>
      <c r="I4" s="4" t="s">
        <v>93</v>
      </c>
      <c r="J4" s="4" t="s">
        <v>94</v>
      </c>
      <c r="K4" s="4" t="s">
        <v>95</v>
      </c>
      <c r="L4" s="4" t="s">
        <v>64</v>
      </c>
      <c r="M4" s="4" t="s">
        <v>96</v>
      </c>
      <c r="N4" s="4" t="s">
        <v>97</v>
      </c>
      <c r="O4" s="4" t="s">
        <v>98</v>
      </c>
      <c r="P4" s="4" t="s">
        <v>12</v>
      </c>
      <c r="Q4" s="4" t="s">
        <v>99</v>
      </c>
      <c r="R4" s="5" t="s">
        <v>13</v>
      </c>
    </row>
    <row r="5" spans="1:26" ht="15">
      <c r="A5" s="41">
        <v>1</v>
      </c>
      <c r="B5" s="42">
        <v>45991</v>
      </c>
      <c r="C5" s="43" t="s">
        <v>100</v>
      </c>
      <c r="D5" s="43" t="s">
        <v>21</v>
      </c>
      <c r="E5" s="43" t="s">
        <v>67</v>
      </c>
      <c r="F5" s="43" t="s">
        <v>101</v>
      </c>
      <c r="G5" s="43" t="s">
        <v>102</v>
      </c>
      <c r="H5" s="44">
        <v>9450</v>
      </c>
      <c r="I5" s="43" t="s">
        <v>103</v>
      </c>
      <c r="J5" s="43" t="s">
        <v>103</v>
      </c>
      <c r="K5" s="43" t="s">
        <v>103</v>
      </c>
      <c r="L5" s="45">
        <v>0.06</v>
      </c>
      <c r="M5" s="43" t="s">
        <v>104</v>
      </c>
      <c r="N5" s="17" t="str">
        <f t="shared" ref="N5:N68" si="0">IF(OR(I5="No",J5="No"),"Yes","No")</f>
        <v>No</v>
      </c>
      <c r="O5" s="17" t="str">
        <f t="shared" ref="O5:O68" si="1">IF(COUNTIFS($C:$C,C5)&lt;5,"Yes","No")</f>
        <v>No</v>
      </c>
      <c r="P5" s="18">
        <f t="shared" ref="P5:P68" si="2">IF(K5="Yes",H5*L5,0)</f>
        <v>567</v>
      </c>
      <c r="Q5" s="17" t="str">
        <f t="shared" ref="Q5:Q68" si="3">IF(N5="Yes","Maverick / non-preferred",IF(O5="Yes","Tail consolidation",IF(K5="Yes","Category sourcing","Non-addressable")))</f>
        <v>Category sourcing</v>
      </c>
      <c r="R5" s="20" t="str">
        <f t="shared" ref="R5:R68" si="4">IF(P5&gt;=10000,"High",IF(P5&gt;=3000,"Medium","Low"))</f>
        <v>Low</v>
      </c>
    </row>
    <row r="6" spans="1:26" ht="15">
      <c r="A6" s="41">
        <v>2</v>
      </c>
      <c r="B6" s="42">
        <v>45940</v>
      </c>
      <c r="C6" s="43" t="s">
        <v>105</v>
      </c>
      <c r="D6" s="43" t="s">
        <v>25</v>
      </c>
      <c r="E6" s="43" t="s">
        <v>67</v>
      </c>
      <c r="F6" s="43" t="s">
        <v>106</v>
      </c>
      <c r="G6" s="43" t="s">
        <v>107</v>
      </c>
      <c r="H6" s="44">
        <v>25130</v>
      </c>
      <c r="I6" s="43" t="s">
        <v>103</v>
      </c>
      <c r="J6" s="43" t="s">
        <v>103</v>
      </c>
      <c r="K6" s="43" t="s">
        <v>108</v>
      </c>
      <c r="L6" s="45">
        <v>0.05</v>
      </c>
      <c r="M6" s="43" t="s">
        <v>104</v>
      </c>
      <c r="N6" s="17" t="str">
        <f t="shared" si="0"/>
        <v>No</v>
      </c>
      <c r="O6" s="17" t="str">
        <f t="shared" si="1"/>
        <v>No</v>
      </c>
      <c r="P6" s="18">
        <f t="shared" si="2"/>
        <v>0</v>
      </c>
      <c r="Q6" s="17" t="str">
        <f t="shared" si="3"/>
        <v>Non-addressable</v>
      </c>
      <c r="R6" s="20" t="str">
        <f t="shared" si="4"/>
        <v>Low</v>
      </c>
    </row>
    <row r="7" spans="1:26" ht="15">
      <c r="A7" s="41">
        <v>3</v>
      </c>
      <c r="B7" s="42">
        <v>45715</v>
      </c>
      <c r="C7" s="43" t="s">
        <v>109</v>
      </c>
      <c r="D7" s="43" t="s">
        <v>17</v>
      </c>
      <c r="E7" s="43" t="s">
        <v>67</v>
      </c>
      <c r="F7" s="43" t="s">
        <v>101</v>
      </c>
      <c r="G7" s="43" t="s">
        <v>110</v>
      </c>
      <c r="H7" s="44">
        <v>20730</v>
      </c>
      <c r="I7" s="43" t="s">
        <v>108</v>
      </c>
      <c r="J7" s="43" t="s">
        <v>108</v>
      </c>
      <c r="K7" s="43" t="s">
        <v>103</v>
      </c>
      <c r="L7" s="45">
        <v>0.08</v>
      </c>
      <c r="M7" s="43" t="s">
        <v>104</v>
      </c>
      <c r="N7" s="17" t="str">
        <f t="shared" si="0"/>
        <v>Yes</v>
      </c>
      <c r="O7" s="17" t="str">
        <f t="shared" si="1"/>
        <v>No</v>
      </c>
      <c r="P7" s="18">
        <f t="shared" si="2"/>
        <v>1658.4</v>
      </c>
      <c r="Q7" s="17" t="str">
        <f t="shared" si="3"/>
        <v>Maverick / non-preferred</v>
      </c>
      <c r="R7" s="20" t="str">
        <f t="shared" si="4"/>
        <v>Low</v>
      </c>
    </row>
    <row r="8" spans="1:26" ht="15">
      <c r="A8" s="41">
        <v>4</v>
      </c>
      <c r="B8" s="42">
        <v>45991</v>
      </c>
      <c r="C8" s="43" t="s">
        <v>111</v>
      </c>
      <c r="D8" s="43" t="s">
        <v>83</v>
      </c>
      <c r="E8" s="43" t="s">
        <v>67</v>
      </c>
      <c r="F8" s="43" t="s">
        <v>106</v>
      </c>
      <c r="G8" s="43" t="s">
        <v>110</v>
      </c>
      <c r="H8" s="44">
        <v>3320</v>
      </c>
      <c r="I8" s="43" t="s">
        <v>103</v>
      </c>
      <c r="J8" s="43" t="s">
        <v>103</v>
      </c>
      <c r="K8" s="43" t="s">
        <v>108</v>
      </c>
      <c r="L8" s="45">
        <v>0.06</v>
      </c>
      <c r="M8" s="43" t="s">
        <v>104</v>
      </c>
      <c r="N8" s="17" t="str">
        <f t="shared" si="0"/>
        <v>No</v>
      </c>
      <c r="O8" s="17" t="str">
        <f t="shared" si="1"/>
        <v>No</v>
      </c>
      <c r="P8" s="18">
        <f t="shared" si="2"/>
        <v>0</v>
      </c>
      <c r="Q8" s="17" t="str">
        <f t="shared" si="3"/>
        <v>Non-addressable</v>
      </c>
      <c r="R8" s="20" t="str">
        <f t="shared" si="4"/>
        <v>Low</v>
      </c>
    </row>
    <row r="9" spans="1:26" ht="15">
      <c r="A9" s="41">
        <v>5</v>
      </c>
      <c r="B9" s="42">
        <v>45674</v>
      </c>
      <c r="C9" s="43" t="s">
        <v>112</v>
      </c>
      <c r="D9" s="43" t="s">
        <v>23</v>
      </c>
      <c r="E9" s="43" t="s">
        <v>72</v>
      </c>
      <c r="F9" s="43" t="s">
        <v>113</v>
      </c>
      <c r="G9" s="43" t="s">
        <v>102</v>
      </c>
      <c r="H9" s="44">
        <v>1450</v>
      </c>
      <c r="I9" s="43" t="s">
        <v>108</v>
      </c>
      <c r="J9" s="43" t="s">
        <v>108</v>
      </c>
      <c r="K9" s="43" t="s">
        <v>103</v>
      </c>
      <c r="L9" s="45">
        <v>0.15</v>
      </c>
      <c r="M9" s="43" t="s">
        <v>114</v>
      </c>
      <c r="N9" s="17" t="str">
        <f t="shared" si="0"/>
        <v>Yes</v>
      </c>
      <c r="O9" s="17" t="str">
        <f t="shared" si="1"/>
        <v>No</v>
      </c>
      <c r="P9" s="18">
        <f t="shared" si="2"/>
        <v>217.5</v>
      </c>
      <c r="Q9" s="17" t="str">
        <f t="shared" si="3"/>
        <v>Maverick / non-preferred</v>
      </c>
      <c r="R9" s="20" t="str">
        <f t="shared" si="4"/>
        <v>Low</v>
      </c>
    </row>
    <row r="10" spans="1:26" ht="15">
      <c r="A10" s="41">
        <v>6</v>
      </c>
      <c r="B10" s="42">
        <v>45752</v>
      </c>
      <c r="C10" s="43" t="s">
        <v>112</v>
      </c>
      <c r="D10" s="43" t="s">
        <v>23</v>
      </c>
      <c r="E10" s="43" t="s">
        <v>72</v>
      </c>
      <c r="F10" s="43" t="s">
        <v>115</v>
      </c>
      <c r="G10" s="43" t="s">
        <v>102</v>
      </c>
      <c r="H10" s="44">
        <v>870</v>
      </c>
      <c r="I10" s="43" t="s">
        <v>108</v>
      </c>
      <c r="J10" s="43" t="s">
        <v>108</v>
      </c>
      <c r="K10" s="43" t="s">
        <v>103</v>
      </c>
      <c r="L10" s="45">
        <v>0.15</v>
      </c>
      <c r="M10" s="43" t="s">
        <v>114</v>
      </c>
      <c r="N10" s="17" t="str">
        <f t="shared" si="0"/>
        <v>Yes</v>
      </c>
      <c r="O10" s="17" t="str">
        <f t="shared" si="1"/>
        <v>No</v>
      </c>
      <c r="P10" s="18">
        <f t="shared" si="2"/>
        <v>130.5</v>
      </c>
      <c r="Q10" s="17" t="str">
        <f t="shared" si="3"/>
        <v>Maverick / non-preferred</v>
      </c>
      <c r="R10" s="20" t="str">
        <f t="shared" si="4"/>
        <v>Low</v>
      </c>
    </row>
    <row r="11" spans="1:26" ht="15">
      <c r="A11" s="41">
        <v>7</v>
      </c>
      <c r="B11" s="42">
        <v>45936</v>
      </c>
      <c r="C11" s="43" t="s">
        <v>116</v>
      </c>
      <c r="D11" s="43" t="s">
        <v>26</v>
      </c>
      <c r="E11" s="43" t="s">
        <v>72</v>
      </c>
      <c r="F11" s="43" t="s">
        <v>115</v>
      </c>
      <c r="G11" s="43" t="s">
        <v>107</v>
      </c>
      <c r="H11" s="44">
        <v>4200</v>
      </c>
      <c r="I11" s="43" t="s">
        <v>103</v>
      </c>
      <c r="J11" s="43" t="s">
        <v>103</v>
      </c>
      <c r="K11" s="43" t="s">
        <v>103</v>
      </c>
      <c r="L11" s="45">
        <v>0.1</v>
      </c>
      <c r="M11" s="43" t="s">
        <v>104</v>
      </c>
      <c r="N11" s="17" t="str">
        <f t="shared" si="0"/>
        <v>No</v>
      </c>
      <c r="O11" s="17" t="str">
        <f t="shared" si="1"/>
        <v>No</v>
      </c>
      <c r="P11" s="18">
        <f t="shared" si="2"/>
        <v>420</v>
      </c>
      <c r="Q11" s="17" t="str">
        <f t="shared" si="3"/>
        <v>Category sourcing</v>
      </c>
      <c r="R11" s="20" t="str">
        <f t="shared" si="4"/>
        <v>Low</v>
      </c>
    </row>
    <row r="12" spans="1:26" ht="15">
      <c r="A12" s="41">
        <v>8</v>
      </c>
      <c r="B12" s="42">
        <v>45879</v>
      </c>
      <c r="C12" s="43" t="s">
        <v>117</v>
      </c>
      <c r="D12" s="43" t="s">
        <v>81</v>
      </c>
      <c r="E12" s="43" t="s">
        <v>72</v>
      </c>
      <c r="F12" s="43" t="s">
        <v>101</v>
      </c>
      <c r="G12" s="43" t="s">
        <v>107</v>
      </c>
      <c r="H12" s="44">
        <v>9430</v>
      </c>
      <c r="I12" s="43" t="s">
        <v>108</v>
      </c>
      <c r="J12" s="43" t="s">
        <v>108</v>
      </c>
      <c r="K12" s="43" t="s">
        <v>103</v>
      </c>
      <c r="L12" s="45">
        <v>0.18</v>
      </c>
      <c r="M12" s="43" t="s">
        <v>118</v>
      </c>
      <c r="N12" s="17" t="str">
        <f t="shared" si="0"/>
        <v>Yes</v>
      </c>
      <c r="O12" s="17" t="str">
        <f t="shared" si="1"/>
        <v>No</v>
      </c>
      <c r="P12" s="18">
        <f t="shared" si="2"/>
        <v>1697.3999999999999</v>
      </c>
      <c r="Q12" s="17" t="str">
        <f t="shared" si="3"/>
        <v>Maverick / non-preferred</v>
      </c>
      <c r="R12" s="20" t="str">
        <f t="shared" si="4"/>
        <v>Low</v>
      </c>
    </row>
    <row r="13" spans="1:26" ht="15">
      <c r="A13" s="41">
        <v>9</v>
      </c>
      <c r="B13" s="42">
        <v>45757</v>
      </c>
      <c r="C13" s="43" t="s">
        <v>119</v>
      </c>
      <c r="D13" s="43" t="s">
        <v>17</v>
      </c>
      <c r="E13" s="43" t="s">
        <v>67</v>
      </c>
      <c r="F13" s="43" t="s">
        <v>115</v>
      </c>
      <c r="G13" s="43" t="s">
        <v>120</v>
      </c>
      <c r="H13" s="44">
        <v>24310</v>
      </c>
      <c r="I13" s="43" t="s">
        <v>103</v>
      </c>
      <c r="J13" s="43" t="s">
        <v>103</v>
      </c>
      <c r="K13" s="43" t="s">
        <v>103</v>
      </c>
      <c r="L13" s="45">
        <v>0.08</v>
      </c>
      <c r="M13" s="43" t="s">
        <v>104</v>
      </c>
      <c r="N13" s="17" t="str">
        <f t="shared" si="0"/>
        <v>No</v>
      </c>
      <c r="O13" s="17" t="str">
        <f t="shared" si="1"/>
        <v>No</v>
      </c>
      <c r="P13" s="18">
        <f t="shared" si="2"/>
        <v>1944.8</v>
      </c>
      <c r="Q13" s="17" t="str">
        <f t="shared" si="3"/>
        <v>Category sourcing</v>
      </c>
      <c r="R13" s="20" t="str">
        <f t="shared" si="4"/>
        <v>Low</v>
      </c>
    </row>
    <row r="14" spans="1:26" ht="15">
      <c r="A14" s="41">
        <v>10</v>
      </c>
      <c r="B14" s="42">
        <v>45755</v>
      </c>
      <c r="C14" s="43" t="s">
        <v>117</v>
      </c>
      <c r="D14" s="43" t="s">
        <v>81</v>
      </c>
      <c r="E14" s="43" t="s">
        <v>72</v>
      </c>
      <c r="F14" s="43" t="s">
        <v>106</v>
      </c>
      <c r="G14" s="43" t="s">
        <v>120</v>
      </c>
      <c r="H14" s="44">
        <v>2480</v>
      </c>
      <c r="I14" s="43" t="s">
        <v>108</v>
      </c>
      <c r="J14" s="43" t="s">
        <v>108</v>
      </c>
      <c r="K14" s="43" t="s">
        <v>103</v>
      </c>
      <c r="L14" s="45">
        <v>0.18</v>
      </c>
      <c r="M14" s="43" t="s">
        <v>118</v>
      </c>
      <c r="N14" s="17" t="str">
        <f t="shared" si="0"/>
        <v>Yes</v>
      </c>
      <c r="O14" s="17" t="str">
        <f t="shared" si="1"/>
        <v>No</v>
      </c>
      <c r="P14" s="18">
        <f t="shared" si="2"/>
        <v>446.4</v>
      </c>
      <c r="Q14" s="17" t="str">
        <f t="shared" si="3"/>
        <v>Maverick / non-preferred</v>
      </c>
      <c r="R14" s="20" t="str">
        <f t="shared" si="4"/>
        <v>Low</v>
      </c>
    </row>
    <row r="15" spans="1:26" ht="15">
      <c r="A15" s="41">
        <v>11</v>
      </c>
      <c r="B15" s="42">
        <v>45757</v>
      </c>
      <c r="C15" s="43" t="s">
        <v>121</v>
      </c>
      <c r="D15" s="43" t="s">
        <v>25</v>
      </c>
      <c r="E15" s="43" t="s">
        <v>67</v>
      </c>
      <c r="F15" s="43" t="s">
        <v>113</v>
      </c>
      <c r="G15" s="43" t="s">
        <v>120</v>
      </c>
      <c r="H15" s="44">
        <v>56220</v>
      </c>
      <c r="I15" s="43" t="s">
        <v>108</v>
      </c>
      <c r="J15" s="43" t="s">
        <v>108</v>
      </c>
      <c r="K15" s="43" t="s">
        <v>108</v>
      </c>
      <c r="L15" s="45">
        <v>0.05</v>
      </c>
      <c r="M15" s="43" t="s">
        <v>104</v>
      </c>
      <c r="N15" s="17" t="str">
        <f t="shared" si="0"/>
        <v>Yes</v>
      </c>
      <c r="O15" s="17" t="str">
        <f t="shared" si="1"/>
        <v>No</v>
      </c>
      <c r="P15" s="18">
        <f t="shared" si="2"/>
        <v>0</v>
      </c>
      <c r="Q15" s="17" t="str">
        <f t="shared" si="3"/>
        <v>Maverick / non-preferred</v>
      </c>
      <c r="R15" s="20" t="str">
        <f t="shared" si="4"/>
        <v>Low</v>
      </c>
    </row>
    <row r="16" spans="1:26" ht="15">
      <c r="A16" s="41">
        <v>12</v>
      </c>
      <c r="B16" s="42">
        <v>45957</v>
      </c>
      <c r="C16" s="43" t="s">
        <v>122</v>
      </c>
      <c r="D16" s="43" t="s">
        <v>83</v>
      </c>
      <c r="E16" s="43" t="s">
        <v>67</v>
      </c>
      <c r="F16" s="43" t="s">
        <v>101</v>
      </c>
      <c r="G16" s="43" t="s">
        <v>107</v>
      </c>
      <c r="H16" s="44">
        <v>9960</v>
      </c>
      <c r="I16" s="43" t="s">
        <v>108</v>
      </c>
      <c r="J16" s="43" t="s">
        <v>108</v>
      </c>
      <c r="K16" s="43" t="s">
        <v>108</v>
      </c>
      <c r="L16" s="45">
        <v>0.06</v>
      </c>
      <c r="M16" s="43" t="s">
        <v>104</v>
      </c>
      <c r="N16" s="17" t="str">
        <f t="shared" si="0"/>
        <v>Yes</v>
      </c>
      <c r="O16" s="17" t="str">
        <f t="shared" si="1"/>
        <v>No</v>
      </c>
      <c r="P16" s="18">
        <f t="shared" si="2"/>
        <v>0</v>
      </c>
      <c r="Q16" s="17" t="str">
        <f t="shared" si="3"/>
        <v>Maverick / non-preferred</v>
      </c>
      <c r="R16" s="20" t="str">
        <f t="shared" si="4"/>
        <v>Low</v>
      </c>
    </row>
    <row r="17" spans="1:18" ht="15">
      <c r="A17" s="41">
        <v>13</v>
      </c>
      <c r="B17" s="42">
        <v>45719</v>
      </c>
      <c r="C17" s="43" t="s">
        <v>123</v>
      </c>
      <c r="D17" s="43" t="s">
        <v>79</v>
      </c>
      <c r="E17" s="43" t="s">
        <v>72</v>
      </c>
      <c r="F17" s="43" t="s">
        <v>101</v>
      </c>
      <c r="G17" s="43" t="s">
        <v>110</v>
      </c>
      <c r="H17" s="44">
        <v>30710</v>
      </c>
      <c r="I17" s="43" t="s">
        <v>103</v>
      </c>
      <c r="J17" s="43" t="s">
        <v>108</v>
      </c>
      <c r="K17" s="43" t="s">
        <v>108</v>
      </c>
      <c r="L17" s="45">
        <v>7.0000000000000007E-2</v>
      </c>
      <c r="M17" s="43" t="s">
        <v>124</v>
      </c>
      <c r="N17" s="17" t="str">
        <f t="shared" si="0"/>
        <v>Yes</v>
      </c>
      <c r="O17" s="17" t="str">
        <f t="shared" si="1"/>
        <v>No</v>
      </c>
      <c r="P17" s="18">
        <f t="shared" si="2"/>
        <v>0</v>
      </c>
      <c r="Q17" s="17" t="str">
        <f t="shared" si="3"/>
        <v>Maverick / non-preferred</v>
      </c>
      <c r="R17" s="20" t="str">
        <f t="shared" si="4"/>
        <v>Low</v>
      </c>
    </row>
    <row r="18" spans="1:18" ht="15">
      <c r="A18" s="41">
        <v>14</v>
      </c>
      <c r="B18" s="42">
        <v>45963</v>
      </c>
      <c r="C18" s="43" t="s">
        <v>125</v>
      </c>
      <c r="D18" s="43" t="s">
        <v>81</v>
      </c>
      <c r="E18" s="43" t="s">
        <v>72</v>
      </c>
      <c r="F18" s="43" t="s">
        <v>101</v>
      </c>
      <c r="G18" s="43" t="s">
        <v>110</v>
      </c>
      <c r="H18" s="44">
        <v>870</v>
      </c>
      <c r="I18" s="43" t="s">
        <v>108</v>
      </c>
      <c r="J18" s="43" t="s">
        <v>108</v>
      </c>
      <c r="K18" s="43" t="s">
        <v>103</v>
      </c>
      <c r="L18" s="45">
        <v>0.18</v>
      </c>
      <c r="M18" s="43" t="s">
        <v>118</v>
      </c>
      <c r="N18" s="17" t="str">
        <f t="shared" si="0"/>
        <v>Yes</v>
      </c>
      <c r="O18" s="17" t="str">
        <f t="shared" si="1"/>
        <v>No</v>
      </c>
      <c r="P18" s="18">
        <f t="shared" si="2"/>
        <v>156.6</v>
      </c>
      <c r="Q18" s="17" t="str">
        <f t="shared" si="3"/>
        <v>Maverick / non-preferred</v>
      </c>
      <c r="R18" s="20" t="str">
        <f t="shared" si="4"/>
        <v>Low</v>
      </c>
    </row>
    <row r="19" spans="1:18" ht="15">
      <c r="A19" s="41">
        <v>15</v>
      </c>
      <c r="B19" s="42">
        <v>45718</v>
      </c>
      <c r="C19" s="43" t="s">
        <v>126</v>
      </c>
      <c r="D19" s="43" t="s">
        <v>23</v>
      </c>
      <c r="E19" s="43" t="s">
        <v>72</v>
      </c>
      <c r="F19" s="43" t="s">
        <v>101</v>
      </c>
      <c r="G19" s="43" t="s">
        <v>107</v>
      </c>
      <c r="H19" s="44">
        <v>12650</v>
      </c>
      <c r="I19" s="43" t="s">
        <v>108</v>
      </c>
      <c r="J19" s="43" t="s">
        <v>108</v>
      </c>
      <c r="K19" s="43" t="s">
        <v>103</v>
      </c>
      <c r="L19" s="45">
        <v>0.15</v>
      </c>
      <c r="M19" s="43" t="s">
        <v>114</v>
      </c>
      <c r="N19" s="17" t="str">
        <f t="shared" si="0"/>
        <v>Yes</v>
      </c>
      <c r="O19" s="17" t="str">
        <f t="shared" si="1"/>
        <v>No</v>
      </c>
      <c r="P19" s="18">
        <f t="shared" si="2"/>
        <v>1897.5</v>
      </c>
      <c r="Q19" s="17" t="str">
        <f t="shared" si="3"/>
        <v>Maverick / non-preferred</v>
      </c>
      <c r="R19" s="20" t="str">
        <f t="shared" si="4"/>
        <v>Low</v>
      </c>
    </row>
    <row r="20" spans="1:18" ht="15">
      <c r="A20" s="41">
        <v>16</v>
      </c>
      <c r="B20" s="42">
        <v>45707</v>
      </c>
      <c r="C20" s="43" t="s">
        <v>125</v>
      </c>
      <c r="D20" s="43" t="s">
        <v>81</v>
      </c>
      <c r="E20" s="43" t="s">
        <v>72</v>
      </c>
      <c r="F20" s="43" t="s">
        <v>127</v>
      </c>
      <c r="G20" s="43" t="s">
        <v>107</v>
      </c>
      <c r="H20" s="44">
        <v>1980</v>
      </c>
      <c r="I20" s="43" t="s">
        <v>108</v>
      </c>
      <c r="J20" s="43" t="s">
        <v>108</v>
      </c>
      <c r="K20" s="43" t="s">
        <v>103</v>
      </c>
      <c r="L20" s="45">
        <v>0.18</v>
      </c>
      <c r="M20" s="43" t="s">
        <v>118</v>
      </c>
      <c r="N20" s="17" t="str">
        <f t="shared" si="0"/>
        <v>Yes</v>
      </c>
      <c r="O20" s="17" t="str">
        <f t="shared" si="1"/>
        <v>No</v>
      </c>
      <c r="P20" s="18">
        <f t="shared" si="2"/>
        <v>356.4</v>
      </c>
      <c r="Q20" s="17" t="str">
        <f t="shared" si="3"/>
        <v>Maverick / non-preferred</v>
      </c>
      <c r="R20" s="20" t="str">
        <f t="shared" si="4"/>
        <v>Low</v>
      </c>
    </row>
    <row r="21" spans="1:18" ht="15">
      <c r="A21" s="41">
        <v>17</v>
      </c>
      <c r="B21" s="42">
        <v>45779</v>
      </c>
      <c r="C21" s="43" t="s">
        <v>128</v>
      </c>
      <c r="D21" s="43" t="s">
        <v>83</v>
      </c>
      <c r="E21" s="43" t="s">
        <v>67</v>
      </c>
      <c r="F21" s="43" t="s">
        <v>127</v>
      </c>
      <c r="G21" s="43" t="s">
        <v>110</v>
      </c>
      <c r="H21" s="44">
        <v>10400</v>
      </c>
      <c r="I21" s="43" t="s">
        <v>108</v>
      </c>
      <c r="J21" s="43" t="s">
        <v>108</v>
      </c>
      <c r="K21" s="43" t="s">
        <v>108</v>
      </c>
      <c r="L21" s="45">
        <v>0.06</v>
      </c>
      <c r="M21" s="43" t="s">
        <v>104</v>
      </c>
      <c r="N21" s="17" t="str">
        <f t="shared" si="0"/>
        <v>Yes</v>
      </c>
      <c r="O21" s="17" t="str">
        <f t="shared" si="1"/>
        <v>No</v>
      </c>
      <c r="P21" s="18">
        <f t="shared" si="2"/>
        <v>0</v>
      </c>
      <c r="Q21" s="17" t="str">
        <f t="shared" si="3"/>
        <v>Maverick / non-preferred</v>
      </c>
      <c r="R21" s="20" t="str">
        <f t="shared" si="4"/>
        <v>Low</v>
      </c>
    </row>
    <row r="22" spans="1:18" ht="15">
      <c r="A22" s="41">
        <v>18</v>
      </c>
      <c r="B22" s="42">
        <v>45683</v>
      </c>
      <c r="C22" s="43" t="s">
        <v>111</v>
      </c>
      <c r="D22" s="43" t="s">
        <v>83</v>
      </c>
      <c r="E22" s="43" t="s">
        <v>67</v>
      </c>
      <c r="F22" s="43" t="s">
        <v>113</v>
      </c>
      <c r="G22" s="43" t="s">
        <v>120</v>
      </c>
      <c r="H22" s="44">
        <v>24460</v>
      </c>
      <c r="I22" s="43" t="s">
        <v>103</v>
      </c>
      <c r="J22" s="43" t="s">
        <v>103</v>
      </c>
      <c r="K22" s="43" t="s">
        <v>108</v>
      </c>
      <c r="L22" s="45">
        <v>0.06</v>
      </c>
      <c r="M22" s="43" t="s">
        <v>104</v>
      </c>
      <c r="N22" s="17" t="str">
        <f t="shared" si="0"/>
        <v>No</v>
      </c>
      <c r="O22" s="17" t="str">
        <f t="shared" si="1"/>
        <v>No</v>
      </c>
      <c r="P22" s="18">
        <f t="shared" si="2"/>
        <v>0</v>
      </c>
      <c r="Q22" s="17" t="str">
        <f t="shared" si="3"/>
        <v>Non-addressable</v>
      </c>
      <c r="R22" s="20" t="str">
        <f t="shared" si="4"/>
        <v>Low</v>
      </c>
    </row>
    <row r="23" spans="1:18" ht="15">
      <c r="A23" s="41">
        <v>19</v>
      </c>
      <c r="B23" s="42">
        <v>45988</v>
      </c>
      <c r="C23" s="43" t="s">
        <v>129</v>
      </c>
      <c r="D23" s="43" t="s">
        <v>76</v>
      </c>
      <c r="E23" s="43" t="s">
        <v>72</v>
      </c>
      <c r="F23" s="43" t="s">
        <v>106</v>
      </c>
      <c r="G23" s="43" t="s">
        <v>120</v>
      </c>
      <c r="H23" s="44">
        <v>24400</v>
      </c>
      <c r="I23" s="43" t="s">
        <v>108</v>
      </c>
      <c r="J23" s="43" t="s">
        <v>108</v>
      </c>
      <c r="K23" s="43" t="s">
        <v>108</v>
      </c>
      <c r="L23" s="45">
        <v>0.09</v>
      </c>
      <c r="M23" s="43" t="s">
        <v>118</v>
      </c>
      <c r="N23" s="17" t="str">
        <f t="shared" si="0"/>
        <v>Yes</v>
      </c>
      <c r="O23" s="17" t="str">
        <f t="shared" si="1"/>
        <v>No</v>
      </c>
      <c r="P23" s="18">
        <f t="shared" si="2"/>
        <v>0</v>
      </c>
      <c r="Q23" s="17" t="str">
        <f t="shared" si="3"/>
        <v>Maverick / non-preferred</v>
      </c>
      <c r="R23" s="20" t="str">
        <f t="shared" si="4"/>
        <v>Low</v>
      </c>
    </row>
    <row r="24" spans="1:18" ht="15">
      <c r="A24" s="41">
        <v>20</v>
      </c>
      <c r="B24" s="42">
        <v>45673</v>
      </c>
      <c r="C24" s="43" t="s">
        <v>130</v>
      </c>
      <c r="D24" s="43" t="s">
        <v>17</v>
      </c>
      <c r="E24" s="43" t="s">
        <v>67</v>
      </c>
      <c r="F24" s="43" t="s">
        <v>113</v>
      </c>
      <c r="G24" s="43" t="s">
        <v>110</v>
      </c>
      <c r="H24" s="44">
        <v>8890</v>
      </c>
      <c r="I24" s="43" t="s">
        <v>108</v>
      </c>
      <c r="J24" s="43" t="s">
        <v>108</v>
      </c>
      <c r="K24" s="43" t="s">
        <v>103</v>
      </c>
      <c r="L24" s="45">
        <v>0.08</v>
      </c>
      <c r="M24" s="43" t="s">
        <v>104</v>
      </c>
      <c r="N24" s="17" t="str">
        <f t="shared" si="0"/>
        <v>Yes</v>
      </c>
      <c r="O24" s="17" t="str">
        <f t="shared" si="1"/>
        <v>No</v>
      </c>
      <c r="P24" s="18">
        <f t="shared" si="2"/>
        <v>711.2</v>
      </c>
      <c r="Q24" s="17" t="str">
        <f t="shared" si="3"/>
        <v>Maverick / non-preferred</v>
      </c>
      <c r="R24" s="20" t="str">
        <f t="shared" si="4"/>
        <v>Low</v>
      </c>
    </row>
    <row r="25" spans="1:18" ht="15">
      <c r="A25" s="41">
        <v>21</v>
      </c>
      <c r="B25" s="42">
        <v>45839</v>
      </c>
      <c r="C25" s="43" t="s">
        <v>119</v>
      </c>
      <c r="D25" s="43" t="s">
        <v>17</v>
      </c>
      <c r="E25" s="43" t="s">
        <v>67</v>
      </c>
      <c r="F25" s="43" t="s">
        <v>127</v>
      </c>
      <c r="G25" s="43" t="s">
        <v>120</v>
      </c>
      <c r="H25" s="44">
        <v>24620</v>
      </c>
      <c r="I25" s="43" t="s">
        <v>103</v>
      </c>
      <c r="J25" s="43" t="s">
        <v>103</v>
      </c>
      <c r="K25" s="43" t="s">
        <v>103</v>
      </c>
      <c r="L25" s="45">
        <v>0.08</v>
      </c>
      <c r="M25" s="43" t="s">
        <v>104</v>
      </c>
      <c r="N25" s="17" t="str">
        <f t="shared" si="0"/>
        <v>No</v>
      </c>
      <c r="O25" s="17" t="str">
        <f t="shared" si="1"/>
        <v>No</v>
      </c>
      <c r="P25" s="18">
        <f t="shared" si="2"/>
        <v>1969.6000000000001</v>
      </c>
      <c r="Q25" s="17" t="str">
        <f t="shared" si="3"/>
        <v>Category sourcing</v>
      </c>
      <c r="R25" s="20" t="str">
        <f t="shared" si="4"/>
        <v>Low</v>
      </c>
    </row>
    <row r="26" spans="1:18" ht="15">
      <c r="A26" s="41">
        <v>22</v>
      </c>
      <c r="B26" s="42">
        <v>45843</v>
      </c>
      <c r="C26" s="43" t="s">
        <v>130</v>
      </c>
      <c r="D26" s="43" t="s">
        <v>17</v>
      </c>
      <c r="E26" s="43" t="s">
        <v>67</v>
      </c>
      <c r="F26" s="43" t="s">
        <v>115</v>
      </c>
      <c r="G26" s="43" t="s">
        <v>107</v>
      </c>
      <c r="H26" s="44">
        <v>86450</v>
      </c>
      <c r="I26" s="43" t="s">
        <v>108</v>
      </c>
      <c r="J26" s="43" t="s">
        <v>108</v>
      </c>
      <c r="K26" s="43" t="s">
        <v>103</v>
      </c>
      <c r="L26" s="45">
        <v>0.08</v>
      </c>
      <c r="M26" s="43" t="s">
        <v>104</v>
      </c>
      <c r="N26" s="17" t="str">
        <f t="shared" si="0"/>
        <v>Yes</v>
      </c>
      <c r="O26" s="17" t="str">
        <f t="shared" si="1"/>
        <v>No</v>
      </c>
      <c r="P26" s="18">
        <f t="shared" si="2"/>
        <v>6916</v>
      </c>
      <c r="Q26" s="17" t="str">
        <f t="shared" si="3"/>
        <v>Maverick / non-preferred</v>
      </c>
      <c r="R26" s="20" t="str">
        <f t="shared" si="4"/>
        <v>Medium</v>
      </c>
    </row>
    <row r="27" spans="1:18" ht="15">
      <c r="A27" s="41">
        <v>23</v>
      </c>
      <c r="B27" s="42">
        <v>45919</v>
      </c>
      <c r="C27" s="43" t="s">
        <v>125</v>
      </c>
      <c r="D27" s="43" t="s">
        <v>81</v>
      </c>
      <c r="E27" s="43" t="s">
        <v>72</v>
      </c>
      <c r="F27" s="43" t="s">
        <v>113</v>
      </c>
      <c r="G27" s="43" t="s">
        <v>110</v>
      </c>
      <c r="H27" s="44">
        <v>2490</v>
      </c>
      <c r="I27" s="43" t="s">
        <v>108</v>
      </c>
      <c r="J27" s="43" t="s">
        <v>108</v>
      </c>
      <c r="K27" s="43" t="s">
        <v>103</v>
      </c>
      <c r="L27" s="45">
        <v>0.18</v>
      </c>
      <c r="M27" s="43" t="s">
        <v>118</v>
      </c>
      <c r="N27" s="17" t="str">
        <f t="shared" si="0"/>
        <v>Yes</v>
      </c>
      <c r="O27" s="17" t="str">
        <f t="shared" si="1"/>
        <v>No</v>
      </c>
      <c r="P27" s="18">
        <f t="shared" si="2"/>
        <v>448.2</v>
      </c>
      <c r="Q27" s="17" t="str">
        <f t="shared" si="3"/>
        <v>Maverick / non-preferred</v>
      </c>
      <c r="R27" s="20" t="str">
        <f t="shared" si="4"/>
        <v>Low</v>
      </c>
    </row>
    <row r="28" spans="1:18" ht="15">
      <c r="A28" s="41">
        <v>24</v>
      </c>
      <c r="B28" s="42">
        <v>45697</v>
      </c>
      <c r="C28" s="43" t="s">
        <v>131</v>
      </c>
      <c r="D28" s="43" t="s">
        <v>79</v>
      </c>
      <c r="E28" s="43" t="s">
        <v>72</v>
      </c>
      <c r="F28" s="43" t="s">
        <v>115</v>
      </c>
      <c r="G28" s="43" t="s">
        <v>120</v>
      </c>
      <c r="H28" s="44">
        <v>17970</v>
      </c>
      <c r="I28" s="43" t="s">
        <v>108</v>
      </c>
      <c r="J28" s="43" t="s">
        <v>108</v>
      </c>
      <c r="K28" s="43" t="s">
        <v>108</v>
      </c>
      <c r="L28" s="45">
        <v>7.0000000000000007E-2</v>
      </c>
      <c r="M28" s="43" t="s">
        <v>124</v>
      </c>
      <c r="N28" s="17" t="str">
        <f t="shared" si="0"/>
        <v>Yes</v>
      </c>
      <c r="O28" s="17" t="str">
        <f t="shared" si="1"/>
        <v>No</v>
      </c>
      <c r="P28" s="18">
        <f t="shared" si="2"/>
        <v>0</v>
      </c>
      <c r="Q28" s="17" t="str">
        <f t="shared" si="3"/>
        <v>Maverick / non-preferred</v>
      </c>
      <c r="R28" s="20" t="str">
        <f t="shared" si="4"/>
        <v>Low</v>
      </c>
    </row>
    <row r="29" spans="1:18" ht="15">
      <c r="A29" s="41">
        <v>25</v>
      </c>
      <c r="B29" s="42">
        <v>45778</v>
      </c>
      <c r="C29" s="43" t="s">
        <v>132</v>
      </c>
      <c r="D29" s="43" t="s">
        <v>81</v>
      </c>
      <c r="E29" s="43" t="s">
        <v>72</v>
      </c>
      <c r="F29" s="43" t="s">
        <v>113</v>
      </c>
      <c r="G29" s="43" t="s">
        <v>107</v>
      </c>
      <c r="H29" s="44">
        <v>1380</v>
      </c>
      <c r="I29" s="43" t="s">
        <v>103</v>
      </c>
      <c r="J29" s="43" t="s">
        <v>108</v>
      </c>
      <c r="K29" s="43" t="s">
        <v>103</v>
      </c>
      <c r="L29" s="45">
        <v>0.18</v>
      </c>
      <c r="M29" s="43" t="s">
        <v>118</v>
      </c>
      <c r="N29" s="17" t="str">
        <f t="shared" si="0"/>
        <v>Yes</v>
      </c>
      <c r="O29" s="17" t="str">
        <f t="shared" si="1"/>
        <v>Yes</v>
      </c>
      <c r="P29" s="18">
        <f t="shared" si="2"/>
        <v>248.39999999999998</v>
      </c>
      <c r="Q29" s="17" t="str">
        <f t="shared" si="3"/>
        <v>Maverick / non-preferred</v>
      </c>
      <c r="R29" s="20" t="str">
        <f t="shared" si="4"/>
        <v>Low</v>
      </c>
    </row>
    <row r="30" spans="1:18" ht="15">
      <c r="A30" s="41">
        <v>26</v>
      </c>
      <c r="B30" s="42">
        <v>45927</v>
      </c>
      <c r="C30" s="43" t="s">
        <v>132</v>
      </c>
      <c r="D30" s="43" t="s">
        <v>81</v>
      </c>
      <c r="E30" s="43" t="s">
        <v>72</v>
      </c>
      <c r="F30" s="43" t="s">
        <v>113</v>
      </c>
      <c r="G30" s="43" t="s">
        <v>110</v>
      </c>
      <c r="H30" s="44">
        <v>11260</v>
      </c>
      <c r="I30" s="43" t="s">
        <v>108</v>
      </c>
      <c r="J30" s="43" t="s">
        <v>108</v>
      </c>
      <c r="K30" s="43" t="s">
        <v>103</v>
      </c>
      <c r="L30" s="45">
        <v>0.18</v>
      </c>
      <c r="M30" s="43" t="s">
        <v>118</v>
      </c>
      <c r="N30" s="17" t="str">
        <f t="shared" si="0"/>
        <v>Yes</v>
      </c>
      <c r="O30" s="17" t="str">
        <f t="shared" si="1"/>
        <v>Yes</v>
      </c>
      <c r="P30" s="18">
        <f t="shared" si="2"/>
        <v>2026.8</v>
      </c>
      <c r="Q30" s="17" t="str">
        <f t="shared" si="3"/>
        <v>Maverick / non-preferred</v>
      </c>
      <c r="R30" s="20" t="str">
        <f t="shared" si="4"/>
        <v>Low</v>
      </c>
    </row>
    <row r="31" spans="1:18" ht="15">
      <c r="A31" s="41">
        <v>27</v>
      </c>
      <c r="B31" s="42">
        <v>45818</v>
      </c>
      <c r="C31" s="43" t="s">
        <v>133</v>
      </c>
      <c r="D31" s="43" t="s">
        <v>17</v>
      </c>
      <c r="E31" s="43" t="s">
        <v>67</v>
      </c>
      <c r="F31" s="43" t="s">
        <v>115</v>
      </c>
      <c r="G31" s="43" t="s">
        <v>107</v>
      </c>
      <c r="H31" s="44">
        <v>12140</v>
      </c>
      <c r="I31" s="43" t="s">
        <v>108</v>
      </c>
      <c r="J31" s="43" t="s">
        <v>103</v>
      </c>
      <c r="K31" s="43" t="s">
        <v>103</v>
      </c>
      <c r="L31" s="45">
        <v>0.08</v>
      </c>
      <c r="M31" s="43" t="s">
        <v>104</v>
      </c>
      <c r="N31" s="17" t="str">
        <f t="shared" si="0"/>
        <v>Yes</v>
      </c>
      <c r="O31" s="17" t="str">
        <f t="shared" si="1"/>
        <v>No</v>
      </c>
      <c r="P31" s="18">
        <f t="shared" si="2"/>
        <v>971.2</v>
      </c>
      <c r="Q31" s="17" t="str">
        <f t="shared" si="3"/>
        <v>Maverick / non-preferred</v>
      </c>
      <c r="R31" s="20" t="str">
        <f t="shared" si="4"/>
        <v>Low</v>
      </c>
    </row>
    <row r="32" spans="1:18" ht="15">
      <c r="A32" s="41">
        <v>28</v>
      </c>
      <c r="B32" s="42">
        <v>45684</v>
      </c>
      <c r="C32" s="43" t="s">
        <v>134</v>
      </c>
      <c r="D32" s="43" t="s">
        <v>83</v>
      </c>
      <c r="E32" s="43" t="s">
        <v>67</v>
      </c>
      <c r="F32" s="43" t="s">
        <v>115</v>
      </c>
      <c r="G32" s="43" t="s">
        <v>110</v>
      </c>
      <c r="H32" s="44">
        <v>4930</v>
      </c>
      <c r="I32" s="43" t="s">
        <v>108</v>
      </c>
      <c r="J32" s="43" t="s">
        <v>108</v>
      </c>
      <c r="K32" s="43" t="s">
        <v>108</v>
      </c>
      <c r="L32" s="45">
        <v>0.06</v>
      </c>
      <c r="M32" s="43" t="s">
        <v>104</v>
      </c>
      <c r="N32" s="17" t="str">
        <f t="shared" si="0"/>
        <v>Yes</v>
      </c>
      <c r="O32" s="17" t="str">
        <f t="shared" si="1"/>
        <v>Yes</v>
      </c>
      <c r="P32" s="18">
        <f t="shared" si="2"/>
        <v>0</v>
      </c>
      <c r="Q32" s="17" t="str">
        <f t="shared" si="3"/>
        <v>Maverick / non-preferred</v>
      </c>
      <c r="R32" s="20" t="str">
        <f t="shared" si="4"/>
        <v>Low</v>
      </c>
    </row>
    <row r="33" spans="1:18" ht="15">
      <c r="A33" s="41">
        <v>29</v>
      </c>
      <c r="B33" s="42">
        <v>45819</v>
      </c>
      <c r="C33" s="43" t="s">
        <v>125</v>
      </c>
      <c r="D33" s="43" t="s">
        <v>81</v>
      </c>
      <c r="E33" s="43" t="s">
        <v>72</v>
      </c>
      <c r="F33" s="43" t="s">
        <v>106</v>
      </c>
      <c r="G33" s="43" t="s">
        <v>107</v>
      </c>
      <c r="H33" s="44">
        <v>2450</v>
      </c>
      <c r="I33" s="43" t="s">
        <v>108</v>
      </c>
      <c r="J33" s="43" t="s">
        <v>108</v>
      </c>
      <c r="K33" s="43" t="s">
        <v>103</v>
      </c>
      <c r="L33" s="45">
        <v>0.18</v>
      </c>
      <c r="M33" s="43" t="s">
        <v>118</v>
      </c>
      <c r="N33" s="17" t="str">
        <f t="shared" si="0"/>
        <v>Yes</v>
      </c>
      <c r="O33" s="17" t="str">
        <f t="shared" si="1"/>
        <v>No</v>
      </c>
      <c r="P33" s="18">
        <f t="shared" si="2"/>
        <v>441</v>
      </c>
      <c r="Q33" s="17" t="str">
        <f t="shared" si="3"/>
        <v>Maverick / non-preferred</v>
      </c>
      <c r="R33" s="20" t="str">
        <f t="shared" si="4"/>
        <v>Low</v>
      </c>
    </row>
    <row r="34" spans="1:18" ht="15">
      <c r="A34" s="41">
        <v>30</v>
      </c>
      <c r="B34" s="42">
        <v>45729</v>
      </c>
      <c r="C34" s="43" t="s">
        <v>135</v>
      </c>
      <c r="D34" s="43" t="s">
        <v>17</v>
      </c>
      <c r="E34" s="43" t="s">
        <v>67</v>
      </c>
      <c r="F34" s="43" t="s">
        <v>101</v>
      </c>
      <c r="G34" s="43" t="s">
        <v>107</v>
      </c>
      <c r="H34" s="44">
        <v>17720</v>
      </c>
      <c r="I34" s="43" t="s">
        <v>108</v>
      </c>
      <c r="J34" s="43" t="s">
        <v>108</v>
      </c>
      <c r="K34" s="43" t="s">
        <v>103</v>
      </c>
      <c r="L34" s="45">
        <v>0.08</v>
      </c>
      <c r="M34" s="43" t="s">
        <v>104</v>
      </c>
      <c r="N34" s="17" t="str">
        <f t="shared" si="0"/>
        <v>Yes</v>
      </c>
      <c r="O34" s="17" t="str">
        <f t="shared" si="1"/>
        <v>No</v>
      </c>
      <c r="P34" s="18">
        <f t="shared" si="2"/>
        <v>1417.6000000000001</v>
      </c>
      <c r="Q34" s="17" t="str">
        <f t="shared" si="3"/>
        <v>Maverick / non-preferred</v>
      </c>
      <c r="R34" s="20" t="str">
        <f t="shared" si="4"/>
        <v>Low</v>
      </c>
    </row>
    <row r="35" spans="1:18" ht="15">
      <c r="A35" s="41">
        <v>31</v>
      </c>
      <c r="B35" s="42">
        <v>45801</v>
      </c>
      <c r="C35" s="43" t="s">
        <v>126</v>
      </c>
      <c r="D35" s="43" t="s">
        <v>23</v>
      </c>
      <c r="E35" s="43" t="s">
        <v>72</v>
      </c>
      <c r="F35" s="43" t="s">
        <v>115</v>
      </c>
      <c r="G35" s="43" t="s">
        <v>120</v>
      </c>
      <c r="H35" s="44">
        <v>4230</v>
      </c>
      <c r="I35" s="43" t="s">
        <v>108</v>
      </c>
      <c r="J35" s="43" t="s">
        <v>108</v>
      </c>
      <c r="K35" s="43" t="s">
        <v>103</v>
      </c>
      <c r="L35" s="45">
        <v>0.15</v>
      </c>
      <c r="M35" s="43" t="s">
        <v>114</v>
      </c>
      <c r="N35" s="17" t="str">
        <f t="shared" si="0"/>
        <v>Yes</v>
      </c>
      <c r="O35" s="17" t="str">
        <f t="shared" si="1"/>
        <v>No</v>
      </c>
      <c r="P35" s="18">
        <f t="shared" si="2"/>
        <v>634.5</v>
      </c>
      <c r="Q35" s="17" t="str">
        <f t="shared" si="3"/>
        <v>Maverick / non-preferred</v>
      </c>
      <c r="R35" s="20" t="str">
        <f t="shared" si="4"/>
        <v>Low</v>
      </c>
    </row>
    <row r="36" spans="1:18" ht="15">
      <c r="A36" s="41">
        <v>32</v>
      </c>
      <c r="B36" s="42">
        <v>45885</v>
      </c>
      <c r="C36" s="43" t="s">
        <v>136</v>
      </c>
      <c r="D36" s="43" t="s">
        <v>19</v>
      </c>
      <c r="E36" s="43" t="s">
        <v>72</v>
      </c>
      <c r="F36" s="43" t="s">
        <v>113</v>
      </c>
      <c r="G36" s="43" t="s">
        <v>120</v>
      </c>
      <c r="H36" s="44">
        <v>24880</v>
      </c>
      <c r="I36" s="43" t="s">
        <v>103</v>
      </c>
      <c r="J36" s="43" t="s">
        <v>103</v>
      </c>
      <c r="K36" s="43" t="s">
        <v>103</v>
      </c>
      <c r="L36" s="45">
        <v>0.12</v>
      </c>
      <c r="M36" s="43" t="s">
        <v>114</v>
      </c>
      <c r="N36" s="17" t="str">
        <f t="shared" si="0"/>
        <v>No</v>
      </c>
      <c r="O36" s="17" t="str">
        <f t="shared" si="1"/>
        <v>No</v>
      </c>
      <c r="P36" s="18">
        <f t="shared" si="2"/>
        <v>2985.6</v>
      </c>
      <c r="Q36" s="17" t="str">
        <f t="shared" si="3"/>
        <v>Category sourcing</v>
      </c>
      <c r="R36" s="20" t="str">
        <f t="shared" si="4"/>
        <v>Low</v>
      </c>
    </row>
    <row r="37" spans="1:18" ht="15">
      <c r="A37" s="41">
        <v>33</v>
      </c>
      <c r="B37" s="42">
        <v>45850</v>
      </c>
      <c r="C37" s="43" t="s">
        <v>137</v>
      </c>
      <c r="D37" s="43" t="s">
        <v>19</v>
      </c>
      <c r="E37" s="43" t="s">
        <v>72</v>
      </c>
      <c r="F37" s="43" t="s">
        <v>101</v>
      </c>
      <c r="G37" s="43" t="s">
        <v>102</v>
      </c>
      <c r="H37" s="44">
        <v>9180</v>
      </c>
      <c r="I37" s="43" t="s">
        <v>103</v>
      </c>
      <c r="J37" s="43" t="s">
        <v>108</v>
      </c>
      <c r="K37" s="43" t="s">
        <v>103</v>
      </c>
      <c r="L37" s="45">
        <v>0.12</v>
      </c>
      <c r="M37" s="43" t="s">
        <v>114</v>
      </c>
      <c r="N37" s="17" t="str">
        <f t="shared" si="0"/>
        <v>Yes</v>
      </c>
      <c r="O37" s="17" t="str">
        <f t="shared" si="1"/>
        <v>No</v>
      </c>
      <c r="P37" s="18">
        <f t="shared" si="2"/>
        <v>1101.5999999999999</v>
      </c>
      <c r="Q37" s="17" t="str">
        <f t="shared" si="3"/>
        <v>Maverick / non-preferred</v>
      </c>
      <c r="R37" s="20" t="str">
        <f t="shared" si="4"/>
        <v>Low</v>
      </c>
    </row>
    <row r="38" spans="1:18" ht="15">
      <c r="A38" s="41">
        <v>34</v>
      </c>
      <c r="B38" s="42">
        <v>45892</v>
      </c>
      <c r="C38" s="43" t="s">
        <v>138</v>
      </c>
      <c r="D38" s="43" t="s">
        <v>26</v>
      </c>
      <c r="E38" s="43" t="s">
        <v>72</v>
      </c>
      <c r="F38" s="43" t="s">
        <v>127</v>
      </c>
      <c r="G38" s="43" t="s">
        <v>120</v>
      </c>
      <c r="H38" s="44">
        <v>28730</v>
      </c>
      <c r="I38" s="43" t="s">
        <v>108</v>
      </c>
      <c r="J38" s="43" t="s">
        <v>108</v>
      </c>
      <c r="K38" s="43" t="s">
        <v>103</v>
      </c>
      <c r="L38" s="45">
        <v>0.1</v>
      </c>
      <c r="M38" s="43" t="s">
        <v>104</v>
      </c>
      <c r="N38" s="17" t="str">
        <f t="shared" si="0"/>
        <v>Yes</v>
      </c>
      <c r="O38" s="17" t="str">
        <f t="shared" si="1"/>
        <v>No</v>
      </c>
      <c r="P38" s="18">
        <f t="shared" si="2"/>
        <v>2873</v>
      </c>
      <c r="Q38" s="17" t="str">
        <f t="shared" si="3"/>
        <v>Maverick / non-preferred</v>
      </c>
      <c r="R38" s="20" t="str">
        <f t="shared" si="4"/>
        <v>Low</v>
      </c>
    </row>
    <row r="39" spans="1:18" ht="15">
      <c r="A39" s="41">
        <v>35</v>
      </c>
      <c r="B39" s="42">
        <v>45842</v>
      </c>
      <c r="C39" s="43" t="s">
        <v>139</v>
      </c>
      <c r="D39" s="43" t="s">
        <v>81</v>
      </c>
      <c r="E39" s="43" t="s">
        <v>72</v>
      </c>
      <c r="F39" s="43" t="s">
        <v>127</v>
      </c>
      <c r="G39" s="43" t="s">
        <v>102</v>
      </c>
      <c r="H39" s="44">
        <v>11660</v>
      </c>
      <c r="I39" s="43" t="s">
        <v>103</v>
      </c>
      <c r="J39" s="43" t="s">
        <v>103</v>
      </c>
      <c r="K39" s="43" t="s">
        <v>103</v>
      </c>
      <c r="L39" s="45">
        <v>0.18</v>
      </c>
      <c r="M39" s="43" t="s">
        <v>118</v>
      </c>
      <c r="N39" s="17" t="str">
        <f t="shared" si="0"/>
        <v>No</v>
      </c>
      <c r="O39" s="17" t="str">
        <f t="shared" si="1"/>
        <v>No</v>
      </c>
      <c r="P39" s="18">
        <f t="shared" si="2"/>
        <v>2098.7999999999997</v>
      </c>
      <c r="Q39" s="17" t="str">
        <f t="shared" si="3"/>
        <v>Category sourcing</v>
      </c>
      <c r="R39" s="20" t="str">
        <f t="shared" si="4"/>
        <v>Low</v>
      </c>
    </row>
    <row r="40" spans="1:18" ht="15">
      <c r="A40" s="41">
        <v>36</v>
      </c>
      <c r="B40" s="42">
        <v>45983</v>
      </c>
      <c r="C40" s="43" t="s">
        <v>133</v>
      </c>
      <c r="D40" s="43" t="s">
        <v>17</v>
      </c>
      <c r="E40" s="43" t="s">
        <v>67</v>
      </c>
      <c r="F40" s="43" t="s">
        <v>101</v>
      </c>
      <c r="G40" s="43" t="s">
        <v>120</v>
      </c>
      <c r="H40" s="44">
        <v>8110</v>
      </c>
      <c r="I40" s="43" t="s">
        <v>103</v>
      </c>
      <c r="J40" s="43" t="s">
        <v>103</v>
      </c>
      <c r="K40" s="43" t="s">
        <v>103</v>
      </c>
      <c r="L40" s="45">
        <v>0.08</v>
      </c>
      <c r="M40" s="43" t="s">
        <v>104</v>
      </c>
      <c r="N40" s="17" t="str">
        <f t="shared" si="0"/>
        <v>No</v>
      </c>
      <c r="O40" s="17" t="str">
        <f t="shared" si="1"/>
        <v>No</v>
      </c>
      <c r="P40" s="18">
        <f t="shared" si="2"/>
        <v>648.80000000000007</v>
      </c>
      <c r="Q40" s="17" t="str">
        <f t="shared" si="3"/>
        <v>Category sourcing</v>
      </c>
      <c r="R40" s="20" t="str">
        <f t="shared" si="4"/>
        <v>Low</v>
      </c>
    </row>
    <row r="41" spans="1:18" ht="15">
      <c r="A41" s="41">
        <v>37</v>
      </c>
      <c r="B41" s="42">
        <v>45759</v>
      </c>
      <c r="C41" s="43" t="s">
        <v>140</v>
      </c>
      <c r="D41" s="43" t="s">
        <v>21</v>
      </c>
      <c r="E41" s="43" t="s">
        <v>67</v>
      </c>
      <c r="F41" s="43" t="s">
        <v>113</v>
      </c>
      <c r="G41" s="43" t="s">
        <v>110</v>
      </c>
      <c r="H41" s="44">
        <v>16860</v>
      </c>
      <c r="I41" s="43" t="s">
        <v>108</v>
      </c>
      <c r="J41" s="43" t="s">
        <v>103</v>
      </c>
      <c r="K41" s="43" t="s">
        <v>103</v>
      </c>
      <c r="L41" s="45">
        <v>0.06</v>
      </c>
      <c r="M41" s="43" t="s">
        <v>104</v>
      </c>
      <c r="N41" s="17" t="str">
        <f t="shared" si="0"/>
        <v>Yes</v>
      </c>
      <c r="O41" s="17" t="str">
        <f t="shared" si="1"/>
        <v>Yes</v>
      </c>
      <c r="P41" s="18">
        <f t="shared" si="2"/>
        <v>1011.5999999999999</v>
      </c>
      <c r="Q41" s="17" t="str">
        <f t="shared" si="3"/>
        <v>Maverick / non-preferred</v>
      </c>
      <c r="R41" s="20" t="str">
        <f t="shared" si="4"/>
        <v>Low</v>
      </c>
    </row>
    <row r="42" spans="1:18" ht="15">
      <c r="A42" s="41">
        <v>38</v>
      </c>
      <c r="B42" s="42">
        <v>45889</v>
      </c>
      <c r="C42" s="43" t="s">
        <v>129</v>
      </c>
      <c r="D42" s="43" t="s">
        <v>76</v>
      </c>
      <c r="E42" s="43" t="s">
        <v>72</v>
      </c>
      <c r="F42" s="43" t="s">
        <v>115</v>
      </c>
      <c r="G42" s="43" t="s">
        <v>120</v>
      </c>
      <c r="H42" s="44">
        <v>63980</v>
      </c>
      <c r="I42" s="43" t="s">
        <v>108</v>
      </c>
      <c r="J42" s="43" t="s">
        <v>108</v>
      </c>
      <c r="K42" s="43" t="s">
        <v>108</v>
      </c>
      <c r="L42" s="45">
        <v>0.09</v>
      </c>
      <c r="M42" s="43" t="s">
        <v>118</v>
      </c>
      <c r="N42" s="17" t="str">
        <f t="shared" si="0"/>
        <v>Yes</v>
      </c>
      <c r="O42" s="17" t="str">
        <f t="shared" si="1"/>
        <v>No</v>
      </c>
      <c r="P42" s="18">
        <f t="shared" si="2"/>
        <v>0</v>
      </c>
      <c r="Q42" s="17" t="str">
        <f t="shared" si="3"/>
        <v>Maverick / non-preferred</v>
      </c>
      <c r="R42" s="20" t="str">
        <f t="shared" si="4"/>
        <v>Low</v>
      </c>
    </row>
    <row r="43" spans="1:18" ht="15">
      <c r="A43" s="41">
        <v>39</v>
      </c>
      <c r="B43" s="42">
        <v>46007</v>
      </c>
      <c r="C43" s="43" t="s">
        <v>141</v>
      </c>
      <c r="D43" s="43" t="s">
        <v>76</v>
      </c>
      <c r="E43" s="43" t="s">
        <v>72</v>
      </c>
      <c r="F43" s="43" t="s">
        <v>113</v>
      </c>
      <c r="G43" s="43" t="s">
        <v>120</v>
      </c>
      <c r="H43" s="44">
        <v>10380</v>
      </c>
      <c r="I43" s="43" t="s">
        <v>108</v>
      </c>
      <c r="J43" s="43" t="s">
        <v>108</v>
      </c>
      <c r="K43" s="43" t="s">
        <v>108</v>
      </c>
      <c r="L43" s="45">
        <v>0.09</v>
      </c>
      <c r="M43" s="43" t="s">
        <v>118</v>
      </c>
      <c r="N43" s="17" t="str">
        <f t="shared" si="0"/>
        <v>Yes</v>
      </c>
      <c r="O43" s="17" t="str">
        <f t="shared" si="1"/>
        <v>No</v>
      </c>
      <c r="P43" s="18">
        <f t="shared" si="2"/>
        <v>0</v>
      </c>
      <c r="Q43" s="17" t="str">
        <f t="shared" si="3"/>
        <v>Maverick / non-preferred</v>
      </c>
      <c r="R43" s="20" t="str">
        <f t="shared" si="4"/>
        <v>Low</v>
      </c>
    </row>
    <row r="44" spans="1:18" ht="15">
      <c r="A44" s="41">
        <v>40</v>
      </c>
      <c r="B44" s="42">
        <v>45848</v>
      </c>
      <c r="C44" s="43" t="s">
        <v>109</v>
      </c>
      <c r="D44" s="43" t="s">
        <v>17</v>
      </c>
      <c r="E44" s="43" t="s">
        <v>67</v>
      </c>
      <c r="F44" s="43" t="s">
        <v>113</v>
      </c>
      <c r="G44" s="43" t="s">
        <v>120</v>
      </c>
      <c r="H44" s="44">
        <v>11090</v>
      </c>
      <c r="I44" s="43" t="s">
        <v>108</v>
      </c>
      <c r="J44" s="43" t="s">
        <v>108</v>
      </c>
      <c r="K44" s="43" t="s">
        <v>103</v>
      </c>
      <c r="L44" s="45">
        <v>0.08</v>
      </c>
      <c r="M44" s="43" t="s">
        <v>104</v>
      </c>
      <c r="N44" s="17" t="str">
        <f t="shared" si="0"/>
        <v>Yes</v>
      </c>
      <c r="O44" s="17" t="str">
        <f t="shared" si="1"/>
        <v>No</v>
      </c>
      <c r="P44" s="18">
        <f t="shared" si="2"/>
        <v>887.2</v>
      </c>
      <c r="Q44" s="17" t="str">
        <f t="shared" si="3"/>
        <v>Maverick / non-preferred</v>
      </c>
      <c r="R44" s="20" t="str">
        <f t="shared" si="4"/>
        <v>Low</v>
      </c>
    </row>
    <row r="45" spans="1:18" ht="15">
      <c r="A45" s="41">
        <v>41</v>
      </c>
      <c r="B45" s="42">
        <v>45728</v>
      </c>
      <c r="C45" s="43" t="s">
        <v>121</v>
      </c>
      <c r="D45" s="43" t="s">
        <v>25</v>
      </c>
      <c r="E45" s="43" t="s">
        <v>67</v>
      </c>
      <c r="F45" s="43" t="s">
        <v>113</v>
      </c>
      <c r="G45" s="43" t="s">
        <v>110</v>
      </c>
      <c r="H45" s="44">
        <v>39740</v>
      </c>
      <c r="I45" s="43" t="s">
        <v>103</v>
      </c>
      <c r="J45" s="43" t="s">
        <v>108</v>
      </c>
      <c r="K45" s="43" t="s">
        <v>108</v>
      </c>
      <c r="L45" s="45">
        <v>0.05</v>
      </c>
      <c r="M45" s="43" t="s">
        <v>104</v>
      </c>
      <c r="N45" s="17" t="str">
        <f t="shared" si="0"/>
        <v>Yes</v>
      </c>
      <c r="O45" s="17" t="str">
        <f t="shared" si="1"/>
        <v>No</v>
      </c>
      <c r="P45" s="18">
        <f t="shared" si="2"/>
        <v>0</v>
      </c>
      <c r="Q45" s="17" t="str">
        <f t="shared" si="3"/>
        <v>Maverick / non-preferred</v>
      </c>
      <c r="R45" s="20" t="str">
        <f t="shared" si="4"/>
        <v>Low</v>
      </c>
    </row>
    <row r="46" spans="1:18" ht="15">
      <c r="A46" s="41">
        <v>42</v>
      </c>
      <c r="B46" s="42">
        <v>45916</v>
      </c>
      <c r="C46" s="43" t="s">
        <v>142</v>
      </c>
      <c r="D46" s="43" t="s">
        <v>23</v>
      </c>
      <c r="E46" s="43" t="s">
        <v>72</v>
      </c>
      <c r="F46" s="43" t="s">
        <v>113</v>
      </c>
      <c r="G46" s="43" t="s">
        <v>120</v>
      </c>
      <c r="H46" s="44">
        <v>4310</v>
      </c>
      <c r="I46" s="43" t="s">
        <v>103</v>
      </c>
      <c r="J46" s="43" t="s">
        <v>103</v>
      </c>
      <c r="K46" s="43" t="s">
        <v>103</v>
      </c>
      <c r="L46" s="45">
        <v>0.15</v>
      </c>
      <c r="M46" s="43" t="s">
        <v>114</v>
      </c>
      <c r="N46" s="17" t="str">
        <f t="shared" si="0"/>
        <v>No</v>
      </c>
      <c r="O46" s="17" t="str">
        <f t="shared" si="1"/>
        <v>No</v>
      </c>
      <c r="P46" s="18">
        <f t="shared" si="2"/>
        <v>646.5</v>
      </c>
      <c r="Q46" s="17" t="str">
        <f t="shared" si="3"/>
        <v>Category sourcing</v>
      </c>
      <c r="R46" s="20" t="str">
        <f t="shared" si="4"/>
        <v>Low</v>
      </c>
    </row>
    <row r="47" spans="1:18" ht="15">
      <c r="A47" s="41">
        <v>43</v>
      </c>
      <c r="B47" s="42">
        <v>45738</v>
      </c>
      <c r="C47" s="43" t="s">
        <v>142</v>
      </c>
      <c r="D47" s="43" t="s">
        <v>23</v>
      </c>
      <c r="E47" s="43" t="s">
        <v>72</v>
      </c>
      <c r="F47" s="43" t="s">
        <v>101</v>
      </c>
      <c r="G47" s="43" t="s">
        <v>120</v>
      </c>
      <c r="H47" s="44">
        <v>3370</v>
      </c>
      <c r="I47" s="43" t="s">
        <v>103</v>
      </c>
      <c r="J47" s="43" t="s">
        <v>103</v>
      </c>
      <c r="K47" s="43" t="s">
        <v>103</v>
      </c>
      <c r="L47" s="45">
        <v>0.15</v>
      </c>
      <c r="M47" s="43" t="s">
        <v>114</v>
      </c>
      <c r="N47" s="17" t="str">
        <f t="shared" si="0"/>
        <v>No</v>
      </c>
      <c r="O47" s="17" t="str">
        <f t="shared" si="1"/>
        <v>No</v>
      </c>
      <c r="P47" s="18">
        <f t="shared" si="2"/>
        <v>505.5</v>
      </c>
      <c r="Q47" s="17" t="str">
        <f t="shared" si="3"/>
        <v>Category sourcing</v>
      </c>
      <c r="R47" s="20" t="str">
        <f t="shared" si="4"/>
        <v>Low</v>
      </c>
    </row>
    <row r="48" spans="1:18" ht="15">
      <c r="A48" s="41">
        <v>44</v>
      </c>
      <c r="B48" s="42">
        <v>45719</v>
      </c>
      <c r="C48" s="43" t="s">
        <v>143</v>
      </c>
      <c r="D48" s="43" t="s">
        <v>21</v>
      </c>
      <c r="E48" s="43" t="s">
        <v>67</v>
      </c>
      <c r="F48" s="43" t="s">
        <v>115</v>
      </c>
      <c r="G48" s="43" t="s">
        <v>120</v>
      </c>
      <c r="H48" s="44">
        <v>21480</v>
      </c>
      <c r="I48" s="43" t="s">
        <v>108</v>
      </c>
      <c r="J48" s="43" t="s">
        <v>108</v>
      </c>
      <c r="K48" s="43" t="s">
        <v>103</v>
      </c>
      <c r="L48" s="45">
        <v>0.06</v>
      </c>
      <c r="M48" s="43" t="s">
        <v>104</v>
      </c>
      <c r="N48" s="17" t="str">
        <f t="shared" si="0"/>
        <v>Yes</v>
      </c>
      <c r="O48" s="17" t="str">
        <f t="shared" si="1"/>
        <v>No</v>
      </c>
      <c r="P48" s="18">
        <f t="shared" si="2"/>
        <v>1288.8</v>
      </c>
      <c r="Q48" s="17" t="str">
        <f t="shared" si="3"/>
        <v>Maverick / non-preferred</v>
      </c>
      <c r="R48" s="20" t="str">
        <f t="shared" si="4"/>
        <v>Low</v>
      </c>
    </row>
    <row r="49" spans="1:18" ht="15">
      <c r="A49" s="41">
        <v>45</v>
      </c>
      <c r="B49" s="42">
        <v>45824</v>
      </c>
      <c r="C49" s="43" t="s">
        <v>140</v>
      </c>
      <c r="D49" s="43" t="s">
        <v>21</v>
      </c>
      <c r="E49" s="43" t="s">
        <v>67</v>
      </c>
      <c r="F49" s="43" t="s">
        <v>115</v>
      </c>
      <c r="G49" s="43" t="s">
        <v>110</v>
      </c>
      <c r="H49" s="44">
        <v>25180</v>
      </c>
      <c r="I49" s="43" t="s">
        <v>103</v>
      </c>
      <c r="J49" s="43" t="s">
        <v>103</v>
      </c>
      <c r="K49" s="43" t="s">
        <v>103</v>
      </c>
      <c r="L49" s="45">
        <v>0.06</v>
      </c>
      <c r="M49" s="43" t="s">
        <v>104</v>
      </c>
      <c r="N49" s="17" t="str">
        <f t="shared" si="0"/>
        <v>No</v>
      </c>
      <c r="O49" s="17" t="str">
        <f t="shared" si="1"/>
        <v>Yes</v>
      </c>
      <c r="P49" s="18">
        <f t="shared" si="2"/>
        <v>1510.8</v>
      </c>
      <c r="Q49" s="17" t="str">
        <f t="shared" si="3"/>
        <v>Tail consolidation</v>
      </c>
      <c r="R49" s="20" t="str">
        <f t="shared" si="4"/>
        <v>Low</v>
      </c>
    </row>
    <row r="50" spans="1:18" ht="15">
      <c r="A50" s="41">
        <v>46</v>
      </c>
      <c r="B50" s="42">
        <v>45972</v>
      </c>
      <c r="C50" s="43" t="s">
        <v>144</v>
      </c>
      <c r="D50" s="43" t="s">
        <v>83</v>
      </c>
      <c r="E50" s="43" t="s">
        <v>67</v>
      </c>
      <c r="F50" s="43" t="s">
        <v>113</v>
      </c>
      <c r="G50" s="43" t="s">
        <v>120</v>
      </c>
      <c r="H50" s="44">
        <v>23790</v>
      </c>
      <c r="I50" s="43" t="s">
        <v>103</v>
      </c>
      <c r="J50" s="43" t="s">
        <v>103</v>
      </c>
      <c r="K50" s="43" t="s">
        <v>108</v>
      </c>
      <c r="L50" s="45">
        <v>0.06</v>
      </c>
      <c r="M50" s="43" t="s">
        <v>104</v>
      </c>
      <c r="N50" s="17" t="str">
        <f t="shared" si="0"/>
        <v>No</v>
      </c>
      <c r="O50" s="17" t="str">
        <f t="shared" si="1"/>
        <v>No</v>
      </c>
      <c r="P50" s="18">
        <f t="shared" si="2"/>
        <v>0</v>
      </c>
      <c r="Q50" s="17" t="str">
        <f t="shared" si="3"/>
        <v>Non-addressable</v>
      </c>
      <c r="R50" s="20" t="str">
        <f t="shared" si="4"/>
        <v>Low</v>
      </c>
    </row>
    <row r="51" spans="1:18" ht="15">
      <c r="A51" s="41">
        <v>47</v>
      </c>
      <c r="B51" s="42">
        <v>45878</v>
      </c>
      <c r="C51" s="43" t="s">
        <v>145</v>
      </c>
      <c r="D51" s="43" t="s">
        <v>25</v>
      </c>
      <c r="E51" s="43" t="s">
        <v>67</v>
      </c>
      <c r="F51" s="43" t="s">
        <v>115</v>
      </c>
      <c r="G51" s="43" t="s">
        <v>102</v>
      </c>
      <c r="H51" s="44">
        <v>57460</v>
      </c>
      <c r="I51" s="43" t="s">
        <v>103</v>
      </c>
      <c r="J51" s="43" t="s">
        <v>103</v>
      </c>
      <c r="K51" s="43" t="s">
        <v>103</v>
      </c>
      <c r="L51" s="45">
        <v>0.05</v>
      </c>
      <c r="M51" s="43" t="s">
        <v>104</v>
      </c>
      <c r="N51" s="17" t="str">
        <f t="shared" si="0"/>
        <v>No</v>
      </c>
      <c r="O51" s="17" t="str">
        <f t="shared" si="1"/>
        <v>No</v>
      </c>
      <c r="P51" s="18">
        <f t="shared" si="2"/>
        <v>2873</v>
      </c>
      <c r="Q51" s="17" t="str">
        <f t="shared" si="3"/>
        <v>Category sourcing</v>
      </c>
      <c r="R51" s="20" t="str">
        <f t="shared" si="4"/>
        <v>Low</v>
      </c>
    </row>
    <row r="52" spans="1:18" ht="15">
      <c r="A52" s="41">
        <v>48</v>
      </c>
      <c r="B52" s="42">
        <v>45825</v>
      </c>
      <c r="C52" s="43" t="s">
        <v>141</v>
      </c>
      <c r="D52" s="43" t="s">
        <v>76</v>
      </c>
      <c r="E52" s="43" t="s">
        <v>72</v>
      </c>
      <c r="F52" s="43" t="s">
        <v>101</v>
      </c>
      <c r="G52" s="43" t="s">
        <v>110</v>
      </c>
      <c r="H52" s="44">
        <v>26930</v>
      </c>
      <c r="I52" s="43" t="s">
        <v>108</v>
      </c>
      <c r="J52" s="43" t="s">
        <v>108</v>
      </c>
      <c r="K52" s="43" t="s">
        <v>108</v>
      </c>
      <c r="L52" s="45">
        <v>0.09</v>
      </c>
      <c r="M52" s="43" t="s">
        <v>118</v>
      </c>
      <c r="N52" s="17" t="str">
        <f t="shared" si="0"/>
        <v>Yes</v>
      </c>
      <c r="O52" s="17" t="str">
        <f t="shared" si="1"/>
        <v>No</v>
      </c>
      <c r="P52" s="18">
        <f t="shared" si="2"/>
        <v>0</v>
      </c>
      <c r="Q52" s="17" t="str">
        <f t="shared" si="3"/>
        <v>Maverick / non-preferred</v>
      </c>
      <c r="R52" s="20" t="str">
        <f t="shared" si="4"/>
        <v>Low</v>
      </c>
    </row>
    <row r="53" spans="1:18" ht="15">
      <c r="A53" s="41">
        <v>49</v>
      </c>
      <c r="B53" s="42">
        <v>45664</v>
      </c>
      <c r="C53" s="43" t="s">
        <v>139</v>
      </c>
      <c r="D53" s="43" t="s">
        <v>81</v>
      </c>
      <c r="E53" s="43" t="s">
        <v>72</v>
      </c>
      <c r="F53" s="43" t="s">
        <v>101</v>
      </c>
      <c r="G53" s="43" t="s">
        <v>110</v>
      </c>
      <c r="H53" s="44">
        <v>3710</v>
      </c>
      <c r="I53" s="43" t="s">
        <v>103</v>
      </c>
      <c r="J53" s="43" t="s">
        <v>103</v>
      </c>
      <c r="K53" s="43" t="s">
        <v>103</v>
      </c>
      <c r="L53" s="45">
        <v>0.18</v>
      </c>
      <c r="M53" s="43" t="s">
        <v>118</v>
      </c>
      <c r="N53" s="17" t="str">
        <f t="shared" si="0"/>
        <v>No</v>
      </c>
      <c r="O53" s="17" t="str">
        <f t="shared" si="1"/>
        <v>No</v>
      </c>
      <c r="P53" s="18">
        <f t="shared" si="2"/>
        <v>667.8</v>
      </c>
      <c r="Q53" s="17" t="str">
        <f t="shared" si="3"/>
        <v>Category sourcing</v>
      </c>
      <c r="R53" s="20" t="str">
        <f t="shared" si="4"/>
        <v>Low</v>
      </c>
    </row>
    <row r="54" spans="1:18" ht="15">
      <c r="A54" s="41">
        <v>50</v>
      </c>
      <c r="B54" s="42">
        <v>45857</v>
      </c>
      <c r="C54" s="43" t="s">
        <v>129</v>
      </c>
      <c r="D54" s="43" t="s">
        <v>76</v>
      </c>
      <c r="E54" s="43" t="s">
        <v>72</v>
      </c>
      <c r="F54" s="43" t="s">
        <v>101</v>
      </c>
      <c r="G54" s="43" t="s">
        <v>110</v>
      </c>
      <c r="H54" s="44">
        <v>63290</v>
      </c>
      <c r="I54" s="43" t="s">
        <v>103</v>
      </c>
      <c r="J54" s="43" t="s">
        <v>108</v>
      </c>
      <c r="K54" s="43" t="s">
        <v>108</v>
      </c>
      <c r="L54" s="45">
        <v>0.09</v>
      </c>
      <c r="M54" s="43" t="s">
        <v>118</v>
      </c>
      <c r="N54" s="17" t="str">
        <f t="shared" si="0"/>
        <v>Yes</v>
      </c>
      <c r="O54" s="17" t="str">
        <f t="shared" si="1"/>
        <v>No</v>
      </c>
      <c r="P54" s="18">
        <f t="shared" si="2"/>
        <v>0</v>
      </c>
      <c r="Q54" s="17" t="str">
        <f t="shared" si="3"/>
        <v>Maverick / non-preferred</v>
      </c>
      <c r="R54" s="20" t="str">
        <f t="shared" si="4"/>
        <v>Low</v>
      </c>
    </row>
    <row r="55" spans="1:18" ht="15">
      <c r="A55" s="41">
        <v>51</v>
      </c>
      <c r="B55" s="42">
        <v>45761</v>
      </c>
      <c r="C55" s="43" t="s">
        <v>121</v>
      </c>
      <c r="D55" s="43" t="s">
        <v>25</v>
      </c>
      <c r="E55" s="43" t="s">
        <v>67</v>
      </c>
      <c r="F55" s="43" t="s">
        <v>115</v>
      </c>
      <c r="G55" s="43" t="s">
        <v>120</v>
      </c>
      <c r="H55" s="44">
        <v>17630</v>
      </c>
      <c r="I55" s="43" t="s">
        <v>108</v>
      </c>
      <c r="J55" s="43" t="s">
        <v>108</v>
      </c>
      <c r="K55" s="43" t="s">
        <v>108</v>
      </c>
      <c r="L55" s="45">
        <v>0.05</v>
      </c>
      <c r="M55" s="43" t="s">
        <v>104</v>
      </c>
      <c r="N55" s="17" t="str">
        <f t="shared" si="0"/>
        <v>Yes</v>
      </c>
      <c r="O55" s="17" t="str">
        <f t="shared" si="1"/>
        <v>No</v>
      </c>
      <c r="P55" s="18">
        <f t="shared" si="2"/>
        <v>0</v>
      </c>
      <c r="Q55" s="17" t="str">
        <f t="shared" si="3"/>
        <v>Maverick / non-preferred</v>
      </c>
      <c r="R55" s="20" t="str">
        <f t="shared" si="4"/>
        <v>Low</v>
      </c>
    </row>
    <row r="56" spans="1:18" ht="15">
      <c r="A56" s="41">
        <v>52</v>
      </c>
      <c r="B56" s="42">
        <v>45907</v>
      </c>
      <c r="C56" s="43" t="s">
        <v>131</v>
      </c>
      <c r="D56" s="43" t="s">
        <v>79</v>
      </c>
      <c r="E56" s="43" t="s">
        <v>72</v>
      </c>
      <c r="F56" s="43" t="s">
        <v>113</v>
      </c>
      <c r="G56" s="43" t="s">
        <v>107</v>
      </c>
      <c r="H56" s="44">
        <v>5040</v>
      </c>
      <c r="I56" s="43" t="s">
        <v>108</v>
      </c>
      <c r="J56" s="43" t="s">
        <v>108</v>
      </c>
      <c r="K56" s="43" t="s">
        <v>108</v>
      </c>
      <c r="L56" s="45">
        <v>7.0000000000000007E-2</v>
      </c>
      <c r="M56" s="43" t="s">
        <v>124</v>
      </c>
      <c r="N56" s="17" t="str">
        <f t="shared" si="0"/>
        <v>Yes</v>
      </c>
      <c r="O56" s="17" t="str">
        <f t="shared" si="1"/>
        <v>No</v>
      </c>
      <c r="P56" s="18">
        <f t="shared" si="2"/>
        <v>0</v>
      </c>
      <c r="Q56" s="17" t="str">
        <f t="shared" si="3"/>
        <v>Maverick / non-preferred</v>
      </c>
      <c r="R56" s="20" t="str">
        <f t="shared" si="4"/>
        <v>Low</v>
      </c>
    </row>
    <row r="57" spans="1:18" ht="15">
      <c r="A57" s="41">
        <v>53</v>
      </c>
      <c r="B57" s="42">
        <v>45771</v>
      </c>
      <c r="C57" s="43" t="s">
        <v>112</v>
      </c>
      <c r="D57" s="43" t="s">
        <v>23</v>
      </c>
      <c r="E57" s="43" t="s">
        <v>72</v>
      </c>
      <c r="F57" s="43" t="s">
        <v>106</v>
      </c>
      <c r="G57" s="43" t="s">
        <v>110</v>
      </c>
      <c r="H57" s="44">
        <v>2880</v>
      </c>
      <c r="I57" s="43" t="s">
        <v>103</v>
      </c>
      <c r="J57" s="43" t="s">
        <v>108</v>
      </c>
      <c r="K57" s="43" t="s">
        <v>103</v>
      </c>
      <c r="L57" s="45">
        <v>0.15</v>
      </c>
      <c r="M57" s="43" t="s">
        <v>114</v>
      </c>
      <c r="N57" s="17" t="str">
        <f t="shared" si="0"/>
        <v>Yes</v>
      </c>
      <c r="O57" s="17" t="str">
        <f t="shared" si="1"/>
        <v>No</v>
      </c>
      <c r="P57" s="18">
        <f t="shared" si="2"/>
        <v>432</v>
      </c>
      <c r="Q57" s="17" t="str">
        <f t="shared" si="3"/>
        <v>Maverick / non-preferred</v>
      </c>
      <c r="R57" s="20" t="str">
        <f t="shared" si="4"/>
        <v>Low</v>
      </c>
    </row>
    <row r="58" spans="1:18" ht="15">
      <c r="A58" s="41">
        <v>54</v>
      </c>
      <c r="B58" s="42">
        <v>45843</v>
      </c>
      <c r="C58" s="43" t="s">
        <v>129</v>
      </c>
      <c r="D58" s="43" t="s">
        <v>76</v>
      </c>
      <c r="E58" s="43" t="s">
        <v>72</v>
      </c>
      <c r="F58" s="43" t="s">
        <v>113</v>
      </c>
      <c r="G58" s="43" t="s">
        <v>107</v>
      </c>
      <c r="H58" s="44">
        <v>129120</v>
      </c>
      <c r="I58" s="43" t="s">
        <v>108</v>
      </c>
      <c r="J58" s="43" t="s">
        <v>108</v>
      </c>
      <c r="K58" s="43" t="s">
        <v>108</v>
      </c>
      <c r="L58" s="45">
        <v>0.09</v>
      </c>
      <c r="M58" s="43" t="s">
        <v>118</v>
      </c>
      <c r="N58" s="17" t="str">
        <f t="shared" si="0"/>
        <v>Yes</v>
      </c>
      <c r="O58" s="17" t="str">
        <f t="shared" si="1"/>
        <v>No</v>
      </c>
      <c r="P58" s="18">
        <f t="shared" si="2"/>
        <v>0</v>
      </c>
      <c r="Q58" s="17" t="str">
        <f t="shared" si="3"/>
        <v>Maverick / non-preferred</v>
      </c>
      <c r="R58" s="20" t="str">
        <f t="shared" si="4"/>
        <v>Low</v>
      </c>
    </row>
    <row r="59" spans="1:18" ht="15">
      <c r="A59" s="41">
        <v>55</v>
      </c>
      <c r="B59" s="42">
        <v>45817</v>
      </c>
      <c r="C59" s="43" t="s">
        <v>130</v>
      </c>
      <c r="D59" s="43" t="s">
        <v>17</v>
      </c>
      <c r="E59" s="43" t="s">
        <v>67</v>
      </c>
      <c r="F59" s="43" t="s">
        <v>115</v>
      </c>
      <c r="G59" s="43" t="s">
        <v>102</v>
      </c>
      <c r="H59" s="44">
        <v>16870</v>
      </c>
      <c r="I59" s="43" t="s">
        <v>103</v>
      </c>
      <c r="J59" s="43" t="s">
        <v>108</v>
      </c>
      <c r="K59" s="43" t="s">
        <v>103</v>
      </c>
      <c r="L59" s="45">
        <v>0.08</v>
      </c>
      <c r="M59" s="43" t="s">
        <v>104</v>
      </c>
      <c r="N59" s="17" t="str">
        <f t="shared" si="0"/>
        <v>Yes</v>
      </c>
      <c r="O59" s="17" t="str">
        <f t="shared" si="1"/>
        <v>No</v>
      </c>
      <c r="P59" s="18">
        <f t="shared" si="2"/>
        <v>1349.6000000000001</v>
      </c>
      <c r="Q59" s="17" t="str">
        <f t="shared" si="3"/>
        <v>Maverick / non-preferred</v>
      </c>
      <c r="R59" s="20" t="str">
        <f t="shared" si="4"/>
        <v>Low</v>
      </c>
    </row>
    <row r="60" spans="1:18" ht="15">
      <c r="A60" s="41">
        <v>56</v>
      </c>
      <c r="B60" s="42">
        <v>45838</v>
      </c>
      <c r="C60" s="43" t="s">
        <v>130</v>
      </c>
      <c r="D60" s="43" t="s">
        <v>17</v>
      </c>
      <c r="E60" s="43" t="s">
        <v>67</v>
      </c>
      <c r="F60" s="43" t="s">
        <v>101</v>
      </c>
      <c r="G60" s="43" t="s">
        <v>110</v>
      </c>
      <c r="H60" s="44">
        <v>10430</v>
      </c>
      <c r="I60" s="43" t="s">
        <v>108</v>
      </c>
      <c r="J60" s="43" t="s">
        <v>108</v>
      </c>
      <c r="K60" s="43" t="s">
        <v>103</v>
      </c>
      <c r="L60" s="45">
        <v>0.08</v>
      </c>
      <c r="M60" s="43" t="s">
        <v>104</v>
      </c>
      <c r="N60" s="17" t="str">
        <f t="shared" si="0"/>
        <v>Yes</v>
      </c>
      <c r="O60" s="17" t="str">
        <f t="shared" si="1"/>
        <v>No</v>
      </c>
      <c r="P60" s="18">
        <f t="shared" si="2"/>
        <v>834.4</v>
      </c>
      <c r="Q60" s="17" t="str">
        <f t="shared" si="3"/>
        <v>Maverick / non-preferred</v>
      </c>
      <c r="R60" s="20" t="str">
        <f t="shared" si="4"/>
        <v>Low</v>
      </c>
    </row>
    <row r="61" spans="1:18" ht="15">
      <c r="A61" s="41">
        <v>57</v>
      </c>
      <c r="B61" s="42">
        <v>46009</v>
      </c>
      <c r="C61" s="43" t="s">
        <v>100</v>
      </c>
      <c r="D61" s="43" t="s">
        <v>21</v>
      </c>
      <c r="E61" s="43" t="s">
        <v>67</v>
      </c>
      <c r="F61" s="43" t="s">
        <v>106</v>
      </c>
      <c r="G61" s="43" t="s">
        <v>120</v>
      </c>
      <c r="H61" s="44">
        <v>38460</v>
      </c>
      <c r="I61" s="43" t="s">
        <v>103</v>
      </c>
      <c r="J61" s="43" t="s">
        <v>103</v>
      </c>
      <c r="K61" s="43" t="s">
        <v>103</v>
      </c>
      <c r="L61" s="45">
        <v>0.06</v>
      </c>
      <c r="M61" s="43" t="s">
        <v>104</v>
      </c>
      <c r="N61" s="17" t="str">
        <f t="shared" si="0"/>
        <v>No</v>
      </c>
      <c r="O61" s="17" t="str">
        <f t="shared" si="1"/>
        <v>No</v>
      </c>
      <c r="P61" s="18">
        <f t="shared" si="2"/>
        <v>2307.6</v>
      </c>
      <c r="Q61" s="17" t="str">
        <f t="shared" si="3"/>
        <v>Category sourcing</v>
      </c>
      <c r="R61" s="20" t="str">
        <f t="shared" si="4"/>
        <v>Low</v>
      </c>
    </row>
    <row r="62" spans="1:18" ht="15">
      <c r="A62" s="41">
        <v>58</v>
      </c>
      <c r="B62" s="42">
        <v>45778</v>
      </c>
      <c r="C62" s="43" t="s">
        <v>138</v>
      </c>
      <c r="D62" s="43" t="s">
        <v>26</v>
      </c>
      <c r="E62" s="43" t="s">
        <v>72</v>
      </c>
      <c r="F62" s="43" t="s">
        <v>106</v>
      </c>
      <c r="G62" s="43" t="s">
        <v>120</v>
      </c>
      <c r="H62" s="44">
        <v>4020</v>
      </c>
      <c r="I62" s="43" t="s">
        <v>108</v>
      </c>
      <c r="J62" s="43" t="s">
        <v>108</v>
      </c>
      <c r="K62" s="43" t="s">
        <v>103</v>
      </c>
      <c r="L62" s="45">
        <v>0.1</v>
      </c>
      <c r="M62" s="43" t="s">
        <v>104</v>
      </c>
      <c r="N62" s="17" t="str">
        <f t="shared" si="0"/>
        <v>Yes</v>
      </c>
      <c r="O62" s="17" t="str">
        <f t="shared" si="1"/>
        <v>No</v>
      </c>
      <c r="P62" s="18">
        <f t="shared" si="2"/>
        <v>402</v>
      </c>
      <c r="Q62" s="17" t="str">
        <f t="shared" si="3"/>
        <v>Maverick / non-preferred</v>
      </c>
      <c r="R62" s="20" t="str">
        <f t="shared" si="4"/>
        <v>Low</v>
      </c>
    </row>
    <row r="63" spans="1:18" ht="15">
      <c r="A63" s="41">
        <v>59</v>
      </c>
      <c r="B63" s="42">
        <v>45942</v>
      </c>
      <c r="C63" s="43" t="s">
        <v>146</v>
      </c>
      <c r="D63" s="43" t="s">
        <v>26</v>
      </c>
      <c r="E63" s="43" t="s">
        <v>72</v>
      </c>
      <c r="F63" s="43" t="s">
        <v>106</v>
      </c>
      <c r="G63" s="43" t="s">
        <v>107</v>
      </c>
      <c r="H63" s="44">
        <v>15630</v>
      </c>
      <c r="I63" s="43" t="s">
        <v>108</v>
      </c>
      <c r="J63" s="43" t="s">
        <v>108</v>
      </c>
      <c r="K63" s="43" t="s">
        <v>103</v>
      </c>
      <c r="L63" s="45">
        <v>0.1</v>
      </c>
      <c r="M63" s="43" t="s">
        <v>104</v>
      </c>
      <c r="N63" s="17" t="str">
        <f t="shared" si="0"/>
        <v>Yes</v>
      </c>
      <c r="O63" s="17" t="str">
        <f t="shared" si="1"/>
        <v>No</v>
      </c>
      <c r="P63" s="18">
        <f t="shared" si="2"/>
        <v>1563</v>
      </c>
      <c r="Q63" s="17" t="str">
        <f t="shared" si="3"/>
        <v>Maverick / non-preferred</v>
      </c>
      <c r="R63" s="20" t="str">
        <f t="shared" si="4"/>
        <v>Low</v>
      </c>
    </row>
    <row r="64" spans="1:18" ht="15">
      <c r="A64" s="41">
        <v>60</v>
      </c>
      <c r="B64" s="42">
        <v>45693</v>
      </c>
      <c r="C64" s="43" t="s">
        <v>137</v>
      </c>
      <c r="D64" s="43" t="s">
        <v>19</v>
      </c>
      <c r="E64" s="43" t="s">
        <v>72</v>
      </c>
      <c r="F64" s="43" t="s">
        <v>113</v>
      </c>
      <c r="G64" s="43" t="s">
        <v>120</v>
      </c>
      <c r="H64" s="44">
        <v>9180</v>
      </c>
      <c r="I64" s="43" t="s">
        <v>108</v>
      </c>
      <c r="J64" s="43" t="s">
        <v>108</v>
      </c>
      <c r="K64" s="43" t="s">
        <v>103</v>
      </c>
      <c r="L64" s="45">
        <v>0.12</v>
      </c>
      <c r="M64" s="43" t="s">
        <v>114</v>
      </c>
      <c r="N64" s="17" t="str">
        <f t="shared" si="0"/>
        <v>Yes</v>
      </c>
      <c r="O64" s="17" t="str">
        <f t="shared" si="1"/>
        <v>No</v>
      </c>
      <c r="P64" s="18">
        <f t="shared" si="2"/>
        <v>1101.5999999999999</v>
      </c>
      <c r="Q64" s="17" t="str">
        <f t="shared" si="3"/>
        <v>Maverick / non-preferred</v>
      </c>
      <c r="R64" s="20" t="str">
        <f t="shared" si="4"/>
        <v>Low</v>
      </c>
    </row>
    <row r="65" spans="1:18" ht="15">
      <c r="A65" s="41">
        <v>61</v>
      </c>
      <c r="B65" s="42">
        <v>45719</v>
      </c>
      <c r="C65" s="43" t="s">
        <v>136</v>
      </c>
      <c r="D65" s="43" t="s">
        <v>19</v>
      </c>
      <c r="E65" s="43" t="s">
        <v>72</v>
      </c>
      <c r="F65" s="43" t="s">
        <v>115</v>
      </c>
      <c r="G65" s="43" t="s">
        <v>102</v>
      </c>
      <c r="H65" s="44">
        <v>22060</v>
      </c>
      <c r="I65" s="43" t="s">
        <v>103</v>
      </c>
      <c r="J65" s="43" t="s">
        <v>103</v>
      </c>
      <c r="K65" s="43" t="s">
        <v>103</v>
      </c>
      <c r="L65" s="45">
        <v>0.12</v>
      </c>
      <c r="M65" s="43" t="s">
        <v>114</v>
      </c>
      <c r="N65" s="17" t="str">
        <f t="shared" si="0"/>
        <v>No</v>
      </c>
      <c r="O65" s="17" t="str">
        <f t="shared" si="1"/>
        <v>No</v>
      </c>
      <c r="P65" s="18">
        <f t="shared" si="2"/>
        <v>2647.2</v>
      </c>
      <c r="Q65" s="17" t="str">
        <f t="shared" si="3"/>
        <v>Category sourcing</v>
      </c>
      <c r="R65" s="20" t="str">
        <f t="shared" si="4"/>
        <v>Low</v>
      </c>
    </row>
    <row r="66" spans="1:18" ht="15">
      <c r="A66" s="41">
        <v>62</v>
      </c>
      <c r="B66" s="42">
        <v>46004</v>
      </c>
      <c r="C66" s="43" t="s">
        <v>133</v>
      </c>
      <c r="D66" s="43" t="s">
        <v>17</v>
      </c>
      <c r="E66" s="43" t="s">
        <v>67</v>
      </c>
      <c r="F66" s="43" t="s">
        <v>115</v>
      </c>
      <c r="G66" s="43" t="s">
        <v>102</v>
      </c>
      <c r="H66" s="44">
        <v>48420</v>
      </c>
      <c r="I66" s="43" t="s">
        <v>103</v>
      </c>
      <c r="J66" s="43" t="s">
        <v>103</v>
      </c>
      <c r="K66" s="43" t="s">
        <v>103</v>
      </c>
      <c r="L66" s="45">
        <v>0.08</v>
      </c>
      <c r="M66" s="43" t="s">
        <v>104</v>
      </c>
      <c r="N66" s="17" t="str">
        <f t="shared" si="0"/>
        <v>No</v>
      </c>
      <c r="O66" s="17" t="str">
        <f t="shared" si="1"/>
        <v>No</v>
      </c>
      <c r="P66" s="18">
        <f t="shared" si="2"/>
        <v>3873.6</v>
      </c>
      <c r="Q66" s="17" t="str">
        <f t="shared" si="3"/>
        <v>Category sourcing</v>
      </c>
      <c r="R66" s="20" t="str">
        <f t="shared" si="4"/>
        <v>Medium</v>
      </c>
    </row>
    <row r="67" spans="1:18" ht="15">
      <c r="A67" s="41">
        <v>63</v>
      </c>
      <c r="B67" s="42">
        <v>45701</v>
      </c>
      <c r="C67" s="43" t="s">
        <v>132</v>
      </c>
      <c r="D67" s="43" t="s">
        <v>81</v>
      </c>
      <c r="E67" s="43" t="s">
        <v>72</v>
      </c>
      <c r="F67" s="43" t="s">
        <v>113</v>
      </c>
      <c r="G67" s="43" t="s">
        <v>110</v>
      </c>
      <c r="H67" s="44">
        <v>2240</v>
      </c>
      <c r="I67" s="43" t="s">
        <v>103</v>
      </c>
      <c r="J67" s="43" t="s">
        <v>108</v>
      </c>
      <c r="K67" s="43" t="s">
        <v>103</v>
      </c>
      <c r="L67" s="45">
        <v>0.18</v>
      </c>
      <c r="M67" s="43" t="s">
        <v>118</v>
      </c>
      <c r="N67" s="17" t="str">
        <f t="shared" si="0"/>
        <v>Yes</v>
      </c>
      <c r="O67" s="17" t="str">
        <f t="shared" si="1"/>
        <v>Yes</v>
      </c>
      <c r="P67" s="18">
        <f t="shared" si="2"/>
        <v>403.2</v>
      </c>
      <c r="Q67" s="17" t="str">
        <f t="shared" si="3"/>
        <v>Maverick / non-preferred</v>
      </c>
      <c r="R67" s="20" t="str">
        <f t="shared" si="4"/>
        <v>Low</v>
      </c>
    </row>
    <row r="68" spans="1:18" ht="15">
      <c r="A68" s="41">
        <v>64</v>
      </c>
      <c r="B68" s="42">
        <v>45963</v>
      </c>
      <c r="C68" s="43" t="s">
        <v>117</v>
      </c>
      <c r="D68" s="43" t="s">
        <v>81</v>
      </c>
      <c r="E68" s="43" t="s">
        <v>72</v>
      </c>
      <c r="F68" s="43" t="s">
        <v>113</v>
      </c>
      <c r="G68" s="43" t="s">
        <v>110</v>
      </c>
      <c r="H68" s="44">
        <v>2360</v>
      </c>
      <c r="I68" s="43" t="s">
        <v>108</v>
      </c>
      <c r="J68" s="43" t="s">
        <v>108</v>
      </c>
      <c r="K68" s="43" t="s">
        <v>103</v>
      </c>
      <c r="L68" s="45">
        <v>0.18</v>
      </c>
      <c r="M68" s="43" t="s">
        <v>118</v>
      </c>
      <c r="N68" s="17" t="str">
        <f t="shared" si="0"/>
        <v>Yes</v>
      </c>
      <c r="O68" s="17" t="str">
        <f t="shared" si="1"/>
        <v>No</v>
      </c>
      <c r="P68" s="18">
        <f t="shared" si="2"/>
        <v>424.8</v>
      </c>
      <c r="Q68" s="17" t="str">
        <f t="shared" si="3"/>
        <v>Maverick / non-preferred</v>
      </c>
      <c r="R68" s="20" t="str">
        <f t="shared" si="4"/>
        <v>Low</v>
      </c>
    </row>
    <row r="69" spans="1:18" ht="15">
      <c r="A69" s="41">
        <v>65</v>
      </c>
      <c r="B69" s="42">
        <v>45839</v>
      </c>
      <c r="C69" s="43" t="s">
        <v>109</v>
      </c>
      <c r="D69" s="43" t="s">
        <v>17</v>
      </c>
      <c r="E69" s="43" t="s">
        <v>67</v>
      </c>
      <c r="F69" s="43" t="s">
        <v>101</v>
      </c>
      <c r="G69" s="43" t="s">
        <v>107</v>
      </c>
      <c r="H69" s="44">
        <v>29240</v>
      </c>
      <c r="I69" s="43" t="s">
        <v>108</v>
      </c>
      <c r="J69" s="43" t="s">
        <v>108</v>
      </c>
      <c r="K69" s="43" t="s">
        <v>103</v>
      </c>
      <c r="L69" s="45">
        <v>0.08</v>
      </c>
      <c r="M69" s="43" t="s">
        <v>104</v>
      </c>
      <c r="N69" s="17" t="str">
        <f t="shared" ref="N69:N132" si="5">IF(OR(I69="No",J69="No"),"Yes","No")</f>
        <v>Yes</v>
      </c>
      <c r="O69" s="17" t="str">
        <f t="shared" ref="O69:O132" si="6">IF(COUNTIFS($C:$C,C69)&lt;5,"Yes","No")</f>
        <v>No</v>
      </c>
      <c r="P69" s="18">
        <f t="shared" ref="P69:P132" si="7">IF(K69="Yes",H69*L69,0)</f>
        <v>2339.2000000000003</v>
      </c>
      <c r="Q69" s="17" t="str">
        <f t="shared" ref="Q69:Q132" si="8">IF(N69="Yes","Maverick / non-preferred",IF(O69="Yes","Tail consolidation",IF(K69="Yes","Category sourcing","Non-addressable")))</f>
        <v>Maverick / non-preferred</v>
      </c>
      <c r="R69" s="20" t="str">
        <f t="shared" ref="R69:R132" si="9">IF(P69&gt;=10000,"High",IF(P69&gt;=3000,"Medium","Low"))</f>
        <v>Low</v>
      </c>
    </row>
    <row r="70" spans="1:18" ht="15">
      <c r="A70" s="41">
        <v>66</v>
      </c>
      <c r="B70" s="42">
        <v>45965</v>
      </c>
      <c r="C70" s="43" t="s">
        <v>139</v>
      </c>
      <c r="D70" s="43" t="s">
        <v>81</v>
      </c>
      <c r="E70" s="43" t="s">
        <v>72</v>
      </c>
      <c r="F70" s="43" t="s">
        <v>106</v>
      </c>
      <c r="G70" s="43" t="s">
        <v>107</v>
      </c>
      <c r="H70" s="44">
        <v>2770</v>
      </c>
      <c r="I70" s="43" t="s">
        <v>103</v>
      </c>
      <c r="J70" s="43" t="s">
        <v>103</v>
      </c>
      <c r="K70" s="43" t="s">
        <v>103</v>
      </c>
      <c r="L70" s="45">
        <v>0.18</v>
      </c>
      <c r="M70" s="43" t="s">
        <v>118</v>
      </c>
      <c r="N70" s="17" t="str">
        <f t="shared" si="5"/>
        <v>No</v>
      </c>
      <c r="O70" s="17" t="str">
        <f t="shared" si="6"/>
        <v>No</v>
      </c>
      <c r="P70" s="18">
        <f t="shared" si="7"/>
        <v>498.59999999999997</v>
      </c>
      <c r="Q70" s="17" t="str">
        <f t="shared" si="8"/>
        <v>Category sourcing</v>
      </c>
      <c r="R70" s="20" t="str">
        <f t="shared" si="9"/>
        <v>Low</v>
      </c>
    </row>
    <row r="71" spans="1:18" ht="15">
      <c r="A71" s="41">
        <v>67</v>
      </c>
      <c r="B71" s="42">
        <v>45844</v>
      </c>
      <c r="C71" s="43" t="s">
        <v>147</v>
      </c>
      <c r="D71" s="43" t="s">
        <v>25</v>
      </c>
      <c r="E71" s="43" t="s">
        <v>67</v>
      </c>
      <c r="F71" s="43" t="s">
        <v>101</v>
      </c>
      <c r="G71" s="43" t="s">
        <v>102</v>
      </c>
      <c r="H71" s="44">
        <v>33150</v>
      </c>
      <c r="I71" s="43" t="s">
        <v>108</v>
      </c>
      <c r="J71" s="43" t="s">
        <v>108</v>
      </c>
      <c r="K71" s="43" t="s">
        <v>108</v>
      </c>
      <c r="L71" s="45">
        <v>0.05</v>
      </c>
      <c r="M71" s="43" t="s">
        <v>104</v>
      </c>
      <c r="N71" s="17" t="str">
        <f t="shared" si="5"/>
        <v>Yes</v>
      </c>
      <c r="O71" s="17" t="str">
        <f t="shared" si="6"/>
        <v>Yes</v>
      </c>
      <c r="P71" s="18">
        <f t="shared" si="7"/>
        <v>0</v>
      </c>
      <c r="Q71" s="17" t="str">
        <f t="shared" si="8"/>
        <v>Maverick / non-preferred</v>
      </c>
      <c r="R71" s="20" t="str">
        <f t="shared" si="9"/>
        <v>Low</v>
      </c>
    </row>
    <row r="72" spans="1:18" ht="15">
      <c r="A72" s="41">
        <v>68</v>
      </c>
      <c r="B72" s="42">
        <v>45818</v>
      </c>
      <c r="C72" s="43" t="s">
        <v>146</v>
      </c>
      <c r="D72" s="43" t="s">
        <v>26</v>
      </c>
      <c r="E72" s="43" t="s">
        <v>72</v>
      </c>
      <c r="F72" s="43" t="s">
        <v>106</v>
      </c>
      <c r="G72" s="43" t="s">
        <v>107</v>
      </c>
      <c r="H72" s="44">
        <v>5200</v>
      </c>
      <c r="I72" s="43" t="s">
        <v>108</v>
      </c>
      <c r="J72" s="43" t="s">
        <v>108</v>
      </c>
      <c r="K72" s="43" t="s">
        <v>103</v>
      </c>
      <c r="L72" s="45">
        <v>0.1</v>
      </c>
      <c r="M72" s="43" t="s">
        <v>104</v>
      </c>
      <c r="N72" s="17" t="str">
        <f t="shared" si="5"/>
        <v>Yes</v>
      </c>
      <c r="O72" s="17" t="str">
        <f t="shared" si="6"/>
        <v>No</v>
      </c>
      <c r="P72" s="18">
        <f t="shared" si="7"/>
        <v>520</v>
      </c>
      <c r="Q72" s="17" t="str">
        <f t="shared" si="8"/>
        <v>Maverick / non-preferred</v>
      </c>
      <c r="R72" s="20" t="str">
        <f t="shared" si="9"/>
        <v>Low</v>
      </c>
    </row>
    <row r="73" spans="1:18" ht="15">
      <c r="A73" s="41">
        <v>69</v>
      </c>
      <c r="B73" s="42">
        <v>45878</v>
      </c>
      <c r="C73" s="43" t="s">
        <v>148</v>
      </c>
      <c r="D73" s="43" t="s">
        <v>76</v>
      </c>
      <c r="E73" s="43" t="s">
        <v>72</v>
      </c>
      <c r="F73" s="43" t="s">
        <v>113</v>
      </c>
      <c r="G73" s="43" t="s">
        <v>107</v>
      </c>
      <c r="H73" s="44">
        <v>35280</v>
      </c>
      <c r="I73" s="43" t="s">
        <v>108</v>
      </c>
      <c r="J73" s="43" t="s">
        <v>108</v>
      </c>
      <c r="K73" s="43" t="s">
        <v>108</v>
      </c>
      <c r="L73" s="45">
        <v>0.09</v>
      </c>
      <c r="M73" s="43" t="s">
        <v>118</v>
      </c>
      <c r="N73" s="17" t="str">
        <f t="shared" si="5"/>
        <v>Yes</v>
      </c>
      <c r="O73" s="17" t="str">
        <f t="shared" si="6"/>
        <v>Yes</v>
      </c>
      <c r="P73" s="18">
        <f t="shared" si="7"/>
        <v>0</v>
      </c>
      <c r="Q73" s="17" t="str">
        <f t="shared" si="8"/>
        <v>Maverick / non-preferred</v>
      </c>
      <c r="R73" s="20" t="str">
        <f t="shared" si="9"/>
        <v>Low</v>
      </c>
    </row>
    <row r="74" spans="1:18" ht="15">
      <c r="A74" s="41">
        <v>70</v>
      </c>
      <c r="B74" s="42">
        <v>45702</v>
      </c>
      <c r="C74" s="43" t="s">
        <v>116</v>
      </c>
      <c r="D74" s="43" t="s">
        <v>26</v>
      </c>
      <c r="E74" s="43" t="s">
        <v>72</v>
      </c>
      <c r="F74" s="43" t="s">
        <v>127</v>
      </c>
      <c r="G74" s="43" t="s">
        <v>102</v>
      </c>
      <c r="H74" s="44">
        <v>9210</v>
      </c>
      <c r="I74" s="43" t="s">
        <v>103</v>
      </c>
      <c r="J74" s="43" t="s">
        <v>103</v>
      </c>
      <c r="K74" s="43" t="s">
        <v>103</v>
      </c>
      <c r="L74" s="45">
        <v>0.1</v>
      </c>
      <c r="M74" s="43" t="s">
        <v>104</v>
      </c>
      <c r="N74" s="17" t="str">
        <f t="shared" si="5"/>
        <v>No</v>
      </c>
      <c r="O74" s="17" t="str">
        <f t="shared" si="6"/>
        <v>No</v>
      </c>
      <c r="P74" s="18">
        <f t="shared" si="7"/>
        <v>921</v>
      </c>
      <c r="Q74" s="17" t="str">
        <f t="shared" si="8"/>
        <v>Category sourcing</v>
      </c>
      <c r="R74" s="20" t="str">
        <f t="shared" si="9"/>
        <v>Low</v>
      </c>
    </row>
    <row r="75" spans="1:18" ht="15">
      <c r="A75" s="41">
        <v>71</v>
      </c>
      <c r="B75" s="42">
        <v>46008</v>
      </c>
      <c r="C75" s="43" t="s">
        <v>149</v>
      </c>
      <c r="D75" s="43" t="s">
        <v>79</v>
      </c>
      <c r="E75" s="43" t="s">
        <v>72</v>
      </c>
      <c r="F75" s="43" t="s">
        <v>127</v>
      </c>
      <c r="G75" s="43" t="s">
        <v>110</v>
      </c>
      <c r="H75" s="44">
        <v>42260</v>
      </c>
      <c r="I75" s="43" t="s">
        <v>103</v>
      </c>
      <c r="J75" s="43" t="s">
        <v>103</v>
      </c>
      <c r="K75" s="43" t="s">
        <v>108</v>
      </c>
      <c r="L75" s="45">
        <v>7.0000000000000007E-2</v>
      </c>
      <c r="M75" s="43" t="s">
        <v>124</v>
      </c>
      <c r="N75" s="17" t="str">
        <f t="shared" si="5"/>
        <v>No</v>
      </c>
      <c r="O75" s="17" t="str">
        <f t="shared" si="6"/>
        <v>No</v>
      </c>
      <c r="P75" s="18">
        <f t="shared" si="7"/>
        <v>0</v>
      </c>
      <c r="Q75" s="17" t="str">
        <f t="shared" si="8"/>
        <v>Non-addressable</v>
      </c>
      <c r="R75" s="20" t="str">
        <f t="shared" si="9"/>
        <v>Low</v>
      </c>
    </row>
    <row r="76" spans="1:18" ht="15">
      <c r="A76" s="41">
        <v>72</v>
      </c>
      <c r="B76" s="42">
        <v>45901</v>
      </c>
      <c r="C76" s="43" t="s">
        <v>150</v>
      </c>
      <c r="D76" s="43" t="s">
        <v>23</v>
      </c>
      <c r="E76" s="43" t="s">
        <v>72</v>
      </c>
      <c r="F76" s="43" t="s">
        <v>115</v>
      </c>
      <c r="G76" s="43" t="s">
        <v>102</v>
      </c>
      <c r="H76" s="44">
        <v>4260</v>
      </c>
      <c r="I76" s="43" t="s">
        <v>108</v>
      </c>
      <c r="J76" s="43" t="s">
        <v>108</v>
      </c>
      <c r="K76" s="43" t="s">
        <v>103</v>
      </c>
      <c r="L76" s="45">
        <v>0.15</v>
      </c>
      <c r="M76" s="43" t="s">
        <v>114</v>
      </c>
      <c r="N76" s="17" t="str">
        <f t="shared" si="5"/>
        <v>Yes</v>
      </c>
      <c r="O76" s="17" t="str">
        <f t="shared" si="6"/>
        <v>Yes</v>
      </c>
      <c r="P76" s="18">
        <f t="shared" si="7"/>
        <v>639</v>
      </c>
      <c r="Q76" s="17" t="str">
        <f t="shared" si="8"/>
        <v>Maverick / non-preferred</v>
      </c>
      <c r="R76" s="20" t="str">
        <f t="shared" si="9"/>
        <v>Low</v>
      </c>
    </row>
    <row r="77" spans="1:18" ht="15">
      <c r="A77" s="41">
        <v>73</v>
      </c>
      <c r="B77" s="42">
        <v>45996</v>
      </c>
      <c r="C77" s="43" t="s">
        <v>151</v>
      </c>
      <c r="D77" s="43" t="s">
        <v>25</v>
      </c>
      <c r="E77" s="43" t="s">
        <v>67</v>
      </c>
      <c r="F77" s="43" t="s">
        <v>106</v>
      </c>
      <c r="G77" s="43" t="s">
        <v>107</v>
      </c>
      <c r="H77" s="44">
        <v>37800</v>
      </c>
      <c r="I77" s="43" t="s">
        <v>108</v>
      </c>
      <c r="J77" s="43" t="s">
        <v>108</v>
      </c>
      <c r="K77" s="43" t="s">
        <v>108</v>
      </c>
      <c r="L77" s="45">
        <v>0.05</v>
      </c>
      <c r="M77" s="43" t="s">
        <v>104</v>
      </c>
      <c r="N77" s="17" t="str">
        <f t="shared" si="5"/>
        <v>Yes</v>
      </c>
      <c r="O77" s="17" t="str">
        <f t="shared" si="6"/>
        <v>Yes</v>
      </c>
      <c r="P77" s="18">
        <f t="shared" si="7"/>
        <v>0</v>
      </c>
      <c r="Q77" s="17" t="str">
        <f t="shared" si="8"/>
        <v>Maverick / non-preferred</v>
      </c>
      <c r="R77" s="20" t="str">
        <f t="shared" si="9"/>
        <v>Low</v>
      </c>
    </row>
    <row r="78" spans="1:18" ht="15">
      <c r="A78" s="41">
        <v>74</v>
      </c>
      <c r="B78" s="42">
        <v>45853</v>
      </c>
      <c r="C78" s="43" t="s">
        <v>130</v>
      </c>
      <c r="D78" s="43" t="s">
        <v>17</v>
      </c>
      <c r="E78" s="43" t="s">
        <v>67</v>
      </c>
      <c r="F78" s="43" t="s">
        <v>106</v>
      </c>
      <c r="G78" s="43" t="s">
        <v>102</v>
      </c>
      <c r="H78" s="44">
        <v>21810</v>
      </c>
      <c r="I78" s="43" t="s">
        <v>103</v>
      </c>
      <c r="J78" s="43" t="s">
        <v>108</v>
      </c>
      <c r="K78" s="43" t="s">
        <v>103</v>
      </c>
      <c r="L78" s="45">
        <v>0.08</v>
      </c>
      <c r="M78" s="43" t="s">
        <v>104</v>
      </c>
      <c r="N78" s="17" t="str">
        <f t="shared" si="5"/>
        <v>Yes</v>
      </c>
      <c r="O78" s="17" t="str">
        <f t="shared" si="6"/>
        <v>No</v>
      </c>
      <c r="P78" s="18">
        <f t="shared" si="7"/>
        <v>1744.8</v>
      </c>
      <c r="Q78" s="17" t="str">
        <f t="shared" si="8"/>
        <v>Maverick / non-preferred</v>
      </c>
      <c r="R78" s="20" t="str">
        <f t="shared" si="9"/>
        <v>Low</v>
      </c>
    </row>
    <row r="79" spans="1:18" ht="15">
      <c r="A79" s="41">
        <v>75</v>
      </c>
      <c r="B79" s="42">
        <v>45703</v>
      </c>
      <c r="C79" s="43" t="s">
        <v>152</v>
      </c>
      <c r="D79" s="43" t="s">
        <v>19</v>
      </c>
      <c r="E79" s="43" t="s">
        <v>72</v>
      </c>
      <c r="F79" s="43" t="s">
        <v>113</v>
      </c>
      <c r="G79" s="43" t="s">
        <v>107</v>
      </c>
      <c r="H79" s="44">
        <v>12370</v>
      </c>
      <c r="I79" s="43" t="s">
        <v>103</v>
      </c>
      <c r="J79" s="43" t="s">
        <v>103</v>
      </c>
      <c r="K79" s="43" t="s">
        <v>103</v>
      </c>
      <c r="L79" s="45">
        <v>0.12</v>
      </c>
      <c r="M79" s="43" t="s">
        <v>114</v>
      </c>
      <c r="N79" s="17" t="str">
        <f t="shared" si="5"/>
        <v>No</v>
      </c>
      <c r="O79" s="17" t="str">
        <f t="shared" si="6"/>
        <v>No</v>
      </c>
      <c r="P79" s="18">
        <f t="shared" si="7"/>
        <v>1484.3999999999999</v>
      </c>
      <c r="Q79" s="17" t="str">
        <f t="shared" si="8"/>
        <v>Category sourcing</v>
      </c>
      <c r="R79" s="20" t="str">
        <f t="shared" si="9"/>
        <v>Low</v>
      </c>
    </row>
    <row r="80" spans="1:18" ht="15">
      <c r="A80" s="41">
        <v>76</v>
      </c>
      <c r="B80" s="42">
        <v>45919</v>
      </c>
      <c r="C80" s="43" t="s">
        <v>148</v>
      </c>
      <c r="D80" s="43" t="s">
        <v>76</v>
      </c>
      <c r="E80" s="43" t="s">
        <v>72</v>
      </c>
      <c r="F80" s="43" t="s">
        <v>115</v>
      </c>
      <c r="G80" s="43" t="s">
        <v>120</v>
      </c>
      <c r="H80" s="44">
        <v>34930</v>
      </c>
      <c r="I80" s="43" t="s">
        <v>103</v>
      </c>
      <c r="J80" s="43" t="s">
        <v>108</v>
      </c>
      <c r="K80" s="43" t="s">
        <v>108</v>
      </c>
      <c r="L80" s="45">
        <v>0.09</v>
      </c>
      <c r="M80" s="43" t="s">
        <v>118</v>
      </c>
      <c r="N80" s="17" t="str">
        <f t="shared" si="5"/>
        <v>Yes</v>
      </c>
      <c r="O80" s="17" t="str">
        <f t="shared" si="6"/>
        <v>Yes</v>
      </c>
      <c r="P80" s="18">
        <f t="shared" si="7"/>
        <v>0</v>
      </c>
      <c r="Q80" s="17" t="str">
        <f t="shared" si="8"/>
        <v>Maverick / non-preferred</v>
      </c>
      <c r="R80" s="20" t="str">
        <f t="shared" si="9"/>
        <v>Low</v>
      </c>
    </row>
    <row r="81" spans="1:18" ht="15">
      <c r="A81" s="41">
        <v>77</v>
      </c>
      <c r="B81" s="42">
        <v>45755</v>
      </c>
      <c r="C81" s="43" t="s">
        <v>139</v>
      </c>
      <c r="D81" s="43" t="s">
        <v>81</v>
      </c>
      <c r="E81" s="43" t="s">
        <v>72</v>
      </c>
      <c r="F81" s="43" t="s">
        <v>115</v>
      </c>
      <c r="G81" s="43" t="s">
        <v>110</v>
      </c>
      <c r="H81" s="44">
        <v>1320</v>
      </c>
      <c r="I81" s="43" t="s">
        <v>108</v>
      </c>
      <c r="J81" s="43" t="s">
        <v>103</v>
      </c>
      <c r="K81" s="43" t="s">
        <v>103</v>
      </c>
      <c r="L81" s="45">
        <v>0.18</v>
      </c>
      <c r="M81" s="43" t="s">
        <v>118</v>
      </c>
      <c r="N81" s="17" t="str">
        <f t="shared" si="5"/>
        <v>Yes</v>
      </c>
      <c r="O81" s="17" t="str">
        <f t="shared" si="6"/>
        <v>No</v>
      </c>
      <c r="P81" s="18">
        <f t="shared" si="7"/>
        <v>237.6</v>
      </c>
      <c r="Q81" s="17" t="str">
        <f t="shared" si="8"/>
        <v>Maverick / non-preferred</v>
      </c>
      <c r="R81" s="20" t="str">
        <f t="shared" si="9"/>
        <v>Low</v>
      </c>
    </row>
    <row r="82" spans="1:18" ht="15">
      <c r="A82" s="41">
        <v>78</v>
      </c>
      <c r="B82" s="42">
        <v>45775</v>
      </c>
      <c r="C82" s="43" t="s">
        <v>105</v>
      </c>
      <c r="D82" s="43" t="s">
        <v>25</v>
      </c>
      <c r="E82" s="43" t="s">
        <v>67</v>
      </c>
      <c r="F82" s="43" t="s">
        <v>115</v>
      </c>
      <c r="G82" s="43" t="s">
        <v>120</v>
      </c>
      <c r="H82" s="44">
        <v>55360</v>
      </c>
      <c r="I82" s="43" t="s">
        <v>103</v>
      </c>
      <c r="J82" s="43" t="s">
        <v>103</v>
      </c>
      <c r="K82" s="43" t="s">
        <v>103</v>
      </c>
      <c r="L82" s="45">
        <v>0.05</v>
      </c>
      <c r="M82" s="43" t="s">
        <v>104</v>
      </c>
      <c r="N82" s="17" t="str">
        <f t="shared" si="5"/>
        <v>No</v>
      </c>
      <c r="O82" s="17" t="str">
        <f t="shared" si="6"/>
        <v>No</v>
      </c>
      <c r="P82" s="18">
        <f t="shared" si="7"/>
        <v>2768</v>
      </c>
      <c r="Q82" s="17" t="str">
        <f t="shared" si="8"/>
        <v>Category sourcing</v>
      </c>
      <c r="R82" s="20" t="str">
        <f t="shared" si="9"/>
        <v>Low</v>
      </c>
    </row>
    <row r="83" spans="1:18" ht="15">
      <c r="A83" s="41">
        <v>79</v>
      </c>
      <c r="B83" s="42">
        <v>45867</v>
      </c>
      <c r="C83" s="43" t="s">
        <v>126</v>
      </c>
      <c r="D83" s="43" t="s">
        <v>23</v>
      </c>
      <c r="E83" s="43" t="s">
        <v>72</v>
      </c>
      <c r="F83" s="43" t="s">
        <v>106</v>
      </c>
      <c r="G83" s="43" t="s">
        <v>102</v>
      </c>
      <c r="H83" s="44">
        <v>4000</v>
      </c>
      <c r="I83" s="43" t="s">
        <v>108</v>
      </c>
      <c r="J83" s="43" t="s">
        <v>108</v>
      </c>
      <c r="K83" s="43" t="s">
        <v>103</v>
      </c>
      <c r="L83" s="45">
        <v>0.15</v>
      </c>
      <c r="M83" s="43" t="s">
        <v>114</v>
      </c>
      <c r="N83" s="17" t="str">
        <f t="shared" si="5"/>
        <v>Yes</v>
      </c>
      <c r="O83" s="17" t="str">
        <f t="shared" si="6"/>
        <v>No</v>
      </c>
      <c r="P83" s="18">
        <f t="shared" si="7"/>
        <v>600</v>
      </c>
      <c r="Q83" s="17" t="str">
        <f t="shared" si="8"/>
        <v>Maverick / non-preferred</v>
      </c>
      <c r="R83" s="20" t="str">
        <f t="shared" si="9"/>
        <v>Low</v>
      </c>
    </row>
    <row r="84" spans="1:18" ht="15">
      <c r="A84" s="41">
        <v>80</v>
      </c>
      <c r="B84" s="42">
        <v>45774</v>
      </c>
      <c r="C84" s="43" t="s">
        <v>152</v>
      </c>
      <c r="D84" s="43" t="s">
        <v>19</v>
      </c>
      <c r="E84" s="43" t="s">
        <v>72</v>
      </c>
      <c r="F84" s="43" t="s">
        <v>106</v>
      </c>
      <c r="G84" s="43" t="s">
        <v>102</v>
      </c>
      <c r="H84" s="44">
        <v>16130</v>
      </c>
      <c r="I84" s="43" t="s">
        <v>103</v>
      </c>
      <c r="J84" s="43" t="s">
        <v>103</v>
      </c>
      <c r="K84" s="43" t="s">
        <v>103</v>
      </c>
      <c r="L84" s="45">
        <v>0.12</v>
      </c>
      <c r="M84" s="43" t="s">
        <v>114</v>
      </c>
      <c r="N84" s="17" t="str">
        <f t="shared" si="5"/>
        <v>No</v>
      </c>
      <c r="O84" s="17" t="str">
        <f t="shared" si="6"/>
        <v>No</v>
      </c>
      <c r="P84" s="18">
        <f t="shared" si="7"/>
        <v>1935.6</v>
      </c>
      <c r="Q84" s="17" t="str">
        <f t="shared" si="8"/>
        <v>Category sourcing</v>
      </c>
      <c r="R84" s="20" t="str">
        <f t="shared" si="9"/>
        <v>Low</v>
      </c>
    </row>
    <row r="85" spans="1:18" ht="15">
      <c r="A85" s="41">
        <v>81</v>
      </c>
      <c r="B85" s="42">
        <v>45920</v>
      </c>
      <c r="C85" s="43" t="s">
        <v>142</v>
      </c>
      <c r="D85" s="43" t="s">
        <v>23</v>
      </c>
      <c r="E85" s="43" t="s">
        <v>72</v>
      </c>
      <c r="F85" s="43" t="s">
        <v>113</v>
      </c>
      <c r="G85" s="43" t="s">
        <v>120</v>
      </c>
      <c r="H85" s="44">
        <v>6400</v>
      </c>
      <c r="I85" s="43" t="s">
        <v>103</v>
      </c>
      <c r="J85" s="43" t="s">
        <v>103</v>
      </c>
      <c r="K85" s="43" t="s">
        <v>103</v>
      </c>
      <c r="L85" s="45">
        <v>0.15</v>
      </c>
      <c r="M85" s="43" t="s">
        <v>114</v>
      </c>
      <c r="N85" s="17" t="str">
        <f t="shared" si="5"/>
        <v>No</v>
      </c>
      <c r="O85" s="17" t="str">
        <f t="shared" si="6"/>
        <v>No</v>
      </c>
      <c r="P85" s="18">
        <f t="shared" si="7"/>
        <v>960</v>
      </c>
      <c r="Q85" s="17" t="str">
        <f t="shared" si="8"/>
        <v>Category sourcing</v>
      </c>
      <c r="R85" s="20" t="str">
        <f t="shared" si="9"/>
        <v>Low</v>
      </c>
    </row>
    <row r="86" spans="1:18" ht="15">
      <c r="A86" s="41">
        <v>82</v>
      </c>
      <c r="B86" s="42">
        <v>45739</v>
      </c>
      <c r="C86" s="43" t="s">
        <v>131</v>
      </c>
      <c r="D86" s="43" t="s">
        <v>79</v>
      </c>
      <c r="E86" s="43" t="s">
        <v>72</v>
      </c>
      <c r="F86" s="43" t="s">
        <v>115</v>
      </c>
      <c r="G86" s="43" t="s">
        <v>102</v>
      </c>
      <c r="H86" s="44">
        <v>39350</v>
      </c>
      <c r="I86" s="43" t="s">
        <v>108</v>
      </c>
      <c r="J86" s="43" t="s">
        <v>108</v>
      </c>
      <c r="K86" s="43" t="s">
        <v>108</v>
      </c>
      <c r="L86" s="45">
        <v>7.0000000000000007E-2</v>
      </c>
      <c r="M86" s="43" t="s">
        <v>124</v>
      </c>
      <c r="N86" s="17" t="str">
        <f t="shared" si="5"/>
        <v>Yes</v>
      </c>
      <c r="O86" s="17" t="str">
        <f t="shared" si="6"/>
        <v>No</v>
      </c>
      <c r="P86" s="18">
        <f t="shared" si="7"/>
        <v>0</v>
      </c>
      <c r="Q86" s="17" t="str">
        <f t="shared" si="8"/>
        <v>Maverick / non-preferred</v>
      </c>
      <c r="R86" s="20" t="str">
        <f t="shared" si="9"/>
        <v>Low</v>
      </c>
    </row>
    <row r="87" spans="1:18" ht="15">
      <c r="A87" s="41">
        <v>83</v>
      </c>
      <c r="B87" s="42">
        <v>45858</v>
      </c>
      <c r="C87" s="43" t="s">
        <v>133</v>
      </c>
      <c r="D87" s="43" t="s">
        <v>17</v>
      </c>
      <c r="E87" s="43" t="s">
        <v>67</v>
      </c>
      <c r="F87" s="43" t="s">
        <v>115</v>
      </c>
      <c r="G87" s="43" t="s">
        <v>120</v>
      </c>
      <c r="H87" s="44">
        <v>7780</v>
      </c>
      <c r="I87" s="43" t="s">
        <v>103</v>
      </c>
      <c r="J87" s="43" t="s">
        <v>103</v>
      </c>
      <c r="K87" s="43" t="s">
        <v>103</v>
      </c>
      <c r="L87" s="45">
        <v>0.08</v>
      </c>
      <c r="M87" s="43" t="s">
        <v>104</v>
      </c>
      <c r="N87" s="17" t="str">
        <f t="shared" si="5"/>
        <v>No</v>
      </c>
      <c r="O87" s="17" t="str">
        <f t="shared" si="6"/>
        <v>No</v>
      </c>
      <c r="P87" s="18">
        <f t="shared" si="7"/>
        <v>622.4</v>
      </c>
      <c r="Q87" s="17" t="str">
        <f t="shared" si="8"/>
        <v>Category sourcing</v>
      </c>
      <c r="R87" s="20" t="str">
        <f t="shared" si="9"/>
        <v>Low</v>
      </c>
    </row>
    <row r="88" spans="1:18" ht="15">
      <c r="A88" s="41">
        <v>84</v>
      </c>
      <c r="B88" s="42">
        <v>45883</v>
      </c>
      <c r="C88" s="43" t="s">
        <v>150</v>
      </c>
      <c r="D88" s="43" t="s">
        <v>23</v>
      </c>
      <c r="E88" s="43" t="s">
        <v>72</v>
      </c>
      <c r="F88" s="43" t="s">
        <v>101</v>
      </c>
      <c r="G88" s="43" t="s">
        <v>120</v>
      </c>
      <c r="H88" s="44">
        <v>13640</v>
      </c>
      <c r="I88" s="43" t="s">
        <v>108</v>
      </c>
      <c r="J88" s="43" t="s">
        <v>108</v>
      </c>
      <c r="K88" s="43" t="s">
        <v>103</v>
      </c>
      <c r="L88" s="45">
        <v>0.15</v>
      </c>
      <c r="M88" s="43" t="s">
        <v>114</v>
      </c>
      <c r="N88" s="17" t="str">
        <f t="shared" si="5"/>
        <v>Yes</v>
      </c>
      <c r="O88" s="17" t="str">
        <f t="shared" si="6"/>
        <v>Yes</v>
      </c>
      <c r="P88" s="18">
        <f t="shared" si="7"/>
        <v>2046</v>
      </c>
      <c r="Q88" s="17" t="str">
        <f t="shared" si="8"/>
        <v>Maverick / non-preferred</v>
      </c>
      <c r="R88" s="20" t="str">
        <f t="shared" si="9"/>
        <v>Low</v>
      </c>
    </row>
    <row r="89" spans="1:18" ht="15">
      <c r="A89" s="41">
        <v>85</v>
      </c>
      <c r="B89" s="42">
        <v>45678</v>
      </c>
      <c r="C89" s="43" t="s">
        <v>111</v>
      </c>
      <c r="D89" s="43" t="s">
        <v>83</v>
      </c>
      <c r="E89" s="43" t="s">
        <v>67</v>
      </c>
      <c r="F89" s="43" t="s">
        <v>106</v>
      </c>
      <c r="G89" s="43" t="s">
        <v>120</v>
      </c>
      <c r="H89" s="44">
        <v>16440</v>
      </c>
      <c r="I89" s="43" t="s">
        <v>103</v>
      </c>
      <c r="J89" s="43" t="s">
        <v>103</v>
      </c>
      <c r="K89" s="43" t="s">
        <v>108</v>
      </c>
      <c r="L89" s="45">
        <v>0.06</v>
      </c>
      <c r="M89" s="43" t="s">
        <v>104</v>
      </c>
      <c r="N89" s="17" t="str">
        <f t="shared" si="5"/>
        <v>No</v>
      </c>
      <c r="O89" s="17" t="str">
        <f t="shared" si="6"/>
        <v>No</v>
      </c>
      <c r="P89" s="18">
        <f t="shared" si="7"/>
        <v>0</v>
      </c>
      <c r="Q89" s="17" t="str">
        <f t="shared" si="8"/>
        <v>Non-addressable</v>
      </c>
      <c r="R89" s="20" t="str">
        <f t="shared" si="9"/>
        <v>Low</v>
      </c>
    </row>
    <row r="90" spans="1:18" ht="15">
      <c r="A90" s="41">
        <v>86</v>
      </c>
      <c r="B90" s="42">
        <v>45827</v>
      </c>
      <c r="C90" s="43" t="s">
        <v>153</v>
      </c>
      <c r="D90" s="43" t="s">
        <v>76</v>
      </c>
      <c r="E90" s="43" t="s">
        <v>72</v>
      </c>
      <c r="F90" s="43" t="s">
        <v>101</v>
      </c>
      <c r="G90" s="43" t="s">
        <v>102</v>
      </c>
      <c r="H90" s="44">
        <v>30640</v>
      </c>
      <c r="I90" s="43" t="s">
        <v>103</v>
      </c>
      <c r="J90" s="43" t="s">
        <v>103</v>
      </c>
      <c r="K90" s="43" t="s">
        <v>108</v>
      </c>
      <c r="L90" s="45">
        <v>0.09</v>
      </c>
      <c r="M90" s="43" t="s">
        <v>118</v>
      </c>
      <c r="N90" s="17" t="str">
        <f t="shared" si="5"/>
        <v>No</v>
      </c>
      <c r="O90" s="17" t="str">
        <f t="shared" si="6"/>
        <v>No</v>
      </c>
      <c r="P90" s="18">
        <f t="shared" si="7"/>
        <v>0</v>
      </c>
      <c r="Q90" s="17" t="str">
        <f t="shared" si="8"/>
        <v>Non-addressable</v>
      </c>
      <c r="R90" s="20" t="str">
        <f t="shared" si="9"/>
        <v>Low</v>
      </c>
    </row>
    <row r="91" spans="1:18" ht="15">
      <c r="A91" s="41">
        <v>87</v>
      </c>
      <c r="B91" s="42">
        <v>45969</v>
      </c>
      <c r="C91" s="43" t="s">
        <v>126</v>
      </c>
      <c r="D91" s="43" t="s">
        <v>23</v>
      </c>
      <c r="E91" s="43" t="s">
        <v>72</v>
      </c>
      <c r="F91" s="43" t="s">
        <v>113</v>
      </c>
      <c r="G91" s="43" t="s">
        <v>120</v>
      </c>
      <c r="H91" s="44">
        <v>16430</v>
      </c>
      <c r="I91" s="43" t="s">
        <v>103</v>
      </c>
      <c r="J91" s="43" t="s">
        <v>108</v>
      </c>
      <c r="K91" s="43" t="s">
        <v>103</v>
      </c>
      <c r="L91" s="45">
        <v>0.15</v>
      </c>
      <c r="M91" s="43" t="s">
        <v>114</v>
      </c>
      <c r="N91" s="17" t="str">
        <f t="shared" si="5"/>
        <v>Yes</v>
      </c>
      <c r="O91" s="17" t="str">
        <f t="shared" si="6"/>
        <v>No</v>
      </c>
      <c r="P91" s="18">
        <f t="shared" si="7"/>
        <v>2464.5</v>
      </c>
      <c r="Q91" s="17" t="str">
        <f t="shared" si="8"/>
        <v>Maverick / non-preferred</v>
      </c>
      <c r="R91" s="20" t="str">
        <f t="shared" si="9"/>
        <v>Low</v>
      </c>
    </row>
    <row r="92" spans="1:18" ht="15">
      <c r="A92" s="41">
        <v>88</v>
      </c>
      <c r="B92" s="42">
        <v>45973</v>
      </c>
      <c r="C92" s="43" t="s">
        <v>149</v>
      </c>
      <c r="D92" s="43" t="s">
        <v>79</v>
      </c>
      <c r="E92" s="43" t="s">
        <v>72</v>
      </c>
      <c r="F92" s="43" t="s">
        <v>127</v>
      </c>
      <c r="G92" s="43" t="s">
        <v>102</v>
      </c>
      <c r="H92" s="44">
        <v>7450</v>
      </c>
      <c r="I92" s="43" t="s">
        <v>103</v>
      </c>
      <c r="J92" s="43" t="s">
        <v>103</v>
      </c>
      <c r="K92" s="43" t="s">
        <v>108</v>
      </c>
      <c r="L92" s="45">
        <v>7.0000000000000007E-2</v>
      </c>
      <c r="M92" s="43" t="s">
        <v>124</v>
      </c>
      <c r="N92" s="17" t="str">
        <f t="shared" si="5"/>
        <v>No</v>
      </c>
      <c r="O92" s="17" t="str">
        <f t="shared" si="6"/>
        <v>No</v>
      </c>
      <c r="P92" s="18">
        <f t="shared" si="7"/>
        <v>0</v>
      </c>
      <c r="Q92" s="17" t="str">
        <f t="shared" si="8"/>
        <v>Non-addressable</v>
      </c>
      <c r="R92" s="20" t="str">
        <f t="shared" si="9"/>
        <v>Low</v>
      </c>
    </row>
    <row r="93" spans="1:18" ht="15">
      <c r="A93" s="41">
        <v>89</v>
      </c>
      <c r="B93" s="42">
        <v>45863</v>
      </c>
      <c r="C93" s="43" t="s">
        <v>154</v>
      </c>
      <c r="D93" s="43" t="s">
        <v>21</v>
      </c>
      <c r="E93" s="43" t="s">
        <v>67</v>
      </c>
      <c r="F93" s="43" t="s">
        <v>115</v>
      </c>
      <c r="G93" s="43" t="s">
        <v>107</v>
      </c>
      <c r="H93" s="44">
        <v>7460</v>
      </c>
      <c r="I93" s="43" t="s">
        <v>108</v>
      </c>
      <c r="J93" s="43" t="s">
        <v>108</v>
      </c>
      <c r="K93" s="43" t="s">
        <v>103</v>
      </c>
      <c r="L93" s="45">
        <v>0.06</v>
      </c>
      <c r="M93" s="43" t="s">
        <v>104</v>
      </c>
      <c r="N93" s="17" t="str">
        <f t="shared" si="5"/>
        <v>Yes</v>
      </c>
      <c r="O93" s="17" t="str">
        <f t="shared" si="6"/>
        <v>No</v>
      </c>
      <c r="P93" s="18">
        <f t="shared" si="7"/>
        <v>447.59999999999997</v>
      </c>
      <c r="Q93" s="17" t="str">
        <f t="shared" si="8"/>
        <v>Maverick / non-preferred</v>
      </c>
      <c r="R93" s="20" t="str">
        <f t="shared" si="9"/>
        <v>Low</v>
      </c>
    </row>
    <row r="94" spans="1:18" ht="15">
      <c r="A94" s="41">
        <v>90</v>
      </c>
      <c r="B94" s="42">
        <v>46015</v>
      </c>
      <c r="C94" s="43" t="s">
        <v>131</v>
      </c>
      <c r="D94" s="43" t="s">
        <v>79</v>
      </c>
      <c r="E94" s="43" t="s">
        <v>72</v>
      </c>
      <c r="F94" s="43" t="s">
        <v>106</v>
      </c>
      <c r="G94" s="43" t="s">
        <v>120</v>
      </c>
      <c r="H94" s="44">
        <v>17550</v>
      </c>
      <c r="I94" s="43" t="s">
        <v>108</v>
      </c>
      <c r="J94" s="43" t="s">
        <v>108</v>
      </c>
      <c r="K94" s="43" t="s">
        <v>108</v>
      </c>
      <c r="L94" s="45">
        <v>7.0000000000000007E-2</v>
      </c>
      <c r="M94" s="43" t="s">
        <v>124</v>
      </c>
      <c r="N94" s="17" t="str">
        <f t="shared" si="5"/>
        <v>Yes</v>
      </c>
      <c r="O94" s="17" t="str">
        <f t="shared" si="6"/>
        <v>No</v>
      </c>
      <c r="P94" s="18">
        <f t="shared" si="7"/>
        <v>0</v>
      </c>
      <c r="Q94" s="17" t="str">
        <f t="shared" si="8"/>
        <v>Maverick / non-preferred</v>
      </c>
      <c r="R94" s="20" t="str">
        <f t="shared" si="9"/>
        <v>Low</v>
      </c>
    </row>
    <row r="95" spans="1:18" ht="15">
      <c r="A95" s="41">
        <v>91</v>
      </c>
      <c r="B95" s="42">
        <v>45961</v>
      </c>
      <c r="C95" s="43" t="s">
        <v>155</v>
      </c>
      <c r="D95" s="43" t="s">
        <v>19</v>
      </c>
      <c r="E95" s="43" t="s">
        <v>72</v>
      </c>
      <c r="F95" s="43" t="s">
        <v>127</v>
      </c>
      <c r="G95" s="43" t="s">
        <v>107</v>
      </c>
      <c r="H95" s="44">
        <v>25240</v>
      </c>
      <c r="I95" s="43" t="s">
        <v>108</v>
      </c>
      <c r="J95" s="43" t="s">
        <v>108</v>
      </c>
      <c r="K95" s="43" t="s">
        <v>103</v>
      </c>
      <c r="L95" s="45">
        <v>0.12</v>
      </c>
      <c r="M95" s="43" t="s">
        <v>114</v>
      </c>
      <c r="N95" s="17" t="str">
        <f t="shared" si="5"/>
        <v>Yes</v>
      </c>
      <c r="O95" s="17" t="str">
        <f t="shared" si="6"/>
        <v>No</v>
      </c>
      <c r="P95" s="18">
        <f t="shared" si="7"/>
        <v>3028.7999999999997</v>
      </c>
      <c r="Q95" s="17" t="str">
        <f t="shared" si="8"/>
        <v>Maverick / non-preferred</v>
      </c>
      <c r="R95" s="20" t="str">
        <f t="shared" si="9"/>
        <v>Medium</v>
      </c>
    </row>
    <row r="96" spans="1:18" ht="15">
      <c r="A96" s="41">
        <v>92</v>
      </c>
      <c r="B96" s="42">
        <v>45864</v>
      </c>
      <c r="C96" s="43" t="s">
        <v>105</v>
      </c>
      <c r="D96" s="43" t="s">
        <v>25</v>
      </c>
      <c r="E96" s="43" t="s">
        <v>67</v>
      </c>
      <c r="F96" s="43" t="s">
        <v>101</v>
      </c>
      <c r="G96" s="43" t="s">
        <v>120</v>
      </c>
      <c r="H96" s="44">
        <v>30300</v>
      </c>
      <c r="I96" s="43" t="s">
        <v>103</v>
      </c>
      <c r="J96" s="43" t="s">
        <v>103</v>
      </c>
      <c r="K96" s="43" t="s">
        <v>108</v>
      </c>
      <c r="L96" s="45">
        <v>0.05</v>
      </c>
      <c r="M96" s="43" t="s">
        <v>104</v>
      </c>
      <c r="N96" s="17" t="str">
        <f t="shared" si="5"/>
        <v>No</v>
      </c>
      <c r="O96" s="17" t="str">
        <f t="shared" si="6"/>
        <v>No</v>
      </c>
      <c r="P96" s="18">
        <f t="shared" si="7"/>
        <v>0</v>
      </c>
      <c r="Q96" s="17" t="str">
        <f t="shared" si="8"/>
        <v>Non-addressable</v>
      </c>
      <c r="R96" s="20" t="str">
        <f t="shared" si="9"/>
        <v>Low</v>
      </c>
    </row>
    <row r="97" spans="1:18" ht="15">
      <c r="A97" s="41">
        <v>93</v>
      </c>
      <c r="B97" s="42">
        <v>45921</v>
      </c>
      <c r="C97" s="43" t="s">
        <v>148</v>
      </c>
      <c r="D97" s="43" t="s">
        <v>76</v>
      </c>
      <c r="E97" s="43" t="s">
        <v>72</v>
      </c>
      <c r="F97" s="43" t="s">
        <v>113</v>
      </c>
      <c r="G97" s="43" t="s">
        <v>110</v>
      </c>
      <c r="H97" s="44">
        <v>19990</v>
      </c>
      <c r="I97" s="43" t="s">
        <v>108</v>
      </c>
      <c r="J97" s="43" t="s">
        <v>108</v>
      </c>
      <c r="K97" s="43" t="s">
        <v>108</v>
      </c>
      <c r="L97" s="45">
        <v>0.09</v>
      </c>
      <c r="M97" s="43" t="s">
        <v>118</v>
      </c>
      <c r="N97" s="17" t="str">
        <f t="shared" si="5"/>
        <v>Yes</v>
      </c>
      <c r="O97" s="17" t="str">
        <f t="shared" si="6"/>
        <v>Yes</v>
      </c>
      <c r="P97" s="18">
        <f t="shared" si="7"/>
        <v>0</v>
      </c>
      <c r="Q97" s="17" t="str">
        <f t="shared" si="8"/>
        <v>Maverick / non-preferred</v>
      </c>
      <c r="R97" s="20" t="str">
        <f t="shared" si="9"/>
        <v>Low</v>
      </c>
    </row>
    <row r="98" spans="1:18" ht="15">
      <c r="A98" s="41">
        <v>94</v>
      </c>
      <c r="B98" s="42">
        <v>45917</v>
      </c>
      <c r="C98" s="43" t="s">
        <v>155</v>
      </c>
      <c r="D98" s="43" t="s">
        <v>19</v>
      </c>
      <c r="E98" s="43" t="s">
        <v>72</v>
      </c>
      <c r="F98" s="43" t="s">
        <v>113</v>
      </c>
      <c r="G98" s="43" t="s">
        <v>110</v>
      </c>
      <c r="H98" s="44">
        <v>7690</v>
      </c>
      <c r="I98" s="43" t="s">
        <v>103</v>
      </c>
      <c r="J98" s="43" t="s">
        <v>108</v>
      </c>
      <c r="K98" s="43" t="s">
        <v>103</v>
      </c>
      <c r="L98" s="45">
        <v>0.12</v>
      </c>
      <c r="M98" s="43" t="s">
        <v>114</v>
      </c>
      <c r="N98" s="17" t="str">
        <f t="shared" si="5"/>
        <v>Yes</v>
      </c>
      <c r="O98" s="17" t="str">
        <f t="shared" si="6"/>
        <v>No</v>
      </c>
      <c r="P98" s="18">
        <f t="shared" si="7"/>
        <v>922.8</v>
      </c>
      <c r="Q98" s="17" t="str">
        <f t="shared" si="8"/>
        <v>Maverick / non-preferred</v>
      </c>
      <c r="R98" s="20" t="str">
        <f t="shared" si="9"/>
        <v>Low</v>
      </c>
    </row>
    <row r="99" spans="1:18" ht="15">
      <c r="A99" s="41">
        <v>95</v>
      </c>
      <c r="B99" s="42">
        <v>45903</v>
      </c>
      <c r="C99" s="43" t="s">
        <v>151</v>
      </c>
      <c r="D99" s="43" t="s">
        <v>25</v>
      </c>
      <c r="E99" s="43" t="s">
        <v>67</v>
      </c>
      <c r="F99" s="43" t="s">
        <v>106</v>
      </c>
      <c r="G99" s="43" t="s">
        <v>107</v>
      </c>
      <c r="H99" s="44">
        <v>93280</v>
      </c>
      <c r="I99" s="43" t="s">
        <v>108</v>
      </c>
      <c r="J99" s="43" t="s">
        <v>108</v>
      </c>
      <c r="K99" s="43" t="s">
        <v>103</v>
      </c>
      <c r="L99" s="45">
        <v>0.05</v>
      </c>
      <c r="M99" s="43" t="s">
        <v>104</v>
      </c>
      <c r="N99" s="17" t="str">
        <f t="shared" si="5"/>
        <v>Yes</v>
      </c>
      <c r="O99" s="17" t="str">
        <f t="shared" si="6"/>
        <v>Yes</v>
      </c>
      <c r="P99" s="18">
        <f t="shared" si="7"/>
        <v>4664</v>
      </c>
      <c r="Q99" s="17" t="str">
        <f t="shared" si="8"/>
        <v>Maverick / non-preferred</v>
      </c>
      <c r="R99" s="20" t="str">
        <f t="shared" si="9"/>
        <v>Medium</v>
      </c>
    </row>
    <row r="100" spans="1:18" ht="15">
      <c r="A100" s="41">
        <v>96</v>
      </c>
      <c r="B100" s="42">
        <v>45915</v>
      </c>
      <c r="C100" s="43" t="s">
        <v>130</v>
      </c>
      <c r="D100" s="43" t="s">
        <v>17</v>
      </c>
      <c r="E100" s="43" t="s">
        <v>67</v>
      </c>
      <c r="F100" s="43" t="s">
        <v>115</v>
      </c>
      <c r="G100" s="43" t="s">
        <v>120</v>
      </c>
      <c r="H100" s="44">
        <v>47820</v>
      </c>
      <c r="I100" s="43" t="s">
        <v>108</v>
      </c>
      <c r="J100" s="43" t="s">
        <v>108</v>
      </c>
      <c r="K100" s="43" t="s">
        <v>103</v>
      </c>
      <c r="L100" s="45">
        <v>0.08</v>
      </c>
      <c r="M100" s="43" t="s">
        <v>104</v>
      </c>
      <c r="N100" s="17" t="str">
        <f t="shared" si="5"/>
        <v>Yes</v>
      </c>
      <c r="O100" s="17" t="str">
        <f t="shared" si="6"/>
        <v>No</v>
      </c>
      <c r="P100" s="18">
        <f t="shared" si="7"/>
        <v>3825.6</v>
      </c>
      <c r="Q100" s="17" t="str">
        <f t="shared" si="8"/>
        <v>Maverick / non-preferred</v>
      </c>
      <c r="R100" s="20" t="str">
        <f t="shared" si="9"/>
        <v>Medium</v>
      </c>
    </row>
    <row r="101" spans="1:18" ht="15">
      <c r="A101" s="41">
        <v>97</v>
      </c>
      <c r="B101" s="42">
        <v>45662</v>
      </c>
      <c r="C101" s="43" t="s">
        <v>125</v>
      </c>
      <c r="D101" s="43" t="s">
        <v>81</v>
      </c>
      <c r="E101" s="43" t="s">
        <v>72</v>
      </c>
      <c r="F101" s="43" t="s">
        <v>106</v>
      </c>
      <c r="G101" s="43" t="s">
        <v>120</v>
      </c>
      <c r="H101" s="44">
        <v>26450</v>
      </c>
      <c r="I101" s="43" t="s">
        <v>103</v>
      </c>
      <c r="J101" s="43" t="s">
        <v>108</v>
      </c>
      <c r="K101" s="43" t="s">
        <v>103</v>
      </c>
      <c r="L101" s="45">
        <v>0.18</v>
      </c>
      <c r="M101" s="43" t="s">
        <v>118</v>
      </c>
      <c r="N101" s="17" t="str">
        <f t="shared" si="5"/>
        <v>Yes</v>
      </c>
      <c r="O101" s="17" t="str">
        <f t="shared" si="6"/>
        <v>No</v>
      </c>
      <c r="P101" s="18">
        <f t="shared" si="7"/>
        <v>4761</v>
      </c>
      <c r="Q101" s="17" t="str">
        <f t="shared" si="8"/>
        <v>Maverick / non-preferred</v>
      </c>
      <c r="R101" s="20" t="str">
        <f t="shared" si="9"/>
        <v>Medium</v>
      </c>
    </row>
    <row r="102" spans="1:18" ht="15">
      <c r="A102" s="41">
        <v>98</v>
      </c>
      <c r="B102" s="42">
        <v>45724</v>
      </c>
      <c r="C102" s="43" t="s">
        <v>141</v>
      </c>
      <c r="D102" s="43" t="s">
        <v>76</v>
      </c>
      <c r="E102" s="43" t="s">
        <v>72</v>
      </c>
      <c r="F102" s="43" t="s">
        <v>127</v>
      </c>
      <c r="G102" s="43" t="s">
        <v>107</v>
      </c>
      <c r="H102" s="44">
        <v>22290</v>
      </c>
      <c r="I102" s="43" t="s">
        <v>103</v>
      </c>
      <c r="J102" s="43" t="s">
        <v>108</v>
      </c>
      <c r="K102" s="43" t="s">
        <v>108</v>
      </c>
      <c r="L102" s="45">
        <v>0.09</v>
      </c>
      <c r="M102" s="43" t="s">
        <v>118</v>
      </c>
      <c r="N102" s="17" t="str">
        <f t="shared" si="5"/>
        <v>Yes</v>
      </c>
      <c r="O102" s="17" t="str">
        <f t="shared" si="6"/>
        <v>No</v>
      </c>
      <c r="P102" s="18">
        <f t="shared" si="7"/>
        <v>0</v>
      </c>
      <c r="Q102" s="17" t="str">
        <f t="shared" si="8"/>
        <v>Maverick / non-preferred</v>
      </c>
      <c r="R102" s="20" t="str">
        <f t="shared" si="9"/>
        <v>Low</v>
      </c>
    </row>
    <row r="103" spans="1:18" ht="15">
      <c r="A103" s="41">
        <v>99</v>
      </c>
      <c r="B103" s="42">
        <v>46006</v>
      </c>
      <c r="C103" s="43" t="s">
        <v>128</v>
      </c>
      <c r="D103" s="43" t="s">
        <v>83</v>
      </c>
      <c r="E103" s="43" t="s">
        <v>67</v>
      </c>
      <c r="F103" s="43" t="s">
        <v>101</v>
      </c>
      <c r="G103" s="43" t="s">
        <v>110</v>
      </c>
      <c r="H103" s="44">
        <v>13360</v>
      </c>
      <c r="I103" s="43" t="s">
        <v>108</v>
      </c>
      <c r="J103" s="43" t="s">
        <v>108</v>
      </c>
      <c r="K103" s="43" t="s">
        <v>108</v>
      </c>
      <c r="L103" s="45">
        <v>0.06</v>
      </c>
      <c r="M103" s="43" t="s">
        <v>104</v>
      </c>
      <c r="N103" s="17" t="str">
        <f t="shared" si="5"/>
        <v>Yes</v>
      </c>
      <c r="O103" s="17" t="str">
        <f t="shared" si="6"/>
        <v>No</v>
      </c>
      <c r="P103" s="18">
        <f t="shared" si="7"/>
        <v>0</v>
      </c>
      <c r="Q103" s="17" t="str">
        <f t="shared" si="8"/>
        <v>Maverick / non-preferred</v>
      </c>
      <c r="R103" s="20" t="str">
        <f t="shared" si="9"/>
        <v>Low</v>
      </c>
    </row>
    <row r="104" spans="1:18" ht="15">
      <c r="A104" s="41">
        <v>100</v>
      </c>
      <c r="B104" s="42">
        <v>45658</v>
      </c>
      <c r="C104" s="43" t="s">
        <v>156</v>
      </c>
      <c r="D104" s="43" t="s">
        <v>19</v>
      </c>
      <c r="E104" s="43" t="s">
        <v>72</v>
      </c>
      <c r="F104" s="43" t="s">
        <v>127</v>
      </c>
      <c r="G104" s="43" t="s">
        <v>107</v>
      </c>
      <c r="H104" s="44">
        <v>19760</v>
      </c>
      <c r="I104" s="43" t="s">
        <v>108</v>
      </c>
      <c r="J104" s="43" t="s">
        <v>108</v>
      </c>
      <c r="K104" s="43" t="s">
        <v>103</v>
      </c>
      <c r="L104" s="45">
        <v>0.12</v>
      </c>
      <c r="M104" s="43" t="s">
        <v>114</v>
      </c>
      <c r="N104" s="17" t="str">
        <f t="shared" si="5"/>
        <v>Yes</v>
      </c>
      <c r="O104" s="17" t="str">
        <f t="shared" si="6"/>
        <v>Yes</v>
      </c>
      <c r="P104" s="18">
        <f t="shared" si="7"/>
        <v>2371.1999999999998</v>
      </c>
      <c r="Q104" s="17" t="str">
        <f t="shared" si="8"/>
        <v>Maverick / non-preferred</v>
      </c>
      <c r="R104" s="20" t="str">
        <f t="shared" si="9"/>
        <v>Low</v>
      </c>
    </row>
    <row r="105" spans="1:18" ht="15">
      <c r="A105" s="41">
        <v>101</v>
      </c>
      <c r="B105" s="42">
        <v>45997</v>
      </c>
      <c r="C105" s="43" t="s">
        <v>139</v>
      </c>
      <c r="D105" s="43" t="s">
        <v>81</v>
      </c>
      <c r="E105" s="43" t="s">
        <v>72</v>
      </c>
      <c r="F105" s="43" t="s">
        <v>113</v>
      </c>
      <c r="G105" s="43" t="s">
        <v>120</v>
      </c>
      <c r="H105" s="44">
        <v>12080</v>
      </c>
      <c r="I105" s="43" t="s">
        <v>103</v>
      </c>
      <c r="J105" s="43" t="s">
        <v>103</v>
      </c>
      <c r="K105" s="43" t="s">
        <v>103</v>
      </c>
      <c r="L105" s="45">
        <v>0.18</v>
      </c>
      <c r="M105" s="43" t="s">
        <v>118</v>
      </c>
      <c r="N105" s="17" t="str">
        <f t="shared" si="5"/>
        <v>No</v>
      </c>
      <c r="O105" s="17" t="str">
        <f t="shared" si="6"/>
        <v>No</v>
      </c>
      <c r="P105" s="18">
        <f t="shared" si="7"/>
        <v>2174.4</v>
      </c>
      <c r="Q105" s="17" t="str">
        <f t="shared" si="8"/>
        <v>Category sourcing</v>
      </c>
      <c r="R105" s="20" t="str">
        <f t="shared" si="9"/>
        <v>Low</v>
      </c>
    </row>
    <row r="106" spans="1:18" ht="15">
      <c r="A106" s="41">
        <v>102</v>
      </c>
      <c r="B106" s="42">
        <v>45931</v>
      </c>
      <c r="C106" s="43" t="s">
        <v>143</v>
      </c>
      <c r="D106" s="43" t="s">
        <v>21</v>
      </c>
      <c r="E106" s="43" t="s">
        <v>67</v>
      </c>
      <c r="F106" s="43" t="s">
        <v>113</v>
      </c>
      <c r="G106" s="43" t="s">
        <v>110</v>
      </c>
      <c r="H106" s="44">
        <v>87450</v>
      </c>
      <c r="I106" s="43" t="s">
        <v>108</v>
      </c>
      <c r="J106" s="43" t="s">
        <v>108</v>
      </c>
      <c r="K106" s="43" t="s">
        <v>103</v>
      </c>
      <c r="L106" s="45">
        <v>0.06</v>
      </c>
      <c r="M106" s="43" t="s">
        <v>104</v>
      </c>
      <c r="N106" s="17" t="str">
        <f t="shared" si="5"/>
        <v>Yes</v>
      </c>
      <c r="O106" s="17" t="str">
        <f t="shared" si="6"/>
        <v>No</v>
      </c>
      <c r="P106" s="18">
        <f t="shared" si="7"/>
        <v>5247</v>
      </c>
      <c r="Q106" s="17" t="str">
        <f t="shared" si="8"/>
        <v>Maverick / non-preferred</v>
      </c>
      <c r="R106" s="20" t="str">
        <f t="shared" si="9"/>
        <v>Medium</v>
      </c>
    </row>
    <row r="107" spans="1:18" ht="15">
      <c r="A107" s="41">
        <v>103</v>
      </c>
      <c r="B107" s="42">
        <v>46004</v>
      </c>
      <c r="C107" s="43" t="s">
        <v>133</v>
      </c>
      <c r="D107" s="43" t="s">
        <v>17</v>
      </c>
      <c r="E107" s="43" t="s">
        <v>67</v>
      </c>
      <c r="F107" s="43" t="s">
        <v>127</v>
      </c>
      <c r="G107" s="43" t="s">
        <v>110</v>
      </c>
      <c r="H107" s="44">
        <v>16610</v>
      </c>
      <c r="I107" s="43" t="s">
        <v>103</v>
      </c>
      <c r="J107" s="43" t="s">
        <v>103</v>
      </c>
      <c r="K107" s="43" t="s">
        <v>103</v>
      </c>
      <c r="L107" s="45">
        <v>0.08</v>
      </c>
      <c r="M107" s="43" t="s">
        <v>104</v>
      </c>
      <c r="N107" s="17" t="str">
        <f t="shared" si="5"/>
        <v>No</v>
      </c>
      <c r="O107" s="17" t="str">
        <f t="shared" si="6"/>
        <v>No</v>
      </c>
      <c r="P107" s="18">
        <f t="shared" si="7"/>
        <v>1328.8</v>
      </c>
      <c r="Q107" s="17" t="str">
        <f t="shared" si="8"/>
        <v>Category sourcing</v>
      </c>
      <c r="R107" s="20" t="str">
        <f t="shared" si="9"/>
        <v>Low</v>
      </c>
    </row>
    <row r="108" spans="1:18" ht="15">
      <c r="A108" s="41">
        <v>104</v>
      </c>
      <c r="B108" s="42">
        <v>46022</v>
      </c>
      <c r="C108" s="43" t="s">
        <v>109</v>
      </c>
      <c r="D108" s="43" t="s">
        <v>17</v>
      </c>
      <c r="E108" s="43" t="s">
        <v>67</v>
      </c>
      <c r="F108" s="43" t="s">
        <v>106</v>
      </c>
      <c r="G108" s="43" t="s">
        <v>110</v>
      </c>
      <c r="H108" s="44">
        <v>23740</v>
      </c>
      <c r="I108" s="43" t="s">
        <v>108</v>
      </c>
      <c r="J108" s="43" t="s">
        <v>108</v>
      </c>
      <c r="K108" s="43" t="s">
        <v>103</v>
      </c>
      <c r="L108" s="45">
        <v>0.08</v>
      </c>
      <c r="M108" s="43" t="s">
        <v>104</v>
      </c>
      <c r="N108" s="17" t="str">
        <f t="shared" si="5"/>
        <v>Yes</v>
      </c>
      <c r="O108" s="17" t="str">
        <f t="shared" si="6"/>
        <v>No</v>
      </c>
      <c r="P108" s="18">
        <f t="shared" si="7"/>
        <v>1899.2</v>
      </c>
      <c r="Q108" s="17" t="str">
        <f t="shared" si="8"/>
        <v>Maverick / non-preferred</v>
      </c>
      <c r="R108" s="20" t="str">
        <f t="shared" si="9"/>
        <v>Low</v>
      </c>
    </row>
    <row r="109" spans="1:18" ht="15">
      <c r="A109" s="41">
        <v>105</v>
      </c>
      <c r="B109" s="42">
        <v>45836</v>
      </c>
      <c r="C109" s="43" t="s">
        <v>119</v>
      </c>
      <c r="D109" s="43" t="s">
        <v>17</v>
      </c>
      <c r="E109" s="43" t="s">
        <v>67</v>
      </c>
      <c r="F109" s="43" t="s">
        <v>101</v>
      </c>
      <c r="G109" s="43" t="s">
        <v>102</v>
      </c>
      <c r="H109" s="44">
        <v>55800</v>
      </c>
      <c r="I109" s="43" t="s">
        <v>103</v>
      </c>
      <c r="J109" s="43" t="s">
        <v>103</v>
      </c>
      <c r="K109" s="43" t="s">
        <v>103</v>
      </c>
      <c r="L109" s="45">
        <v>0.08</v>
      </c>
      <c r="M109" s="43" t="s">
        <v>104</v>
      </c>
      <c r="N109" s="17" t="str">
        <f t="shared" si="5"/>
        <v>No</v>
      </c>
      <c r="O109" s="17" t="str">
        <f t="shared" si="6"/>
        <v>No</v>
      </c>
      <c r="P109" s="18">
        <f t="shared" si="7"/>
        <v>4464</v>
      </c>
      <c r="Q109" s="17" t="str">
        <f t="shared" si="8"/>
        <v>Category sourcing</v>
      </c>
      <c r="R109" s="20" t="str">
        <f t="shared" si="9"/>
        <v>Medium</v>
      </c>
    </row>
    <row r="110" spans="1:18" ht="15">
      <c r="A110" s="41">
        <v>106</v>
      </c>
      <c r="B110" s="42">
        <v>45927</v>
      </c>
      <c r="C110" s="43" t="s">
        <v>149</v>
      </c>
      <c r="D110" s="43" t="s">
        <v>79</v>
      </c>
      <c r="E110" s="43" t="s">
        <v>72</v>
      </c>
      <c r="F110" s="43" t="s">
        <v>113</v>
      </c>
      <c r="G110" s="43" t="s">
        <v>120</v>
      </c>
      <c r="H110" s="44">
        <v>71870</v>
      </c>
      <c r="I110" s="43" t="s">
        <v>103</v>
      </c>
      <c r="J110" s="43" t="s">
        <v>103</v>
      </c>
      <c r="K110" s="43" t="s">
        <v>108</v>
      </c>
      <c r="L110" s="45">
        <v>7.0000000000000007E-2</v>
      </c>
      <c r="M110" s="43" t="s">
        <v>124</v>
      </c>
      <c r="N110" s="17" t="str">
        <f t="shared" si="5"/>
        <v>No</v>
      </c>
      <c r="O110" s="17" t="str">
        <f t="shared" si="6"/>
        <v>No</v>
      </c>
      <c r="P110" s="18">
        <f t="shared" si="7"/>
        <v>0</v>
      </c>
      <c r="Q110" s="17" t="str">
        <f t="shared" si="8"/>
        <v>Non-addressable</v>
      </c>
      <c r="R110" s="20" t="str">
        <f t="shared" si="9"/>
        <v>Low</v>
      </c>
    </row>
    <row r="111" spans="1:18" ht="15">
      <c r="A111" s="41">
        <v>107</v>
      </c>
      <c r="B111" s="42">
        <v>45777</v>
      </c>
      <c r="C111" s="43" t="s">
        <v>112</v>
      </c>
      <c r="D111" s="43" t="s">
        <v>23</v>
      </c>
      <c r="E111" s="43" t="s">
        <v>72</v>
      </c>
      <c r="F111" s="43" t="s">
        <v>113</v>
      </c>
      <c r="G111" s="43" t="s">
        <v>120</v>
      </c>
      <c r="H111" s="44">
        <v>2240</v>
      </c>
      <c r="I111" s="43" t="s">
        <v>103</v>
      </c>
      <c r="J111" s="43" t="s">
        <v>108</v>
      </c>
      <c r="K111" s="43" t="s">
        <v>103</v>
      </c>
      <c r="L111" s="45">
        <v>0.15</v>
      </c>
      <c r="M111" s="43" t="s">
        <v>114</v>
      </c>
      <c r="N111" s="17" t="str">
        <f t="shared" si="5"/>
        <v>Yes</v>
      </c>
      <c r="O111" s="17" t="str">
        <f t="shared" si="6"/>
        <v>No</v>
      </c>
      <c r="P111" s="18">
        <f t="shared" si="7"/>
        <v>336</v>
      </c>
      <c r="Q111" s="17" t="str">
        <f t="shared" si="8"/>
        <v>Maverick / non-preferred</v>
      </c>
      <c r="R111" s="20" t="str">
        <f t="shared" si="9"/>
        <v>Low</v>
      </c>
    </row>
    <row r="112" spans="1:18" ht="15">
      <c r="A112" s="41">
        <v>108</v>
      </c>
      <c r="B112" s="42">
        <v>45906</v>
      </c>
      <c r="C112" s="43" t="s">
        <v>136</v>
      </c>
      <c r="D112" s="43" t="s">
        <v>19</v>
      </c>
      <c r="E112" s="43" t="s">
        <v>72</v>
      </c>
      <c r="F112" s="43" t="s">
        <v>127</v>
      </c>
      <c r="G112" s="43" t="s">
        <v>110</v>
      </c>
      <c r="H112" s="44">
        <v>29210</v>
      </c>
      <c r="I112" s="43" t="s">
        <v>103</v>
      </c>
      <c r="J112" s="43" t="s">
        <v>103</v>
      </c>
      <c r="K112" s="43" t="s">
        <v>103</v>
      </c>
      <c r="L112" s="45">
        <v>0.12</v>
      </c>
      <c r="M112" s="43" t="s">
        <v>114</v>
      </c>
      <c r="N112" s="17" t="str">
        <f t="shared" si="5"/>
        <v>No</v>
      </c>
      <c r="O112" s="17" t="str">
        <f t="shared" si="6"/>
        <v>No</v>
      </c>
      <c r="P112" s="18">
        <f t="shared" si="7"/>
        <v>3505.2</v>
      </c>
      <c r="Q112" s="17" t="str">
        <f t="shared" si="8"/>
        <v>Category sourcing</v>
      </c>
      <c r="R112" s="20" t="str">
        <f t="shared" si="9"/>
        <v>Medium</v>
      </c>
    </row>
    <row r="113" spans="1:18" ht="15">
      <c r="A113" s="41">
        <v>109</v>
      </c>
      <c r="B113" s="42">
        <v>45884</v>
      </c>
      <c r="C113" s="43" t="s">
        <v>105</v>
      </c>
      <c r="D113" s="43" t="s">
        <v>25</v>
      </c>
      <c r="E113" s="43" t="s">
        <v>67</v>
      </c>
      <c r="F113" s="43" t="s">
        <v>106</v>
      </c>
      <c r="G113" s="43" t="s">
        <v>107</v>
      </c>
      <c r="H113" s="44">
        <v>73130</v>
      </c>
      <c r="I113" s="43" t="s">
        <v>103</v>
      </c>
      <c r="J113" s="43" t="s">
        <v>103</v>
      </c>
      <c r="K113" s="43" t="s">
        <v>103</v>
      </c>
      <c r="L113" s="45">
        <v>0.05</v>
      </c>
      <c r="M113" s="43" t="s">
        <v>104</v>
      </c>
      <c r="N113" s="17" t="str">
        <f t="shared" si="5"/>
        <v>No</v>
      </c>
      <c r="O113" s="17" t="str">
        <f t="shared" si="6"/>
        <v>No</v>
      </c>
      <c r="P113" s="18">
        <f t="shared" si="7"/>
        <v>3656.5</v>
      </c>
      <c r="Q113" s="17" t="str">
        <f t="shared" si="8"/>
        <v>Category sourcing</v>
      </c>
      <c r="R113" s="20" t="str">
        <f t="shared" si="9"/>
        <v>Medium</v>
      </c>
    </row>
    <row r="114" spans="1:18" ht="15">
      <c r="A114" s="41">
        <v>110</v>
      </c>
      <c r="B114" s="42">
        <v>45736</v>
      </c>
      <c r="C114" s="43" t="s">
        <v>133</v>
      </c>
      <c r="D114" s="43" t="s">
        <v>17</v>
      </c>
      <c r="E114" s="43" t="s">
        <v>67</v>
      </c>
      <c r="F114" s="43" t="s">
        <v>106</v>
      </c>
      <c r="G114" s="43" t="s">
        <v>102</v>
      </c>
      <c r="H114" s="44">
        <v>71990</v>
      </c>
      <c r="I114" s="43" t="s">
        <v>103</v>
      </c>
      <c r="J114" s="43" t="s">
        <v>103</v>
      </c>
      <c r="K114" s="43" t="s">
        <v>103</v>
      </c>
      <c r="L114" s="45">
        <v>0.08</v>
      </c>
      <c r="M114" s="43" t="s">
        <v>104</v>
      </c>
      <c r="N114" s="17" t="str">
        <f t="shared" si="5"/>
        <v>No</v>
      </c>
      <c r="O114" s="17" t="str">
        <f t="shared" si="6"/>
        <v>No</v>
      </c>
      <c r="P114" s="18">
        <f t="shared" si="7"/>
        <v>5759.2</v>
      </c>
      <c r="Q114" s="17" t="str">
        <f t="shared" si="8"/>
        <v>Category sourcing</v>
      </c>
      <c r="R114" s="20" t="str">
        <f t="shared" si="9"/>
        <v>Medium</v>
      </c>
    </row>
    <row r="115" spans="1:18" ht="15">
      <c r="A115" s="41">
        <v>111</v>
      </c>
      <c r="B115" s="42">
        <v>45809</v>
      </c>
      <c r="C115" s="43" t="s">
        <v>105</v>
      </c>
      <c r="D115" s="43" t="s">
        <v>25</v>
      </c>
      <c r="E115" s="43" t="s">
        <v>67</v>
      </c>
      <c r="F115" s="43" t="s">
        <v>115</v>
      </c>
      <c r="G115" s="43" t="s">
        <v>107</v>
      </c>
      <c r="H115" s="44">
        <v>97520</v>
      </c>
      <c r="I115" s="43" t="s">
        <v>103</v>
      </c>
      <c r="J115" s="43" t="s">
        <v>103</v>
      </c>
      <c r="K115" s="43" t="s">
        <v>108</v>
      </c>
      <c r="L115" s="45">
        <v>0.05</v>
      </c>
      <c r="M115" s="43" t="s">
        <v>104</v>
      </c>
      <c r="N115" s="17" t="str">
        <f t="shared" si="5"/>
        <v>No</v>
      </c>
      <c r="O115" s="17" t="str">
        <f t="shared" si="6"/>
        <v>No</v>
      </c>
      <c r="P115" s="18">
        <f t="shared" si="7"/>
        <v>0</v>
      </c>
      <c r="Q115" s="17" t="str">
        <f t="shared" si="8"/>
        <v>Non-addressable</v>
      </c>
      <c r="R115" s="20" t="str">
        <f t="shared" si="9"/>
        <v>Low</v>
      </c>
    </row>
    <row r="116" spans="1:18" ht="15">
      <c r="A116" s="41">
        <v>112</v>
      </c>
      <c r="B116" s="42">
        <v>45744</v>
      </c>
      <c r="C116" s="43" t="s">
        <v>143</v>
      </c>
      <c r="D116" s="43" t="s">
        <v>21</v>
      </c>
      <c r="E116" s="43" t="s">
        <v>67</v>
      </c>
      <c r="F116" s="43" t="s">
        <v>115</v>
      </c>
      <c r="G116" s="43" t="s">
        <v>107</v>
      </c>
      <c r="H116" s="44">
        <v>1950</v>
      </c>
      <c r="I116" s="43" t="s">
        <v>108</v>
      </c>
      <c r="J116" s="43" t="s">
        <v>108</v>
      </c>
      <c r="K116" s="43" t="s">
        <v>103</v>
      </c>
      <c r="L116" s="45">
        <v>0.06</v>
      </c>
      <c r="M116" s="43" t="s">
        <v>104</v>
      </c>
      <c r="N116" s="17" t="str">
        <f t="shared" si="5"/>
        <v>Yes</v>
      </c>
      <c r="O116" s="17" t="str">
        <f t="shared" si="6"/>
        <v>No</v>
      </c>
      <c r="P116" s="18">
        <f t="shared" si="7"/>
        <v>117</v>
      </c>
      <c r="Q116" s="17" t="str">
        <f t="shared" si="8"/>
        <v>Maverick / non-preferred</v>
      </c>
      <c r="R116" s="20" t="str">
        <f t="shared" si="9"/>
        <v>Low</v>
      </c>
    </row>
    <row r="117" spans="1:18" ht="15">
      <c r="A117" s="41">
        <v>113</v>
      </c>
      <c r="B117" s="42">
        <v>45910</v>
      </c>
      <c r="C117" s="43" t="s">
        <v>133</v>
      </c>
      <c r="D117" s="43" t="s">
        <v>17</v>
      </c>
      <c r="E117" s="43" t="s">
        <v>67</v>
      </c>
      <c r="F117" s="43" t="s">
        <v>115</v>
      </c>
      <c r="G117" s="43" t="s">
        <v>107</v>
      </c>
      <c r="H117" s="44">
        <v>11990</v>
      </c>
      <c r="I117" s="43" t="s">
        <v>103</v>
      </c>
      <c r="J117" s="43" t="s">
        <v>103</v>
      </c>
      <c r="K117" s="43" t="s">
        <v>103</v>
      </c>
      <c r="L117" s="45">
        <v>0.08</v>
      </c>
      <c r="M117" s="43" t="s">
        <v>104</v>
      </c>
      <c r="N117" s="17" t="str">
        <f t="shared" si="5"/>
        <v>No</v>
      </c>
      <c r="O117" s="17" t="str">
        <f t="shared" si="6"/>
        <v>No</v>
      </c>
      <c r="P117" s="18">
        <f t="shared" si="7"/>
        <v>959.2</v>
      </c>
      <c r="Q117" s="17" t="str">
        <f t="shared" si="8"/>
        <v>Category sourcing</v>
      </c>
      <c r="R117" s="20" t="str">
        <f t="shared" si="9"/>
        <v>Low</v>
      </c>
    </row>
    <row r="118" spans="1:18" ht="15">
      <c r="A118" s="41">
        <v>114</v>
      </c>
      <c r="B118" s="42">
        <v>45759</v>
      </c>
      <c r="C118" s="43" t="s">
        <v>143</v>
      </c>
      <c r="D118" s="43" t="s">
        <v>21</v>
      </c>
      <c r="E118" s="43" t="s">
        <v>67</v>
      </c>
      <c r="F118" s="43" t="s">
        <v>106</v>
      </c>
      <c r="G118" s="43" t="s">
        <v>110</v>
      </c>
      <c r="H118" s="44">
        <v>14410</v>
      </c>
      <c r="I118" s="43" t="s">
        <v>108</v>
      </c>
      <c r="J118" s="43" t="s">
        <v>108</v>
      </c>
      <c r="K118" s="43" t="s">
        <v>103</v>
      </c>
      <c r="L118" s="45">
        <v>0.06</v>
      </c>
      <c r="M118" s="43" t="s">
        <v>104</v>
      </c>
      <c r="N118" s="17" t="str">
        <f t="shared" si="5"/>
        <v>Yes</v>
      </c>
      <c r="O118" s="17" t="str">
        <f t="shared" si="6"/>
        <v>No</v>
      </c>
      <c r="P118" s="18">
        <f t="shared" si="7"/>
        <v>864.6</v>
      </c>
      <c r="Q118" s="17" t="str">
        <f t="shared" si="8"/>
        <v>Maverick / non-preferred</v>
      </c>
      <c r="R118" s="20" t="str">
        <f t="shared" si="9"/>
        <v>Low</v>
      </c>
    </row>
    <row r="119" spans="1:18" ht="15">
      <c r="A119" s="41">
        <v>115</v>
      </c>
      <c r="B119" s="42">
        <v>45736</v>
      </c>
      <c r="C119" s="43" t="s">
        <v>131</v>
      </c>
      <c r="D119" s="43" t="s">
        <v>79</v>
      </c>
      <c r="E119" s="43" t="s">
        <v>72</v>
      </c>
      <c r="F119" s="43" t="s">
        <v>127</v>
      </c>
      <c r="G119" s="43" t="s">
        <v>110</v>
      </c>
      <c r="H119" s="44">
        <v>55150</v>
      </c>
      <c r="I119" s="43" t="s">
        <v>103</v>
      </c>
      <c r="J119" s="43" t="s">
        <v>108</v>
      </c>
      <c r="K119" s="43" t="s">
        <v>108</v>
      </c>
      <c r="L119" s="45">
        <v>7.0000000000000007E-2</v>
      </c>
      <c r="M119" s="43" t="s">
        <v>124</v>
      </c>
      <c r="N119" s="17" t="str">
        <f t="shared" si="5"/>
        <v>Yes</v>
      </c>
      <c r="O119" s="17" t="str">
        <f t="shared" si="6"/>
        <v>No</v>
      </c>
      <c r="P119" s="18">
        <f t="shared" si="7"/>
        <v>0</v>
      </c>
      <c r="Q119" s="17" t="str">
        <f t="shared" si="8"/>
        <v>Maverick / non-preferred</v>
      </c>
      <c r="R119" s="20" t="str">
        <f t="shared" si="9"/>
        <v>Low</v>
      </c>
    </row>
    <row r="120" spans="1:18" ht="15">
      <c r="A120" s="41">
        <v>116</v>
      </c>
      <c r="B120" s="42">
        <v>45742</v>
      </c>
      <c r="C120" s="43" t="s">
        <v>142</v>
      </c>
      <c r="D120" s="43" t="s">
        <v>23</v>
      </c>
      <c r="E120" s="43" t="s">
        <v>72</v>
      </c>
      <c r="F120" s="43" t="s">
        <v>106</v>
      </c>
      <c r="G120" s="43" t="s">
        <v>107</v>
      </c>
      <c r="H120" s="44">
        <v>2270</v>
      </c>
      <c r="I120" s="43" t="s">
        <v>103</v>
      </c>
      <c r="J120" s="43" t="s">
        <v>103</v>
      </c>
      <c r="K120" s="43" t="s">
        <v>103</v>
      </c>
      <c r="L120" s="45">
        <v>0.15</v>
      </c>
      <c r="M120" s="43" t="s">
        <v>114</v>
      </c>
      <c r="N120" s="17" t="str">
        <f t="shared" si="5"/>
        <v>No</v>
      </c>
      <c r="O120" s="17" t="str">
        <f t="shared" si="6"/>
        <v>No</v>
      </c>
      <c r="P120" s="18">
        <f t="shared" si="7"/>
        <v>340.5</v>
      </c>
      <c r="Q120" s="17" t="str">
        <f t="shared" si="8"/>
        <v>Category sourcing</v>
      </c>
      <c r="R120" s="20" t="str">
        <f t="shared" si="9"/>
        <v>Low</v>
      </c>
    </row>
    <row r="121" spans="1:18" ht="15">
      <c r="A121" s="41">
        <v>117</v>
      </c>
      <c r="B121" s="42">
        <v>45658</v>
      </c>
      <c r="C121" s="43" t="s">
        <v>157</v>
      </c>
      <c r="D121" s="43" t="s">
        <v>21</v>
      </c>
      <c r="E121" s="43" t="s">
        <v>67</v>
      </c>
      <c r="F121" s="43" t="s">
        <v>101</v>
      </c>
      <c r="G121" s="43" t="s">
        <v>102</v>
      </c>
      <c r="H121" s="44">
        <v>5010</v>
      </c>
      <c r="I121" s="43" t="s">
        <v>108</v>
      </c>
      <c r="J121" s="43" t="s">
        <v>108</v>
      </c>
      <c r="K121" s="43" t="s">
        <v>103</v>
      </c>
      <c r="L121" s="45">
        <v>0.06</v>
      </c>
      <c r="M121" s="43" t="s">
        <v>104</v>
      </c>
      <c r="N121" s="17" t="str">
        <f t="shared" si="5"/>
        <v>Yes</v>
      </c>
      <c r="O121" s="17" t="str">
        <f t="shared" si="6"/>
        <v>Yes</v>
      </c>
      <c r="P121" s="18">
        <f t="shared" si="7"/>
        <v>300.59999999999997</v>
      </c>
      <c r="Q121" s="17" t="str">
        <f t="shared" si="8"/>
        <v>Maverick / non-preferred</v>
      </c>
      <c r="R121" s="20" t="str">
        <f t="shared" si="9"/>
        <v>Low</v>
      </c>
    </row>
    <row r="122" spans="1:18" ht="15">
      <c r="A122" s="41">
        <v>118</v>
      </c>
      <c r="B122" s="42">
        <v>45814</v>
      </c>
      <c r="C122" s="43" t="s">
        <v>156</v>
      </c>
      <c r="D122" s="43" t="s">
        <v>19</v>
      </c>
      <c r="E122" s="43" t="s">
        <v>72</v>
      </c>
      <c r="F122" s="43" t="s">
        <v>127</v>
      </c>
      <c r="G122" s="43" t="s">
        <v>102</v>
      </c>
      <c r="H122" s="44">
        <v>5130</v>
      </c>
      <c r="I122" s="43" t="s">
        <v>108</v>
      </c>
      <c r="J122" s="43" t="s">
        <v>108</v>
      </c>
      <c r="K122" s="43" t="s">
        <v>103</v>
      </c>
      <c r="L122" s="45">
        <v>0.12</v>
      </c>
      <c r="M122" s="43" t="s">
        <v>114</v>
      </c>
      <c r="N122" s="17" t="str">
        <f t="shared" si="5"/>
        <v>Yes</v>
      </c>
      <c r="O122" s="17" t="str">
        <f t="shared" si="6"/>
        <v>Yes</v>
      </c>
      <c r="P122" s="18">
        <f t="shared" si="7"/>
        <v>615.6</v>
      </c>
      <c r="Q122" s="17" t="str">
        <f t="shared" si="8"/>
        <v>Maverick / non-preferred</v>
      </c>
      <c r="R122" s="20" t="str">
        <f t="shared" si="9"/>
        <v>Low</v>
      </c>
    </row>
    <row r="123" spans="1:18" ht="15">
      <c r="A123" s="41">
        <v>119</v>
      </c>
      <c r="B123" s="42">
        <v>45942</v>
      </c>
      <c r="C123" s="43" t="s">
        <v>100</v>
      </c>
      <c r="D123" s="43" t="s">
        <v>21</v>
      </c>
      <c r="E123" s="43" t="s">
        <v>67</v>
      </c>
      <c r="F123" s="43" t="s">
        <v>127</v>
      </c>
      <c r="G123" s="43" t="s">
        <v>102</v>
      </c>
      <c r="H123" s="44">
        <v>26320</v>
      </c>
      <c r="I123" s="43" t="s">
        <v>103</v>
      </c>
      <c r="J123" s="43" t="s">
        <v>103</v>
      </c>
      <c r="K123" s="43" t="s">
        <v>103</v>
      </c>
      <c r="L123" s="45">
        <v>0.06</v>
      </c>
      <c r="M123" s="43" t="s">
        <v>104</v>
      </c>
      <c r="N123" s="17" t="str">
        <f t="shared" si="5"/>
        <v>No</v>
      </c>
      <c r="O123" s="17" t="str">
        <f t="shared" si="6"/>
        <v>No</v>
      </c>
      <c r="P123" s="18">
        <f t="shared" si="7"/>
        <v>1579.2</v>
      </c>
      <c r="Q123" s="17" t="str">
        <f t="shared" si="8"/>
        <v>Category sourcing</v>
      </c>
      <c r="R123" s="20" t="str">
        <f t="shared" si="9"/>
        <v>Low</v>
      </c>
    </row>
    <row r="124" spans="1:18" ht="15">
      <c r="A124" s="41">
        <v>120</v>
      </c>
      <c r="B124" s="42">
        <v>45891</v>
      </c>
      <c r="C124" s="43" t="s">
        <v>119</v>
      </c>
      <c r="D124" s="43" t="s">
        <v>17</v>
      </c>
      <c r="E124" s="43" t="s">
        <v>67</v>
      </c>
      <c r="F124" s="43" t="s">
        <v>127</v>
      </c>
      <c r="G124" s="43" t="s">
        <v>102</v>
      </c>
      <c r="H124" s="44">
        <v>33260</v>
      </c>
      <c r="I124" s="43" t="s">
        <v>108</v>
      </c>
      <c r="J124" s="43" t="s">
        <v>103</v>
      </c>
      <c r="K124" s="43" t="s">
        <v>103</v>
      </c>
      <c r="L124" s="45">
        <v>0.08</v>
      </c>
      <c r="M124" s="43" t="s">
        <v>104</v>
      </c>
      <c r="N124" s="17" t="str">
        <f t="shared" si="5"/>
        <v>Yes</v>
      </c>
      <c r="O124" s="17" t="str">
        <f t="shared" si="6"/>
        <v>No</v>
      </c>
      <c r="P124" s="18">
        <f t="shared" si="7"/>
        <v>2660.8</v>
      </c>
      <c r="Q124" s="17" t="str">
        <f t="shared" si="8"/>
        <v>Maverick / non-preferred</v>
      </c>
      <c r="R124" s="20" t="str">
        <f t="shared" si="9"/>
        <v>Low</v>
      </c>
    </row>
    <row r="125" spans="1:18" ht="15">
      <c r="A125" s="41">
        <v>121</v>
      </c>
      <c r="B125" s="42">
        <v>45689</v>
      </c>
      <c r="C125" s="43" t="s">
        <v>140</v>
      </c>
      <c r="D125" s="43" t="s">
        <v>21</v>
      </c>
      <c r="E125" s="43" t="s">
        <v>67</v>
      </c>
      <c r="F125" s="43" t="s">
        <v>106</v>
      </c>
      <c r="G125" s="43" t="s">
        <v>110</v>
      </c>
      <c r="H125" s="44">
        <v>32100</v>
      </c>
      <c r="I125" s="43" t="s">
        <v>103</v>
      </c>
      <c r="J125" s="43" t="s">
        <v>103</v>
      </c>
      <c r="K125" s="43" t="s">
        <v>103</v>
      </c>
      <c r="L125" s="45">
        <v>0.06</v>
      </c>
      <c r="M125" s="43" t="s">
        <v>104</v>
      </c>
      <c r="N125" s="17" t="str">
        <f t="shared" si="5"/>
        <v>No</v>
      </c>
      <c r="O125" s="17" t="str">
        <f t="shared" si="6"/>
        <v>Yes</v>
      </c>
      <c r="P125" s="18">
        <f t="shared" si="7"/>
        <v>1926</v>
      </c>
      <c r="Q125" s="17" t="str">
        <f t="shared" si="8"/>
        <v>Tail consolidation</v>
      </c>
      <c r="R125" s="20" t="str">
        <f t="shared" si="9"/>
        <v>Low</v>
      </c>
    </row>
    <row r="126" spans="1:18" ht="15">
      <c r="A126" s="41">
        <v>122</v>
      </c>
      <c r="B126" s="42">
        <v>45709</v>
      </c>
      <c r="C126" s="43" t="s">
        <v>131</v>
      </c>
      <c r="D126" s="43" t="s">
        <v>79</v>
      </c>
      <c r="E126" s="43" t="s">
        <v>72</v>
      </c>
      <c r="F126" s="43" t="s">
        <v>127</v>
      </c>
      <c r="G126" s="43" t="s">
        <v>107</v>
      </c>
      <c r="H126" s="44">
        <v>49010</v>
      </c>
      <c r="I126" s="43" t="s">
        <v>103</v>
      </c>
      <c r="J126" s="43" t="s">
        <v>108</v>
      </c>
      <c r="K126" s="43" t="s">
        <v>108</v>
      </c>
      <c r="L126" s="45">
        <v>7.0000000000000007E-2</v>
      </c>
      <c r="M126" s="43" t="s">
        <v>124</v>
      </c>
      <c r="N126" s="17" t="str">
        <f t="shared" si="5"/>
        <v>Yes</v>
      </c>
      <c r="O126" s="17" t="str">
        <f t="shared" si="6"/>
        <v>No</v>
      </c>
      <c r="P126" s="18">
        <f t="shared" si="7"/>
        <v>0</v>
      </c>
      <c r="Q126" s="17" t="str">
        <f t="shared" si="8"/>
        <v>Maverick / non-preferred</v>
      </c>
      <c r="R126" s="20" t="str">
        <f t="shared" si="9"/>
        <v>Low</v>
      </c>
    </row>
    <row r="127" spans="1:18" ht="15">
      <c r="A127" s="41">
        <v>123</v>
      </c>
      <c r="B127" s="42">
        <v>45704</v>
      </c>
      <c r="C127" s="43" t="s">
        <v>119</v>
      </c>
      <c r="D127" s="43" t="s">
        <v>17</v>
      </c>
      <c r="E127" s="43" t="s">
        <v>67</v>
      </c>
      <c r="F127" s="43" t="s">
        <v>115</v>
      </c>
      <c r="G127" s="43" t="s">
        <v>102</v>
      </c>
      <c r="H127" s="44">
        <v>49780</v>
      </c>
      <c r="I127" s="43" t="s">
        <v>103</v>
      </c>
      <c r="J127" s="43" t="s">
        <v>103</v>
      </c>
      <c r="K127" s="43" t="s">
        <v>103</v>
      </c>
      <c r="L127" s="45">
        <v>0.08</v>
      </c>
      <c r="M127" s="43" t="s">
        <v>104</v>
      </c>
      <c r="N127" s="17" t="str">
        <f t="shared" si="5"/>
        <v>No</v>
      </c>
      <c r="O127" s="17" t="str">
        <f t="shared" si="6"/>
        <v>No</v>
      </c>
      <c r="P127" s="18">
        <f t="shared" si="7"/>
        <v>3982.4</v>
      </c>
      <c r="Q127" s="17" t="str">
        <f t="shared" si="8"/>
        <v>Category sourcing</v>
      </c>
      <c r="R127" s="20" t="str">
        <f t="shared" si="9"/>
        <v>Medium</v>
      </c>
    </row>
    <row r="128" spans="1:18" ht="15">
      <c r="A128" s="41">
        <v>124</v>
      </c>
      <c r="B128" s="42">
        <v>45999</v>
      </c>
      <c r="C128" s="43" t="s">
        <v>152</v>
      </c>
      <c r="D128" s="43" t="s">
        <v>19</v>
      </c>
      <c r="E128" s="43" t="s">
        <v>72</v>
      </c>
      <c r="F128" s="43" t="s">
        <v>127</v>
      </c>
      <c r="G128" s="43" t="s">
        <v>110</v>
      </c>
      <c r="H128" s="44">
        <v>3690</v>
      </c>
      <c r="I128" s="43" t="s">
        <v>108</v>
      </c>
      <c r="J128" s="43" t="s">
        <v>103</v>
      </c>
      <c r="K128" s="43" t="s">
        <v>103</v>
      </c>
      <c r="L128" s="45">
        <v>0.12</v>
      </c>
      <c r="M128" s="43" t="s">
        <v>114</v>
      </c>
      <c r="N128" s="17" t="str">
        <f t="shared" si="5"/>
        <v>Yes</v>
      </c>
      <c r="O128" s="17" t="str">
        <f t="shared" si="6"/>
        <v>No</v>
      </c>
      <c r="P128" s="18">
        <f t="shared" si="7"/>
        <v>442.8</v>
      </c>
      <c r="Q128" s="17" t="str">
        <f t="shared" si="8"/>
        <v>Maverick / non-preferred</v>
      </c>
      <c r="R128" s="20" t="str">
        <f t="shared" si="9"/>
        <v>Low</v>
      </c>
    </row>
    <row r="129" spans="1:18" ht="15">
      <c r="A129" s="41">
        <v>125</v>
      </c>
      <c r="B129" s="42">
        <v>45879</v>
      </c>
      <c r="C129" s="43" t="s">
        <v>130</v>
      </c>
      <c r="D129" s="43" t="s">
        <v>17</v>
      </c>
      <c r="E129" s="43" t="s">
        <v>67</v>
      </c>
      <c r="F129" s="43" t="s">
        <v>115</v>
      </c>
      <c r="G129" s="43" t="s">
        <v>120</v>
      </c>
      <c r="H129" s="44">
        <v>13980</v>
      </c>
      <c r="I129" s="43" t="s">
        <v>108</v>
      </c>
      <c r="J129" s="43" t="s">
        <v>108</v>
      </c>
      <c r="K129" s="43" t="s">
        <v>103</v>
      </c>
      <c r="L129" s="45">
        <v>0.08</v>
      </c>
      <c r="M129" s="43" t="s">
        <v>104</v>
      </c>
      <c r="N129" s="17" t="str">
        <f t="shared" si="5"/>
        <v>Yes</v>
      </c>
      <c r="O129" s="17" t="str">
        <f t="shared" si="6"/>
        <v>No</v>
      </c>
      <c r="P129" s="18">
        <f t="shared" si="7"/>
        <v>1118.4000000000001</v>
      </c>
      <c r="Q129" s="17" t="str">
        <f t="shared" si="8"/>
        <v>Maverick / non-preferred</v>
      </c>
      <c r="R129" s="20" t="str">
        <f t="shared" si="9"/>
        <v>Low</v>
      </c>
    </row>
    <row r="130" spans="1:18" ht="15">
      <c r="A130" s="41">
        <v>126</v>
      </c>
      <c r="B130" s="42">
        <v>45938</v>
      </c>
      <c r="C130" s="43" t="s">
        <v>109</v>
      </c>
      <c r="D130" s="43" t="s">
        <v>17</v>
      </c>
      <c r="E130" s="43" t="s">
        <v>67</v>
      </c>
      <c r="F130" s="43" t="s">
        <v>106</v>
      </c>
      <c r="G130" s="43" t="s">
        <v>102</v>
      </c>
      <c r="H130" s="44">
        <v>34700</v>
      </c>
      <c r="I130" s="43" t="s">
        <v>108</v>
      </c>
      <c r="J130" s="43" t="s">
        <v>108</v>
      </c>
      <c r="K130" s="43" t="s">
        <v>103</v>
      </c>
      <c r="L130" s="45">
        <v>0.08</v>
      </c>
      <c r="M130" s="43" t="s">
        <v>104</v>
      </c>
      <c r="N130" s="17" t="str">
        <f t="shared" si="5"/>
        <v>Yes</v>
      </c>
      <c r="O130" s="17" t="str">
        <f t="shared" si="6"/>
        <v>No</v>
      </c>
      <c r="P130" s="18">
        <f t="shared" si="7"/>
        <v>2776</v>
      </c>
      <c r="Q130" s="17" t="str">
        <f t="shared" si="8"/>
        <v>Maverick / non-preferred</v>
      </c>
      <c r="R130" s="20" t="str">
        <f t="shared" si="9"/>
        <v>Low</v>
      </c>
    </row>
    <row r="131" spans="1:18" ht="15">
      <c r="A131" s="41">
        <v>127</v>
      </c>
      <c r="B131" s="42">
        <v>46011</v>
      </c>
      <c r="C131" s="43" t="s">
        <v>136</v>
      </c>
      <c r="D131" s="43" t="s">
        <v>19</v>
      </c>
      <c r="E131" s="43" t="s">
        <v>72</v>
      </c>
      <c r="F131" s="43" t="s">
        <v>106</v>
      </c>
      <c r="G131" s="43" t="s">
        <v>110</v>
      </c>
      <c r="H131" s="44">
        <v>10100</v>
      </c>
      <c r="I131" s="43" t="s">
        <v>103</v>
      </c>
      <c r="J131" s="43" t="s">
        <v>103</v>
      </c>
      <c r="K131" s="43" t="s">
        <v>103</v>
      </c>
      <c r="L131" s="45">
        <v>0.12</v>
      </c>
      <c r="M131" s="43" t="s">
        <v>114</v>
      </c>
      <c r="N131" s="17" t="str">
        <f t="shared" si="5"/>
        <v>No</v>
      </c>
      <c r="O131" s="17" t="str">
        <f t="shared" si="6"/>
        <v>No</v>
      </c>
      <c r="P131" s="18">
        <f t="shared" si="7"/>
        <v>1212</v>
      </c>
      <c r="Q131" s="17" t="str">
        <f t="shared" si="8"/>
        <v>Category sourcing</v>
      </c>
      <c r="R131" s="20" t="str">
        <f t="shared" si="9"/>
        <v>Low</v>
      </c>
    </row>
    <row r="132" spans="1:18" ht="15">
      <c r="A132" s="41">
        <v>128</v>
      </c>
      <c r="B132" s="42">
        <v>45840</v>
      </c>
      <c r="C132" s="43" t="s">
        <v>155</v>
      </c>
      <c r="D132" s="43" t="s">
        <v>19</v>
      </c>
      <c r="E132" s="43" t="s">
        <v>72</v>
      </c>
      <c r="F132" s="43" t="s">
        <v>113</v>
      </c>
      <c r="G132" s="43" t="s">
        <v>120</v>
      </c>
      <c r="H132" s="44">
        <v>8320</v>
      </c>
      <c r="I132" s="43" t="s">
        <v>108</v>
      </c>
      <c r="J132" s="43" t="s">
        <v>108</v>
      </c>
      <c r="K132" s="43" t="s">
        <v>103</v>
      </c>
      <c r="L132" s="45">
        <v>0.12</v>
      </c>
      <c r="M132" s="43" t="s">
        <v>114</v>
      </c>
      <c r="N132" s="17" t="str">
        <f t="shared" si="5"/>
        <v>Yes</v>
      </c>
      <c r="O132" s="17" t="str">
        <f t="shared" si="6"/>
        <v>No</v>
      </c>
      <c r="P132" s="18">
        <f t="shared" si="7"/>
        <v>998.4</v>
      </c>
      <c r="Q132" s="17" t="str">
        <f t="shared" si="8"/>
        <v>Maverick / non-preferred</v>
      </c>
      <c r="R132" s="20" t="str">
        <f t="shared" si="9"/>
        <v>Low</v>
      </c>
    </row>
    <row r="133" spans="1:18" ht="15">
      <c r="A133" s="41">
        <v>129</v>
      </c>
      <c r="B133" s="42">
        <v>45952</v>
      </c>
      <c r="C133" s="43" t="s">
        <v>154</v>
      </c>
      <c r="D133" s="43" t="s">
        <v>21</v>
      </c>
      <c r="E133" s="43" t="s">
        <v>67</v>
      </c>
      <c r="F133" s="43" t="s">
        <v>113</v>
      </c>
      <c r="G133" s="43" t="s">
        <v>110</v>
      </c>
      <c r="H133" s="44">
        <v>23370</v>
      </c>
      <c r="I133" s="43" t="s">
        <v>108</v>
      </c>
      <c r="J133" s="43" t="s">
        <v>108</v>
      </c>
      <c r="K133" s="43" t="s">
        <v>103</v>
      </c>
      <c r="L133" s="45">
        <v>0.06</v>
      </c>
      <c r="M133" s="43" t="s">
        <v>104</v>
      </c>
      <c r="N133" s="17" t="str">
        <f t="shared" ref="N133:N196" si="10">IF(OR(I133="No",J133="No"),"Yes","No")</f>
        <v>Yes</v>
      </c>
      <c r="O133" s="17" t="str">
        <f t="shared" ref="O133:O196" si="11">IF(COUNTIFS($C:$C,C133)&lt;5,"Yes","No")</f>
        <v>No</v>
      </c>
      <c r="P133" s="18">
        <f t="shared" ref="P133:P196" si="12">IF(K133="Yes",H133*L133,0)</f>
        <v>1402.2</v>
      </c>
      <c r="Q133" s="17" t="str">
        <f t="shared" ref="Q133:Q196" si="13">IF(N133="Yes","Maverick / non-preferred",IF(O133="Yes","Tail consolidation",IF(K133="Yes","Category sourcing","Non-addressable")))</f>
        <v>Maverick / non-preferred</v>
      </c>
      <c r="R133" s="20" t="str">
        <f t="shared" ref="R133:R196" si="14">IF(P133&gt;=10000,"High",IF(P133&gt;=3000,"Medium","Low"))</f>
        <v>Low</v>
      </c>
    </row>
    <row r="134" spans="1:18" ht="15">
      <c r="A134" s="41">
        <v>130</v>
      </c>
      <c r="B134" s="42">
        <v>45839</v>
      </c>
      <c r="C134" s="43" t="s">
        <v>126</v>
      </c>
      <c r="D134" s="43" t="s">
        <v>23</v>
      </c>
      <c r="E134" s="43" t="s">
        <v>72</v>
      </c>
      <c r="F134" s="43" t="s">
        <v>101</v>
      </c>
      <c r="G134" s="43" t="s">
        <v>120</v>
      </c>
      <c r="H134" s="44">
        <v>2280</v>
      </c>
      <c r="I134" s="43" t="s">
        <v>108</v>
      </c>
      <c r="J134" s="43" t="s">
        <v>108</v>
      </c>
      <c r="K134" s="43" t="s">
        <v>103</v>
      </c>
      <c r="L134" s="45">
        <v>0.15</v>
      </c>
      <c r="M134" s="43" t="s">
        <v>114</v>
      </c>
      <c r="N134" s="17" t="str">
        <f t="shared" si="10"/>
        <v>Yes</v>
      </c>
      <c r="O134" s="17" t="str">
        <f t="shared" si="11"/>
        <v>No</v>
      </c>
      <c r="P134" s="18">
        <f t="shared" si="12"/>
        <v>342</v>
      </c>
      <c r="Q134" s="17" t="str">
        <f t="shared" si="13"/>
        <v>Maverick / non-preferred</v>
      </c>
      <c r="R134" s="20" t="str">
        <f t="shared" si="14"/>
        <v>Low</v>
      </c>
    </row>
    <row r="135" spans="1:18" ht="15">
      <c r="A135" s="41">
        <v>131</v>
      </c>
      <c r="B135" s="42">
        <v>45727</v>
      </c>
      <c r="C135" s="43" t="s">
        <v>109</v>
      </c>
      <c r="D135" s="43" t="s">
        <v>17</v>
      </c>
      <c r="E135" s="43" t="s">
        <v>67</v>
      </c>
      <c r="F135" s="43" t="s">
        <v>127</v>
      </c>
      <c r="G135" s="43" t="s">
        <v>102</v>
      </c>
      <c r="H135" s="44">
        <v>42730</v>
      </c>
      <c r="I135" s="43" t="s">
        <v>108</v>
      </c>
      <c r="J135" s="43" t="s">
        <v>108</v>
      </c>
      <c r="K135" s="43" t="s">
        <v>103</v>
      </c>
      <c r="L135" s="45">
        <v>0.08</v>
      </c>
      <c r="M135" s="43" t="s">
        <v>104</v>
      </c>
      <c r="N135" s="17" t="str">
        <f t="shared" si="10"/>
        <v>Yes</v>
      </c>
      <c r="O135" s="17" t="str">
        <f t="shared" si="11"/>
        <v>No</v>
      </c>
      <c r="P135" s="18">
        <f t="shared" si="12"/>
        <v>3418.4</v>
      </c>
      <c r="Q135" s="17" t="str">
        <f t="shared" si="13"/>
        <v>Maverick / non-preferred</v>
      </c>
      <c r="R135" s="20" t="str">
        <f t="shared" si="14"/>
        <v>Medium</v>
      </c>
    </row>
    <row r="136" spans="1:18" ht="15">
      <c r="A136" s="41">
        <v>132</v>
      </c>
      <c r="B136" s="42">
        <v>45710</v>
      </c>
      <c r="C136" s="43" t="s">
        <v>150</v>
      </c>
      <c r="D136" s="43" t="s">
        <v>23</v>
      </c>
      <c r="E136" s="43" t="s">
        <v>72</v>
      </c>
      <c r="F136" s="43" t="s">
        <v>115</v>
      </c>
      <c r="G136" s="43" t="s">
        <v>107</v>
      </c>
      <c r="H136" s="44">
        <v>4560</v>
      </c>
      <c r="I136" s="43" t="s">
        <v>103</v>
      </c>
      <c r="J136" s="43" t="s">
        <v>108</v>
      </c>
      <c r="K136" s="43" t="s">
        <v>103</v>
      </c>
      <c r="L136" s="45">
        <v>0.15</v>
      </c>
      <c r="M136" s="43" t="s">
        <v>114</v>
      </c>
      <c r="N136" s="17" t="str">
        <f t="shared" si="10"/>
        <v>Yes</v>
      </c>
      <c r="O136" s="17" t="str">
        <f t="shared" si="11"/>
        <v>Yes</v>
      </c>
      <c r="P136" s="18">
        <f t="shared" si="12"/>
        <v>684</v>
      </c>
      <c r="Q136" s="17" t="str">
        <f t="shared" si="13"/>
        <v>Maverick / non-preferred</v>
      </c>
      <c r="R136" s="20" t="str">
        <f t="shared" si="14"/>
        <v>Low</v>
      </c>
    </row>
    <row r="137" spans="1:18" ht="15">
      <c r="A137" s="41">
        <v>133</v>
      </c>
      <c r="B137" s="42">
        <v>45958</v>
      </c>
      <c r="C137" s="43" t="s">
        <v>141</v>
      </c>
      <c r="D137" s="43" t="s">
        <v>76</v>
      </c>
      <c r="E137" s="43" t="s">
        <v>72</v>
      </c>
      <c r="F137" s="43" t="s">
        <v>101</v>
      </c>
      <c r="G137" s="43" t="s">
        <v>107</v>
      </c>
      <c r="H137" s="44">
        <v>18770</v>
      </c>
      <c r="I137" s="43" t="s">
        <v>108</v>
      </c>
      <c r="J137" s="43" t="s">
        <v>108</v>
      </c>
      <c r="K137" s="43" t="s">
        <v>108</v>
      </c>
      <c r="L137" s="45">
        <v>0.09</v>
      </c>
      <c r="M137" s="43" t="s">
        <v>118</v>
      </c>
      <c r="N137" s="17" t="str">
        <f t="shared" si="10"/>
        <v>Yes</v>
      </c>
      <c r="O137" s="17" t="str">
        <f t="shared" si="11"/>
        <v>No</v>
      </c>
      <c r="P137" s="18">
        <f t="shared" si="12"/>
        <v>0</v>
      </c>
      <c r="Q137" s="17" t="str">
        <f t="shared" si="13"/>
        <v>Maverick / non-preferred</v>
      </c>
      <c r="R137" s="20" t="str">
        <f t="shared" si="14"/>
        <v>Low</v>
      </c>
    </row>
    <row r="138" spans="1:18" ht="15">
      <c r="A138" s="41">
        <v>134</v>
      </c>
      <c r="B138" s="42">
        <v>45757</v>
      </c>
      <c r="C138" s="43" t="s">
        <v>129</v>
      </c>
      <c r="D138" s="43" t="s">
        <v>76</v>
      </c>
      <c r="E138" s="43" t="s">
        <v>72</v>
      </c>
      <c r="F138" s="43" t="s">
        <v>127</v>
      </c>
      <c r="G138" s="43" t="s">
        <v>110</v>
      </c>
      <c r="H138" s="44">
        <v>14070</v>
      </c>
      <c r="I138" s="43" t="s">
        <v>103</v>
      </c>
      <c r="J138" s="43" t="s">
        <v>108</v>
      </c>
      <c r="K138" s="43" t="s">
        <v>108</v>
      </c>
      <c r="L138" s="45">
        <v>0.09</v>
      </c>
      <c r="M138" s="43" t="s">
        <v>118</v>
      </c>
      <c r="N138" s="17" t="str">
        <f t="shared" si="10"/>
        <v>Yes</v>
      </c>
      <c r="O138" s="17" t="str">
        <f t="shared" si="11"/>
        <v>No</v>
      </c>
      <c r="P138" s="18">
        <f t="shared" si="12"/>
        <v>0</v>
      </c>
      <c r="Q138" s="17" t="str">
        <f t="shared" si="13"/>
        <v>Maverick / non-preferred</v>
      </c>
      <c r="R138" s="20" t="str">
        <f t="shared" si="14"/>
        <v>Low</v>
      </c>
    </row>
    <row r="139" spans="1:18" ht="15">
      <c r="A139" s="41">
        <v>135</v>
      </c>
      <c r="B139" s="42">
        <v>45904</v>
      </c>
      <c r="C139" s="43" t="s">
        <v>154</v>
      </c>
      <c r="D139" s="43" t="s">
        <v>21</v>
      </c>
      <c r="E139" s="43" t="s">
        <v>67</v>
      </c>
      <c r="F139" s="43" t="s">
        <v>115</v>
      </c>
      <c r="G139" s="43" t="s">
        <v>102</v>
      </c>
      <c r="H139" s="44">
        <v>14950</v>
      </c>
      <c r="I139" s="43" t="s">
        <v>108</v>
      </c>
      <c r="J139" s="43" t="s">
        <v>108</v>
      </c>
      <c r="K139" s="43" t="s">
        <v>103</v>
      </c>
      <c r="L139" s="45">
        <v>0.06</v>
      </c>
      <c r="M139" s="43" t="s">
        <v>104</v>
      </c>
      <c r="N139" s="17" t="str">
        <f t="shared" si="10"/>
        <v>Yes</v>
      </c>
      <c r="O139" s="17" t="str">
        <f t="shared" si="11"/>
        <v>No</v>
      </c>
      <c r="P139" s="18">
        <f t="shared" si="12"/>
        <v>897</v>
      </c>
      <c r="Q139" s="17" t="str">
        <f t="shared" si="13"/>
        <v>Maverick / non-preferred</v>
      </c>
      <c r="R139" s="20" t="str">
        <f t="shared" si="14"/>
        <v>Low</v>
      </c>
    </row>
    <row r="140" spans="1:18" ht="15">
      <c r="A140" s="41">
        <v>136</v>
      </c>
      <c r="B140" s="42">
        <v>45947</v>
      </c>
      <c r="C140" s="43" t="s">
        <v>158</v>
      </c>
      <c r="D140" s="43" t="s">
        <v>26</v>
      </c>
      <c r="E140" s="43" t="s">
        <v>72</v>
      </c>
      <c r="F140" s="43" t="s">
        <v>115</v>
      </c>
      <c r="G140" s="43" t="s">
        <v>120</v>
      </c>
      <c r="H140" s="44">
        <v>7010</v>
      </c>
      <c r="I140" s="43" t="s">
        <v>103</v>
      </c>
      <c r="J140" s="43" t="s">
        <v>103</v>
      </c>
      <c r="K140" s="43" t="s">
        <v>103</v>
      </c>
      <c r="L140" s="45">
        <v>0.1</v>
      </c>
      <c r="M140" s="43" t="s">
        <v>104</v>
      </c>
      <c r="N140" s="17" t="str">
        <f t="shared" si="10"/>
        <v>No</v>
      </c>
      <c r="O140" s="17" t="str">
        <f t="shared" si="11"/>
        <v>Yes</v>
      </c>
      <c r="P140" s="18">
        <f t="shared" si="12"/>
        <v>701</v>
      </c>
      <c r="Q140" s="17" t="str">
        <f t="shared" si="13"/>
        <v>Tail consolidation</v>
      </c>
      <c r="R140" s="20" t="str">
        <f t="shared" si="14"/>
        <v>Low</v>
      </c>
    </row>
    <row r="141" spans="1:18" ht="15">
      <c r="A141" s="41">
        <v>137</v>
      </c>
      <c r="B141" s="42">
        <v>45907</v>
      </c>
      <c r="C141" s="43" t="s">
        <v>112</v>
      </c>
      <c r="D141" s="43" t="s">
        <v>23</v>
      </c>
      <c r="E141" s="43" t="s">
        <v>72</v>
      </c>
      <c r="F141" s="43" t="s">
        <v>106</v>
      </c>
      <c r="G141" s="43" t="s">
        <v>102</v>
      </c>
      <c r="H141" s="44">
        <v>5920</v>
      </c>
      <c r="I141" s="43" t="s">
        <v>103</v>
      </c>
      <c r="J141" s="43" t="s">
        <v>108</v>
      </c>
      <c r="K141" s="43" t="s">
        <v>103</v>
      </c>
      <c r="L141" s="45">
        <v>0.15</v>
      </c>
      <c r="M141" s="43" t="s">
        <v>114</v>
      </c>
      <c r="N141" s="17" t="str">
        <f t="shared" si="10"/>
        <v>Yes</v>
      </c>
      <c r="O141" s="17" t="str">
        <f t="shared" si="11"/>
        <v>No</v>
      </c>
      <c r="P141" s="18">
        <f t="shared" si="12"/>
        <v>888</v>
      </c>
      <c r="Q141" s="17" t="str">
        <f t="shared" si="13"/>
        <v>Maverick / non-preferred</v>
      </c>
      <c r="R141" s="20" t="str">
        <f t="shared" si="14"/>
        <v>Low</v>
      </c>
    </row>
    <row r="142" spans="1:18" ht="15">
      <c r="A142" s="41">
        <v>138</v>
      </c>
      <c r="B142" s="42">
        <v>45677</v>
      </c>
      <c r="C142" s="43" t="s">
        <v>138</v>
      </c>
      <c r="D142" s="43" t="s">
        <v>26</v>
      </c>
      <c r="E142" s="43" t="s">
        <v>72</v>
      </c>
      <c r="F142" s="43" t="s">
        <v>101</v>
      </c>
      <c r="G142" s="43" t="s">
        <v>110</v>
      </c>
      <c r="H142" s="44">
        <v>8020</v>
      </c>
      <c r="I142" s="43" t="s">
        <v>108</v>
      </c>
      <c r="J142" s="43" t="s">
        <v>108</v>
      </c>
      <c r="K142" s="43" t="s">
        <v>103</v>
      </c>
      <c r="L142" s="45">
        <v>0.1</v>
      </c>
      <c r="M142" s="43" t="s">
        <v>104</v>
      </c>
      <c r="N142" s="17" t="str">
        <f t="shared" si="10"/>
        <v>Yes</v>
      </c>
      <c r="O142" s="17" t="str">
        <f t="shared" si="11"/>
        <v>No</v>
      </c>
      <c r="P142" s="18">
        <f t="shared" si="12"/>
        <v>802</v>
      </c>
      <c r="Q142" s="17" t="str">
        <f t="shared" si="13"/>
        <v>Maverick / non-preferred</v>
      </c>
      <c r="R142" s="20" t="str">
        <f t="shared" si="14"/>
        <v>Low</v>
      </c>
    </row>
    <row r="143" spans="1:18" ht="15">
      <c r="A143" s="41">
        <v>139</v>
      </c>
      <c r="B143" s="42">
        <v>45875</v>
      </c>
      <c r="C143" s="43" t="s">
        <v>155</v>
      </c>
      <c r="D143" s="43" t="s">
        <v>19</v>
      </c>
      <c r="E143" s="43" t="s">
        <v>72</v>
      </c>
      <c r="F143" s="43" t="s">
        <v>127</v>
      </c>
      <c r="G143" s="43" t="s">
        <v>107</v>
      </c>
      <c r="H143" s="44">
        <v>21420</v>
      </c>
      <c r="I143" s="43" t="s">
        <v>108</v>
      </c>
      <c r="J143" s="43" t="s">
        <v>108</v>
      </c>
      <c r="K143" s="43" t="s">
        <v>103</v>
      </c>
      <c r="L143" s="45">
        <v>0.12</v>
      </c>
      <c r="M143" s="43" t="s">
        <v>114</v>
      </c>
      <c r="N143" s="17" t="str">
        <f t="shared" si="10"/>
        <v>Yes</v>
      </c>
      <c r="O143" s="17" t="str">
        <f t="shared" si="11"/>
        <v>No</v>
      </c>
      <c r="P143" s="18">
        <f t="shared" si="12"/>
        <v>2570.4</v>
      </c>
      <c r="Q143" s="17" t="str">
        <f t="shared" si="13"/>
        <v>Maverick / non-preferred</v>
      </c>
      <c r="R143" s="20" t="str">
        <f t="shared" si="14"/>
        <v>Low</v>
      </c>
    </row>
    <row r="144" spans="1:18" ht="15">
      <c r="A144" s="41">
        <v>140</v>
      </c>
      <c r="B144" s="42">
        <v>45846</v>
      </c>
      <c r="C144" s="43" t="s">
        <v>142</v>
      </c>
      <c r="D144" s="43" t="s">
        <v>23</v>
      </c>
      <c r="E144" s="43" t="s">
        <v>72</v>
      </c>
      <c r="F144" s="43" t="s">
        <v>127</v>
      </c>
      <c r="G144" s="43" t="s">
        <v>102</v>
      </c>
      <c r="H144" s="44">
        <v>6060</v>
      </c>
      <c r="I144" s="43" t="s">
        <v>103</v>
      </c>
      <c r="J144" s="43" t="s">
        <v>103</v>
      </c>
      <c r="K144" s="43" t="s">
        <v>103</v>
      </c>
      <c r="L144" s="45">
        <v>0.15</v>
      </c>
      <c r="M144" s="43" t="s">
        <v>114</v>
      </c>
      <c r="N144" s="17" t="str">
        <f t="shared" si="10"/>
        <v>No</v>
      </c>
      <c r="O144" s="17" t="str">
        <f t="shared" si="11"/>
        <v>No</v>
      </c>
      <c r="P144" s="18">
        <f t="shared" si="12"/>
        <v>909</v>
      </c>
      <c r="Q144" s="17" t="str">
        <f t="shared" si="13"/>
        <v>Category sourcing</v>
      </c>
      <c r="R144" s="20" t="str">
        <f t="shared" si="14"/>
        <v>Low</v>
      </c>
    </row>
    <row r="145" spans="1:18" ht="15">
      <c r="A145" s="41">
        <v>141</v>
      </c>
      <c r="B145" s="42">
        <v>45915</v>
      </c>
      <c r="C145" s="43" t="s">
        <v>109</v>
      </c>
      <c r="D145" s="43" t="s">
        <v>17</v>
      </c>
      <c r="E145" s="43" t="s">
        <v>67</v>
      </c>
      <c r="F145" s="43" t="s">
        <v>106</v>
      </c>
      <c r="G145" s="43" t="s">
        <v>120</v>
      </c>
      <c r="H145" s="44">
        <v>112320</v>
      </c>
      <c r="I145" s="43" t="s">
        <v>108</v>
      </c>
      <c r="J145" s="43" t="s">
        <v>108</v>
      </c>
      <c r="K145" s="43" t="s">
        <v>103</v>
      </c>
      <c r="L145" s="45">
        <v>0.08</v>
      </c>
      <c r="M145" s="43" t="s">
        <v>104</v>
      </c>
      <c r="N145" s="17" t="str">
        <f t="shared" si="10"/>
        <v>Yes</v>
      </c>
      <c r="O145" s="17" t="str">
        <f t="shared" si="11"/>
        <v>No</v>
      </c>
      <c r="P145" s="18">
        <f t="shared" si="12"/>
        <v>8985.6</v>
      </c>
      <c r="Q145" s="17" t="str">
        <f t="shared" si="13"/>
        <v>Maverick / non-preferred</v>
      </c>
      <c r="R145" s="20" t="str">
        <f t="shared" si="14"/>
        <v>Medium</v>
      </c>
    </row>
    <row r="146" spans="1:18" ht="15">
      <c r="A146" s="41">
        <v>142</v>
      </c>
      <c r="B146" s="42">
        <v>45829</v>
      </c>
      <c r="C146" s="43" t="s">
        <v>144</v>
      </c>
      <c r="D146" s="43" t="s">
        <v>83</v>
      </c>
      <c r="E146" s="43" t="s">
        <v>67</v>
      </c>
      <c r="F146" s="43" t="s">
        <v>101</v>
      </c>
      <c r="G146" s="43" t="s">
        <v>102</v>
      </c>
      <c r="H146" s="44">
        <v>34320</v>
      </c>
      <c r="I146" s="43" t="s">
        <v>103</v>
      </c>
      <c r="J146" s="43" t="s">
        <v>103</v>
      </c>
      <c r="K146" s="43" t="s">
        <v>108</v>
      </c>
      <c r="L146" s="45">
        <v>0.06</v>
      </c>
      <c r="M146" s="43" t="s">
        <v>104</v>
      </c>
      <c r="N146" s="17" t="str">
        <f t="shared" si="10"/>
        <v>No</v>
      </c>
      <c r="O146" s="17" t="str">
        <f t="shared" si="11"/>
        <v>No</v>
      </c>
      <c r="P146" s="18">
        <f t="shared" si="12"/>
        <v>0</v>
      </c>
      <c r="Q146" s="17" t="str">
        <f t="shared" si="13"/>
        <v>Non-addressable</v>
      </c>
      <c r="R146" s="20" t="str">
        <f t="shared" si="14"/>
        <v>Low</v>
      </c>
    </row>
    <row r="147" spans="1:18" ht="15">
      <c r="A147" s="41">
        <v>143</v>
      </c>
      <c r="B147" s="42">
        <v>45841</v>
      </c>
      <c r="C147" s="43" t="s">
        <v>122</v>
      </c>
      <c r="D147" s="43" t="s">
        <v>83</v>
      </c>
      <c r="E147" s="43" t="s">
        <v>67</v>
      </c>
      <c r="F147" s="43" t="s">
        <v>106</v>
      </c>
      <c r="G147" s="43" t="s">
        <v>102</v>
      </c>
      <c r="H147" s="44">
        <v>3160</v>
      </c>
      <c r="I147" s="43" t="s">
        <v>108</v>
      </c>
      <c r="J147" s="43" t="s">
        <v>108</v>
      </c>
      <c r="K147" s="43" t="s">
        <v>108</v>
      </c>
      <c r="L147" s="45">
        <v>0.06</v>
      </c>
      <c r="M147" s="43" t="s">
        <v>104</v>
      </c>
      <c r="N147" s="17" t="str">
        <f t="shared" si="10"/>
        <v>Yes</v>
      </c>
      <c r="O147" s="17" t="str">
        <f t="shared" si="11"/>
        <v>No</v>
      </c>
      <c r="P147" s="18">
        <f t="shared" si="12"/>
        <v>0</v>
      </c>
      <c r="Q147" s="17" t="str">
        <f t="shared" si="13"/>
        <v>Maverick / non-preferred</v>
      </c>
      <c r="R147" s="20" t="str">
        <f t="shared" si="14"/>
        <v>Low</v>
      </c>
    </row>
    <row r="148" spans="1:18" ht="15">
      <c r="A148" s="41">
        <v>144</v>
      </c>
      <c r="B148" s="42">
        <v>45665</v>
      </c>
      <c r="C148" s="43" t="s">
        <v>153</v>
      </c>
      <c r="D148" s="43" t="s">
        <v>76</v>
      </c>
      <c r="E148" s="43" t="s">
        <v>72</v>
      </c>
      <c r="F148" s="43" t="s">
        <v>115</v>
      </c>
      <c r="G148" s="43" t="s">
        <v>110</v>
      </c>
      <c r="H148" s="44">
        <v>25450</v>
      </c>
      <c r="I148" s="43" t="s">
        <v>103</v>
      </c>
      <c r="J148" s="43" t="s">
        <v>103</v>
      </c>
      <c r="K148" s="43" t="s">
        <v>108</v>
      </c>
      <c r="L148" s="45">
        <v>0.09</v>
      </c>
      <c r="M148" s="43" t="s">
        <v>118</v>
      </c>
      <c r="N148" s="17" t="str">
        <f t="shared" si="10"/>
        <v>No</v>
      </c>
      <c r="O148" s="17" t="str">
        <f t="shared" si="11"/>
        <v>No</v>
      </c>
      <c r="P148" s="18">
        <f t="shared" si="12"/>
        <v>0</v>
      </c>
      <c r="Q148" s="17" t="str">
        <f t="shared" si="13"/>
        <v>Non-addressable</v>
      </c>
      <c r="R148" s="20" t="str">
        <f t="shared" si="14"/>
        <v>Low</v>
      </c>
    </row>
    <row r="149" spans="1:18" ht="15">
      <c r="A149" s="41">
        <v>145</v>
      </c>
      <c r="B149" s="42">
        <v>45916</v>
      </c>
      <c r="C149" s="43" t="s">
        <v>143</v>
      </c>
      <c r="D149" s="43" t="s">
        <v>21</v>
      </c>
      <c r="E149" s="43" t="s">
        <v>67</v>
      </c>
      <c r="F149" s="43" t="s">
        <v>113</v>
      </c>
      <c r="G149" s="43" t="s">
        <v>110</v>
      </c>
      <c r="H149" s="44">
        <v>7580</v>
      </c>
      <c r="I149" s="43" t="s">
        <v>108</v>
      </c>
      <c r="J149" s="43" t="s">
        <v>108</v>
      </c>
      <c r="K149" s="43" t="s">
        <v>103</v>
      </c>
      <c r="L149" s="45">
        <v>0.06</v>
      </c>
      <c r="M149" s="43" t="s">
        <v>104</v>
      </c>
      <c r="N149" s="17" t="str">
        <f t="shared" si="10"/>
        <v>Yes</v>
      </c>
      <c r="O149" s="17" t="str">
        <f t="shared" si="11"/>
        <v>No</v>
      </c>
      <c r="P149" s="18">
        <f t="shared" si="12"/>
        <v>454.8</v>
      </c>
      <c r="Q149" s="17" t="str">
        <f t="shared" si="13"/>
        <v>Maverick / non-preferred</v>
      </c>
      <c r="R149" s="20" t="str">
        <f t="shared" si="14"/>
        <v>Low</v>
      </c>
    </row>
    <row r="150" spans="1:18" ht="15">
      <c r="A150" s="41">
        <v>146</v>
      </c>
      <c r="B150" s="42">
        <v>45848</v>
      </c>
      <c r="C150" s="43" t="s">
        <v>141</v>
      </c>
      <c r="D150" s="43" t="s">
        <v>76</v>
      </c>
      <c r="E150" s="43" t="s">
        <v>72</v>
      </c>
      <c r="F150" s="43" t="s">
        <v>101</v>
      </c>
      <c r="G150" s="43" t="s">
        <v>102</v>
      </c>
      <c r="H150" s="44">
        <v>14060</v>
      </c>
      <c r="I150" s="43" t="s">
        <v>103</v>
      </c>
      <c r="J150" s="43" t="s">
        <v>108</v>
      </c>
      <c r="K150" s="43" t="s">
        <v>108</v>
      </c>
      <c r="L150" s="45">
        <v>0.09</v>
      </c>
      <c r="M150" s="43" t="s">
        <v>118</v>
      </c>
      <c r="N150" s="17" t="str">
        <f t="shared" si="10"/>
        <v>Yes</v>
      </c>
      <c r="O150" s="17" t="str">
        <f t="shared" si="11"/>
        <v>No</v>
      </c>
      <c r="P150" s="18">
        <f t="shared" si="12"/>
        <v>0</v>
      </c>
      <c r="Q150" s="17" t="str">
        <f t="shared" si="13"/>
        <v>Maverick / non-preferred</v>
      </c>
      <c r="R150" s="20" t="str">
        <f t="shared" si="14"/>
        <v>Low</v>
      </c>
    </row>
    <row r="151" spans="1:18" ht="15">
      <c r="A151" s="41">
        <v>147</v>
      </c>
      <c r="B151" s="42">
        <v>45958</v>
      </c>
      <c r="C151" s="43" t="s">
        <v>137</v>
      </c>
      <c r="D151" s="43" t="s">
        <v>19</v>
      </c>
      <c r="E151" s="43" t="s">
        <v>72</v>
      </c>
      <c r="F151" s="43" t="s">
        <v>106</v>
      </c>
      <c r="G151" s="43" t="s">
        <v>110</v>
      </c>
      <c r="H151" s="44">
        <v>4850</v>
      </c>
      <c r="I151" s="43" t="s">
        <v>108</v>
      </c>
      <c r="J151" s="43" t="s">
        <v>108</v>
      </c>
      <c r="K151" s="43" t="s">
        <v>103</v>
      </c>
      <c r="L151" s="45">
        <v>0.12</v>
      </c>
      <c r="M151" s="43" t="s">
        <v>114</v>
      </c>
      <c r="N151" s="17" t="str">
        <f t="shared" si="10"/>
        <v>Yes</v>
      </c>
      <c r="O151" s="17" t="str">
        <f t="shared" si="11"/>
        <v>No</v>
      </c>
      <c r="P151" s="18">
        <f t="shared" si="12"/>
        <v>582</v>
      </c>
      <c r="Q151" s="17" t="str">
        <f t="shared" si="13"/>
        <v>Maverick / non-preferred</v>
      </c>
      <c r="R151" s="20" t="str">
        <f t="shared" si="14"/>
        <v>Low</v>
      </c>
    </row>
    <row r="152" spans="1:18" ht="15">
      <c r="A152" s="41">
        <v>148</v>
      </c>
      <c r="B152" s="42">
        <v>45916</v>
      </c>
      <c r="C152" s="43" t="s">
        <v>139</v>
      </c>
      <c r="D152" s="43" t="s">
        <v>81</v>
      </c>
      <c r="E152" s="43" t="s">
        <v>72</v>
      </c>
      <c r="F152" s="43" t="s">
        <v>101</v>
      </c>
      <c r="G152" s="43" t="s">
        <v>107</v>
      </c>
      <c r="H152" s="44">
        <v>10140</v>
      </c>
      <c r="I152" s="43" t="s">
        <v>103</v>
      </c>
      <c r="J152" s="43" t="s">
        <v>103</v>
      </c>
      <c r="K152" s="43" t="s">
        <v>103</v>
      </c>
      <c r="L152" s="45">
        <v>0.18</v>
      </c>
      <c r="M152" s="43" t="s">
        <v>118</v>
      </c>
      <c r="N152" s="17" t="str">
        <f t="shared" si="10"/>
        <v>No</v>
      </c>
      <c r="O152" s="17" t="str">
        <f t="shared" si="11"/>
        <v>No</v>
      </c>
      <c r="P152" s="18">
        <f t="shared" si="12"/>
        <v>1825.2</v>
      </c>
      <c r="Q152" s="17" t="str">
        <f t="shared" si="13"/>
        <v>Category sourcing</v>
      </c>
      <c r="R152" s="20" t="str">
        <f t="shared" si="14"/>
        <v>Low</v>
      </c>
    </row>
    <row r="153" spans="1:18" ht="15">
      <c r="A153" s="41">
        <v>149</v>
      </c>
      <c r="B153" s="42">
        <v>45776</v>
      </c>
      <c r="C153" s="43" t="s">
        <v>149</v>
      </c>
      <c r="D153" s="43" t="s">
        <v>79</v>
      </c>
      <c r="E153" s="43" t="s">
        <v>72</v>
      </c>
      <c r="F153" s="43" t="s">
        <v>101</v>
      </c>
      <c r="G153" s="43" t="s">
        <v>107</v>
      </c>
      <c r="H153" s="44">
        <v>14300</v>
      </c>
      <c r="I153" s="43" t="s">
        <v>103</v>
      </c>
      <c r="J153" s="43" t="s">
        <v>103</v>
      </c>
      <c r="K153" s="43" t="s">
        <v>108</v>
      </c>
      <c r="L153" s="45">
        <v>7.0000000000000007E-2</v>
      </c>
      <c r="M153" s="43" t="s">
        <v>124</v>
      </c>
      <c r="N153" s="17" t="str">
        <f t="shared" si="10"/>
        <v>No</v>
      </c>
      <c r="O153" s="17" t="str">
        <f t="shared" si="11"/>
        <v>No</v>
      </c>
      <c r="P153" s="18">
        <f t="shared" si="12"/>
        <v>0</v>
      </c>
      <c r="Q153" s="17" t="str">
        <f t="shared" si="13"/>
        <v>Non-addressable</v>
      </c>
      <c r="R153" s="20" t="str">
        <f t="shared" si="14"/>
        <v>Low</v>
      </c>
    </row>
    <row r="154" spans="1:18" ht="15">
      <c r="A154" s="41">
        <v>150</v>
      </c>
      <c r="B154" s="42">
        <v>45739</v>
      </c>
      <c r="C154" s="43" t="s">
        <v>159</v>
      </c>
      <c r="D154" s="43" t="s">
        <v>26</v>
      </c>
      <c r="E154" s="43" t="s">
        <v>72</v>
      </c>
      <c r="F154" s="43" t="s">
        <v>113</v>
      </c>
      <c r="G154" s="43" t="s">
        <v>107</v>
      </c>
      <c r="H154" s="44">
        <v>61960</v>
      </c>
      <c r="I154" s="43" t="s">
        <v>108</v>
      </c>
      <c r="J154" s="43" t="s">
        <v>108</v>
      </c>
      <c r="K154" s="43" t="s">
        <v>103</v>
      </c>
      <c r="L154" s="45">
        <v>0.1</v>
      </c>
      <c r="M154" s="43" t="s">
        <v>104</v>
      </c>
      <c r="N154" s="17" t="str">
        <f t="shared" si="10"/>
        <v>Yes</v>
      </c>
      <c r="O154" s="17" t="str">
        <f t="shared" si="11"/>
        <v>Yes</v>
      </c>
      <c r="P154" s="18">
        <f t="shared" si="12"/>
        <v>6196</v>
      </c>
      <c r="Q154" s="17" t="str">
        <f t="shared" si="13"/>
        <v>Maverick / non-preferred</v>
      </c>
      <c r="R154" s="20" t="str">
        <f t="shared" si="14"/>
        <v>Medium</v>
      </c>
    </row>
    <row r="155" spans="1:18" ht="15">
      <c r="A155" s="41">
        <v>151</v>
      </c>
      <c r="B155" s="42">
        <v>45669</v>
      </c>
      <c r="C155" s="43" t="s">
        <v>137</v>
      </c>
      <c r="D155" s="43" t="s">
        <v>19</v>
      </c>
      <c r="E155" s="43" t="s">
        <v>72</v>
      </c>
      <c r="F155" s="43" t="s">
        <v>115</v>
      </c>
      <c r="G155" s="43" t="s">
        <v>102</v>
      </c>
      <c r="H155" s="44">
        <v>4780</v>
      </c>
      <c r="I155" s="43" t="s">
        <v>108</v>
      </c>
      <c r="J155" s="43" t="s">
        <v>108</v>
      </c>
      <c r="K155" s="43" t="s">
        <v>103</v>
      </c>
      <c r="L155" s="45">
        <v>0.12</v>
      </c>
      <c r="M155" s="43" t="s">
        <v>114</v>
      </c>
      <c r="N155" s="17" t="str">
        <f t="shared" si="10"/>
        <v>Yes</v>
      </c>
      <c r="O155" s="17" t="str">
        <f t="shared" si="11"/>
        <v>No</v>
      </c>
      <c r="P155" s="18">
        <f t="shared" si="12"/>
        <v>573.6</v>
      </c>
      <c r="Q155" s="17" t="str">
        <f t="shared" si="13"/>
        <v>Maverick / non-preferred</v>
      </c>
      <c r="R155" s="20" t="str">
        <f t="shared" si="14"/>
        <v>Low</v>
      </c>
    </row>
    <row r="156" spans="1:18" ht="15">
      <c r="A156" s="41">
        <v>152</v>
      </c>
      <c r="B156" s="42">
        <v>45696</v>
      </c>
      <c r="C156" s="43" t="s">
        <v>138</v>
      </c>
      <c r="D156" s="43" t="s">
        <v>26</v>
      </c>
      <c r="E156" s="43" t="s">
        <v>72</v>
      </c>
      <c r="F156" s="43" t="s">
        <v>127</v>
      </c>
      <c r="G156" s="43" t="s">
        <v>110</v>
      </c>
      <c r="H156" s="44">
        <v>620</v>
      </c>
      <c r="I156" s="43" t="s">
        <v>108</v>
      </c>
      <c r="J156" s="43" t="s">
        <v>108</v>
      </c>
      <c r="K156" s="43" t="s">
        <v>103</v>
      </c>
      <c r="L156" s="45">
        <v>0.1</v>
      </c>
      <c r="M156" s="43" t="s">
        <v>104</v>
      </c>
      <c r="N156" s="17" t="str">
        <f t="shared" si="10"/>
        <v>Yes</v>
      </c>
      <c r="O156" s="17" t="str">
        <f t="shared" si="11"/>
        <v>No</v>
      </c>
      <c r="P156" s="18">
        <f t="shared" si="12"/>
        <v>62</v>
      </c>
      <c r="Q156" s="17" t="str">
        <f t="shared" si="13"/>
        <v>Maverick / non-preferred</v>
      </c>
      <c r="R156" s="20" t="str">
        <f t="shared" si="14"/>
        <v>Low</v>
      </c>
    </row>
    <row r="157" spans="1:18" ht="15">
      <c r="A157" s="41">
        <v>153</v>
      </c>
      <c r="B157" s="42">
        <v>45943</v>
      </c>
      <c r="C157" s="43" t="s">
        <v>125</v>
      </c>
      <c r="D157" s="43" t="s">
        <v>81</v>
      </c>
      <c r="E157" s="43" t="s">
        <v>72</v>
      </c>
      <c r="F157" s="43" t="s">
        <v>113</v>
      </c>
      <c r="G157" s="43" t="s">
        <v>107</v>
      </c>
      <c r="H157" s="44">
        <v>5660</v>
      </c>
      <c r="I157" s="43" t="s">
        <v>108</v>
      </c>
      <c r="J157" s="43" t="s">
        <v>108</v>
      </c>
      <c r="K157" s="43" t="s">
        <v>103</v>
      </c>
      <c r="L157" s="45">
        <v>0.18</v>
      </c>
      <c r="M157" s="43" t="s">
        <v>118</v>
      </c>
      <c r="N157" s="17" t="str">
        <f t="shared" si="10"/>
        <v>Yes</v>
      </c>
      <c r="O157" s="17" t="str">
        <f t="shared" si="11"/>
        <v>No</v>
      </c>
      <c r="P157" s="18">
        <f t="shared" si="12"/>
        <v>1018.8</v>
      </c>
      <c r="Q157" s="17" t="str">
        <f t="shared" si="13"/>
        <v>Maverick / non-preferred</v>
      </c>
      <c r="R157" s="20" t="str">
        <f t="shared" si="14"/>
        <v>Low</v>
      </c>
    </row>
    <row r="158" spans="1:18" ht="15">
      <c r="A158" s="41">
        <v>154</v>
      </c>
      <c r="B158" s="42">
        <v>45894</v>
      </c>
      <c r="C158" s="43" t="s">
        <v>117</v>
      </c>
      <c r="D158" s="43" t="s">
        <v>81</v>
      </c>
      <c r="E158" s="43" t="s">
        <v>72</v>
      </c>
      <c r="F158" s="43" t="s">
        <v>101</v>
      </c>
      <c r="G158" s="43" t="s">
        <v>110</v>
      </c>
      <c r="H158" s="44">
        <v>7710</v>
      </c>
      <c r="I158" s="43" t="s">
        <v>108</v>
      </c>
      <c r="J158" s="43" t="s">
        <v>108</v>
      </c>
      <c r="K158" s="43" t="s">
        <v>103</v>
      </c>
      <c r="L158" s="45">
        <v>0.18</v>
      </c>
      <c r="M158" s="43" t="s">
        <v>118</v>
      </c>
      <c r="N158" s="17" t="str">
        <f t="shared" si="10"/>
        <v>Yes</v>
      </c>
      <c r="O158" s="17" t="str">
        <f t="shared" si="11"/>
        <v>No</v>
      </c>
      <c r="P158" s="18">
        <f t="shared" si="12"/>
        <v>1387.8</v>
      </c>
      <c r="Q158" s="17" t="str">
        <f t="shared" si="13"/>
        <v>Maverick / non-preferred</v>
      </c>
      <c r="R158" s="20" t="str">
        <f t="shared" si="14"/>
        <v>Low</v>
      </c>
    </row>
    <row r="159" spans="1:18" ht="15">
      <c r="A159" s="41">
        <v>155</v>
      </c>
      <c r="B159" s="42">
        <v>45931</v>
      </c>
      <c r="C159" s="43" t="s">
        <v>153</v>
      </c>
      <c r="D159" s="43" t="s">
        <v>76</v>
      </c>
      <c r="E159" s="43" t="s">
        <v>72</v>
      </c>
      <c r="F159" s="43" t="s">
        <v>127</v>
      </c>
      <c r="G159" s="43" t="s">
        <v>102</v>
      </c>
      <c r="H159" s="44">
        <v>19210</v>
      </c>
      <c r="I159" s="43" t="s">
        <v>103</v>
      </c>
      <c r="J159" s="43" t="s">
        <v>103</v>
      </c>
      <c r="K159" s="43" t="s">
        <v>108</v>
      </c>
      <c r="L159" s="45">
        <v>0.09</v>
      </c>
      <c r="M159" s="43" t="s">
        <v>118</v>
      </c>
      <c r="N159" s="17" t="str">
        <f t="shared" si="10"/>
        <v>No</v>
      </c>
      <c r="O159" s="17" t="str">
        <f t="shared" si="11"/>
        <v>No</v>
      </c>
      <c r="P159" s="18">
        <f t="shared" si="12"/>
        <v>0</v>
      </c>
      <c r="Q159" s="17" t="str">
        <f t="shared" si="13"/>
        <v>Non-addressable</v>
      </c>
      <c r="R159" s="20" t="str">
        <f t="shared" si="14"/>
        <v>Low</v>
      </c>
    </row>
    <row r="160" spans="1:18" ht="15">
      <c r="A160" s="41">
        <v>156</v>
      </c>
      <c r="B160" s="42">
        <v>45849</v>
      </c>
      <c r="C160" s="43" t="s">
        <v>160</v>
      </c>
      <c r="D160" s="43" t="s">
        <v>76</v>
      </c>
      <c r="E160" s="43" t="s">
        <v>72</v>
      </c>
      <c r="F160" s="43" t="s">
        <v>115</v>
      </c>
      <c r="G160" s="43" t="s">
        <v>102</v>
      </c>
      <c r="H160" s="44">
        <v>42840</v>
      </c>
      <c r="I160" s="43" t="s">
        <v>108</v>
      </c>
      <c r="J160" s="43" t="s">
        <v>108</v>
      </c>
      <c r="K160" s="43" t="s">
        <v>108</v>
      </c>
      <c r="L160" s="45">
        <v>0.09</v>
      </c>
      <c r="M160" s="43" t="s">
        <v>118</v>
      </c>
      <c r="N160" s="17" t="str">
        <f t="shared" si="10"/>
        <v>Yes</v>
      </c>
      <c r="O160" s="17" t="str">
        <f t="shared" si="11"/>
        <v>No</v>
      </c>
      <c r="P160" s="18">
        <f t="shared" si="12"/>
        <v>0</v>
      </c>
      <c r="Q160" s="17" t="str">
        <f t="shared" si="13"/>
        <v>Maverick / non-preferred</v>
      </c>
      <c r="R160" s="20" t="str">
        <f t="shared" si="14"/>
        <v>Low</v>
      </c>
    </row>
    <row r="161" spans="1:18" ht="15">
      <c r="A161" s="41">
        <v>157</v>
      </c>
      <c r="B161" s="42">
        <v>45904</v>
      </c>
      <c r="C161" s="43" t="s">
        <v>145</v>
      </c>
      <c r="D161" s="43" t="s">
        <v>25</v>
      </c>
      <c r="E161" s="43" t="s">
        <v>67</v>
      </c>
      <c r="F161" s="43" t="s">
        <v>127</v>
      </c>
      <c r="G161" s="43" t="s">
        <v>102</v>
      </c>
      <c r="H161" s="44">
        <v>32080</v>
      </c>
      <c r="I161" s="43" t="s">
        <v>103</v>
      </c>
      <c r="J161" s="43" t="s">
        <v>103</v>
      </c>
      <c r="K161" s="43" t="s">
        <v>103</v>
      </c>
      <c r="L161" s="45">
        <v>0.05</v>
      </c>
      <c r="M161" s="43" t="s">
        <v>104</v>
      </c>
      <c r="N161" s="17" t="str">
        <f t="shared" si="10"/>
        <v>No</v>
      </c>
      <c r="O161" s="17" t="str">
        <f t="shared" si="11"/>
        <v>No</v>
      </c>
      <c r="P161" s="18">
        <f t="shared" si="12"/>
        <v>1604</v>
      </c>
      <c r="Q161" s="17" t="str">
        <f t="shared" si="13"/>
        <v>Category sourcing</v>
      </c>
      <c r="R161" s="20" t="str">
        <f t="shared" si="14"/>
        <v>Low</v>
      </c>
    </row>
    <row r="162" spans="1:18" ht="15">
      <c r="A162" s="41">
        <v>158</v>
      </c>
      <c r="B162" s="42">
        <v>46018</v>
      </c>
      <c r="C162" s="43" t="s">
        <v>123</v>
      </c>
      <c r="D162" s="43" t="s">
        <v>79</v>
      </c>
      <c r="E162" s="43" t="s">
        <v>72</v>
      </c>
      <c r="F162" s="43" t="s">
        <v>113</v>
      </c>
      <c r="G162" s="43" t="s">
        <v>110</v>
      </c>
      <c r="H162" s="44">
        <v>12650</v>
      </c>
      <c r="I162" s="43" t="s">
        <v>103</v>
      </c>
      <c r="J162" s="43" t="s">
        <v>108</v>
      </c>
      <c r="K162" s="43" t="s">
        <v>108</v>
      </c>
      <c r="L162" s="45">
        <v>7.0000000000000007E-2</v>
      </c>
      <c r="M162" s="43" t="s">
        <v>124</v>
      </c>
      <c r="N162" s="17" t="str">
        <f t="shared" si="10"/>
        <v>Yes</v>
      </c>
      <c r="O162" s="17" t="str">
        <f t="shared" si="11"/>
        <v>No</v>
      </c>
      <c r="P162" s="18">
        <f t="shared" si="12"/>
        <v>0</v>
      </c>
      <c r="Q162" s="17" t="str">
        <f t="shared" si="13"/>
        <v>Maverick / non-preferred</v>
      </c>
      <c r="R162" s="20" t="str">
        <f t="shared" si="14"/>
        <v>Low</v>
      </c>
    </row>
    <row r="163" spans="1:18" ht="15">
      <c r="A163" s="41">
        <v>159</v>
      </c>
      <c r="B163" s="42">
        <v>45845</v>
      </c>
      <c r="C163" s="43" t="s">
        <v>151</v>
      </c>
      <c r="D163" s="43" t="s">
        <v>25</v>
      </c>
      <c r="E163" s="43" t="s">
        <v>67</v>
      </c>
      <c r="F163" s="43" t="s">
        <v>101</v>
      </c>
      <c r="G163" s="43" t="s">
        <v>102</v>
      </c>
      <c r="H163" s="44">
        <v>83010</v>
      </c>
      <c r="I163" s="43" t="s">
        <v>108</v>
      </c>
      <c r="J163" s="43" t="s">
        <v>108</v>
      </c>
      <c r="K163" s="43" t="s">
        <v>108</v>
      </c>
      <c r="L163" s="45">
        <v>0.05</v>
      </c>
      <c r="M163" s="43" t="s">
        <v>104</v>
      </c>
      <c r="N163" s="17" t="str">
        <f t="shared" si="10"/>
        <v>Yes</v>
      </c>
      <c r="O163" s="17" t="str">
        <f t="shared" si="11"/>
        <v>Yes</v>
      </c>
      <c r="P163" s="18">
        <f t="shared" si="12"/>
        <v>0</v>
      </c>
      <c r="Q163" s="17" t="str">
        <f t="shared" si="13"/>
        <v>Maverick / non-preferred</v>
      </c>
      <c r="R163" s="20" t="str">
        <f t="shared" si="14"/>
        <v>Low</v>
      </c>
    </row>
    <row r="164" spans="1:18" ht="15">
      <c r="A164" s="41">
        <v>160</v>
      </c>
      <c r="B164" s="42">
        <v>45658</v>
      </c>
      <c r="C164" s="43" t="s">
        <v>144</v>
      </c>
      <c r="D164" s="43" t="s">
        <v>83</v>
      </c>
      <c r="E164" s="43" t="s">
        <v>67</v>
      </c>
      <c r="F164" s="43" t="s">
        <v>106</v>
      </c>
      <c r="G164" s="43" t="s">
        <v>110</v>
      </c>
      <c r="H164" s="44">
        <v>12420</v>
      </c>
      <c r="I164" s="43" t="s">
        <v>103</v>
      </c>
      <c r="J164" s="43" t="s">
        <v>103</v>
      </c>
      <c r="K164" s="43" t="s">
        <v>108</v>
      </c>
      <c r="L164" s="45">
        <v>0.06</v>
      </c>
      <c r="M164" s="43" t="s">
        <v>104</v>
      </c>
      <c r="N164" s="17" t="str">
        <f t="shared" si="10"/>
        <v>No</v>
      </c>
      <c r="O164" s="17" t="str">
        <f t="shared" si="11"/>
        <v>No</v>
      </c>
      <c r="P164" s="18">
        <f t="shared" si="12"/>
        <v>0</v>
      </c>
      <c r="Q164" s="17" t="str">
        <f t="shared" si="13"/>
        <v>Non-addressable</v>
      </c>
      <c r="R164" s="20" t="str">
        <f t="shared" si="14"/>
        <v>Low</v>
      </c>
    </row>
    <row r="165" spans="1:18" ht="15">
      <c r="A165" s="41">
        <v>161</v>
      </c>
      <c r="B165" s="42">
        <v>45879</v>
      </c>
      <c r="C165" s="43" t="s">
        <v>116</v>
      </c>
      <c r="D165" s="43" t="s">
        <v>26</v>
      </c>
      <c r="E165" s="43" t="s">
        <v>72</v>
      </c>
      <c r="F165" s="43" t="s">
        <v>113</v>
      </c>
      <c r="G165" s="43" t="s">
        <v>102</v>
      </c>
      <c r="H165" s="44">
        <v>5090</v>
      </c>
      <c r="I165" s="43" t="s">
        <v>103</v>
      </c>
      <c r="J165" s="43" t="s">
        <v>103</v>
      </c>
      <c r="K165" s="43" t="s">
        <v>103</v>
      </c>
      <c r="L165" s="45">
        <v>0.1</v>
      </c>
      <c r="M165" s="43" t="s">
        <v>104</v>
      </c>
      <c r="N165" s="17" t="str">
        <f t="shared" si="10"/>
        <v>No</v>
      </c>
      <c r="O165" s="17" t="str">
        <f t="shared" si="11"/>
        <v>No</v>
      </c>
      <c r="P165" s="18">
        <f t="shared" si="12"/>
        <v>509</v>
      </c>
      <c r="Q165" s="17" t="str">
        <f t="shared" si="13"/>
        <v>Category sourcing</v>
      </c>
      <c r="R165" s="20" t="str">
        <f t="shared" si="14"/>
        <v>Low</v>
      </c>
    </row>
    <row r="166" spans="1:18" ht="15">
      <c r="A166" s="41">
        <v>162</v>
      </c>
      <c r="B166" s="42">
        <v>45685</v>
      </c>
      <c r="C166" s="43" t="s">
        <v>160</v>
      </c>
      <c r="D166" s="43" t="s">
        <v>76</v>
      </c>
      <c r="E166" s="43" t="s">
        <v>72</v>
      </c>
      <c r="F166" s="43" t="s">
        <v>115</v>
      </c>
      <c r="G166" s="43" t="s">
        <v>102</v>
      </c>
      <c r="H166" s="44">
        <v>12710</v>
      </c>
      <c r="I166" s="43" t="s">
        <v>108</v>
      </c>
      <c r="J166" s="43" t="s">
        <v>108</v>
      </c>
      <c r="K166" s="43" t="s">
        <v>108</v>
      </c>
      <c r="L166" s="45">
        <v>0.09</v>
      </c>
      <c r="M166" s="43" t="s">
        <v>118</v>
      </c>
      <c r="N166" s="17" t="str">
        <f t="shared" si="10"/>
        <v>Yes</v>
      </c>
      <c r="O166" s="17" t="str">
        <f t="shared" si="11"/>
        <v>No</v>
      </c>
      <c r="P166" s="18">
        <f t="shared" si="12"/>
        <v>0</v>
      </c>
      <c r="Q166" s="17" t="str">
        <f t="shared" si="13"/>
        <v>Maverick / non-preferred</v>
      </c>
      <c r="R166" s="20" t="str">
        <f t="shared" si="14"/>
        <v>Low</v>
      </c>
    </row>
    <row r="167" spans="1:18" ht="15">
      <c r="A167" s="41">
        <v>163</v>
      </c>
      <c r="B167" s="42">
        <v>45812</v>
      </c>
      <c r="C167" s="43" t="s">
        <v>116</v>
      </c>
      <c r="D167" s="43" t="s">
        <v>26</v>
      </c>
      <c r="E167" s="43" t="s">
        <v>72</v>
      </c>
      <c r="F167" s="43" t="s">
        <v>127</v>
      </c>
      <c r="G167" s="43" t="s">
        <v>110</v>
      </c>
      <c r="H167" s="44">
        <v>21220</v>
      </c>
      <c r="I167" s="43" t="s">
        <v>103</v>
      </c>
      <c r="J167" s="43" t="s">
        <v>103</v>
      </c>
      <c r="K167" s="43" t="s">
        <v>103</v>
      </c>
      <c r="L167" s="45">
        <v>0.1</v>
      </c>
      <c r="M167" s="43" t="s">
        <v>104</v>
      </c>
      <c r="N167" s="17" t="str">
        <f t="shared" si="10"/>
        <v>No</v>
      </c>
      <c r="O167" s="17" t="str">
        <f t="shared" si="11"/>
        <v>No</v>
      </c>
      <c r="P167" s="18">
        <f t="shared" si="12"/>
        <v>2122</v>
      </c>
      <c r="Q167" s="17" t="str">
        <f t="shared" si="13"/>
        <v>Category sourcing</v>
      </c>
      <c r="R167" s="20" t="str">
        <f t="shared" si="14"/>
        <v>Low</v>
      </c>
    </row>
    <row r="168" spans="1:18" ht="15">
      <c r="A168" s="41">
        <v>164</v>
      </c>
      <c r="B168" s="42">
        <v>45747</v>
      </c>
      <c r="C168" s="43" t="s">
        <v>135</v>
      </c>
      <c r="D168" s="43" t="s">
        <v>17</v>
      </c>
      <c r="E168" s="43" t="s">
        <v>67</v>
      </c>
      <c r="F168" s="43" t="s">
        <v>127</v>
      </c>
      <c r="G168" s="43" t="s">
        <v>120</v>
      </c>
      <c r="H168" s="44">
        <v>27600</v>
      </c>
      <c r="I168" s="43" t="s">
        <v>108</v>
      </c>
      <c r="J168" s="43" t="s">
        <v>108</v>
      </c>
      <c r="K168" s="43" t="s">
        <v>103</v>
      </c>
      <c r="L168" s="45">
        <v>0.08</v>
      </c>
      <c r="M168" s="43" t="s">
        <v>104</v>
      </c>
      <c r="N168" s="17" t="str">
        <f t="shared" si="10"/>
        <v>Yes</v>
      </c>
      <c r="O168" s="17" t="str">
        <f t="shared" si="11"/>
        <v>No</v>
      </c>
      <c r="P168" s="18">
        <f t="shared" si="12"/>
        <v>2208</v>
      </c>
      <c r="Q168" s="17" t="str">
        <f t="shared" si="13"/>
        <v>Maverick / non-preferred</v>
      </c>
      <c r="R168" s="20" t="str">
        <f t="shared" si="14"/>
        <v>Low</v>
      </c>
    </row>
    <row r="169" spans="1:18" ht="15">
      <c r="A169" s="41">
        <v>165</v>
      </c>
      <c r="B169" s="42">
        <v>45803</v>
      </c>
      <c r="C169" s="43" t="s">
        <v>105</v>
      </c>
      <c r="D169" s="43" t="s">
        <v>25</v>
      </c>
      <c r="E169" s="43" t="s">
        <v>67</v>
      </c>
      <c r="F169" s="43" t="s">
        <v>127</v>
      </c>
      <c r="G169" s="43" t="s">
        <v>120</v>
      </c>
      <c r="H169" s="44">
        <v>30810</v>
      </c>
      <c r="I169" s="43" t="s">
        <v>103</v>
      </c>
      <c r="J169" s="43" t="s">
        <v>103</v>
      </c>
      <c r="K169" s="43" t="s">
        <v>103</v>
      </c>
      <c r="L169" s="45">
        <v>0.05</v>
      </c>
      <c r="M169" s="43" t="s">
        <v>104</v>
      </c>
      <c r="N169" s="17" t="str">
        <f t="shared" si="10"/>
        <v>No</v>
      </c>
      <c r="O169" s="17" t="str">
        <f t="shared" si="11"/>
        <v>No</v>
      </c>
      <c r="P169" s="18">
        <f t="shared" si="12"/>
        <v>1540.5</v>
      </c>
      <c r="Q169" s="17" t="str">
        <f t="shared" si="13"/>
        <v>Category sourcing</v>
      </c>
      <c r="R169" s="20" t="str">
        <f t="shared" si="14"/>
        <v>Low</v>
      </c>
    </row>
    <row r="170" spans="1:18" ht="15">
      <c r="A170" s="41">
        <v>166</v>
      </c>
      <c r="B170" s="42">
        <v>45810</v>
      </c>
      <c r="C170" s="43" t="s">
        <v>125</v>
      </c>
      <c r="D170" s="43" t="s">
        <v>81</v>
      </c>
      <c r="E170" s="43" t="s">
        <v>72</v>
      </c>
      <c r="F170" s="43" t="s">
        <v>127</v>
      </c>
      <c r="G170" s="43" t="s">
        <v>107</v>
      </c>
      <c r="H170" s="44">
        <v>7450</v>
      </c>
      <c r="I170" s="43" t="s">
        <v>108</v>
      </c>
      <c r="J170" s="43" t="s">
        <v>108</v>
      </c>
      <c r="K170" s="43" t="s">
        <v>103</v>
      </c>
      <c r="L170" s="45">
        <v>0.18</v>
      </c>
      <c r="M170" s="43" t="s">
        <v>118</v>
      </c>
      <c r="N170" s="17" t="str">
        <f t="shared" si="10"/>
        <v>Yes</v>
      </c>
      <c r="O170" s="17" t="str">
        <f t="shared" si="11"/>
        <v>No</v>
      </c>
      <c r="P170" s="18">
        <f t="shared" si="12"/>
        <v>1341</v>
      </c>
      <c r="Q170" s="17" t="str">
        <f t="shared" si="13"/>
        <v>Maverick / non-preferred</v>
      </c>
      <c r="R170" s="20" t="str">
        <f t="shared" si="14"/>
        <v>Low</v>
      </c>
    </row>
    <row r="171" spans="1:18" ht="15">
      <c r="A171" s="41">
        <v>167</v>
      </c>
      <c r="B171" s="42">
        <v>45945</v>
      </c>
      <c r="C171" s="43" t="s">
        <v>150</v>
      </c>
      <c r="D171" s="43" t="s">
        <v>23</v>
      </c>
      <c r="E171" s="43" t="s">
        <v>72</v>
      </c>
      <c r="F171" s="43" t="s">
        <v>127</v>
      </c>
      <c r="G171" s="43" t="s">
        <v>102</v>
      </c>
      <c r="H171" s="44">
        <v>11570</v>
      </c>
      <c r="I171" s="43" t="s">
        <v>108</v>
      </c>
      <c r="J171" s="43" t="s">
        <v>108</v>
      </c>
      <c r="K171" s="43" t="s">
        <v>103</v>
      </c>
      <c r="L171" s="45">
        <v>0.15</v>
      </c>
      <c r="M171" s="43" t="s">
        <v>114</v>
      </c>
      <c r="N171" s="17" t="str">
        <f t="shared" si="10"/>
        <v>Yes</v>
      </c>
      <c r="O171" s="17" t="str">
        <f t="shared" si="11"/>
        <v>Yes</v>
      </c>
      <c r="P171" s="18">
        <f t="shared" si="12"/>
        <v>1735.5</v>
      </c>
      <c r="Q171" s="17" t="str">
        <f t="shared" si="13"/>
        <v>Maverick / non-preferred</v>
      </c>
      <c r="R171" s="20" t="str">
        <f t="shared" si="14"/>
        <v>Low</v>
      </c>
    </row>
    <row r="172" spans="1:18" ht="15">
      <c r="A172" s="41">
        <v>168</v>
      </c>
      <c r="B172" s="42">
        <v>46002</v>
      </c>
      <c r="C172" s="43" t="s">
        <v>133</v>
      </c>
      <c r="D172" s="43" t="s">
        <v>17</v>
      </c>
      <c r="E172" s="43" t="s">
        <v>67</v>
      </c>
      <c r="F172" s="43" t="s">
        <v>101</v>
      </c>
      <c r="G172" s="43" t="s">
        <v>107</v>
      </c>
      <c r="H172" s="44">
        <v>51750</v>
      </c>
      <c r="I172" s="43" t="s">
        <v>103</v>
      </c>
      <c r="J172" s="43" t="s">
        <v>103</v>
      </c>
      <c r="K172" s="43" t="s">
        <v>103</v>
      </c>
      <c r="L172" s="45">
        <v>0.08</v>
      </c>
      <c r="M172" s="43" t="s">
        <v>104</v>
      </c>
      <c r="N172" s="17" t="str">
        <f t="shared" si="10"/>
        <v>No</v>
      </c>
      <c r="O172" s="17" t="str">
        <f t="shared" si="11"/>
        <v>No</v>
      </c>
      <c r="P172" s="18">
        <f t="shared" si="12"/>
        <v>4140</v>
      </c>
      <c r="Q172" s="17" t="str">
        <f t="shared" si="13"/>
        <v>Category sourcing</v>
      </c>
      <c r="R172" s="20" t="str">
        <f t="shared" si="14"/>
        <v>Medium</v>
      </c>
    </row>
    <row r="173" spans="1:18" ht="15">
      <c r="A173" s="41">
        <v>169</v>
      </c>
      <c r="B173" s="42">
        <v>45924</v>
      </c>
      <c r="C173" s="43" t="s">
        <v>100</v>
      </c>
      <c r="D173" s="43" t="s">
        <v>21</v>
      </c>
      <c r="E173" s="43" t="s">
        <v>67</v>
      </c>
      <c r="F173" s="43" t="s">
        <v>106</v>
      </c>
      <c r="G173" s="43" t="s">
        <v>120</v>
      </c>
      <c r="H173" s="44">
        <v>12230</v>
      </c>
      <c r="I173" s="43" t="s">
        <v>103</v>
      </c>
      <c r="J173" s="43" t="s">
        <v>103</v>
      </c>
      <c r="K173" s="43" t="s">
        <v>103</v>
      </c>
      <c r="L173" s="45">
        <v>0.06</v>
      </c>
      <c r="M173" s="43" t="s">
        <v>104</v>
      </c>
      <c r="N173" s="17" t="str">
        <f t="shared" si="10"/>
        <v>No</v>
      </c>
      <c r="O173" s="17" t="str">
        <f t="shared" si="11"/>
        <v>No</v>
      </c>
      <c r="P173" s="18">
        <f t="shared" si="12"/>
        <v>733.8</v>
      </c>
      <c r="Q173" s="17" t="str">
        <f t="shared" si="13"/>
        <v>Category sourcing</v>
      </c>
      <c r="R173" s="20" t="str">
        <f t="shared" si="14"/>
        <v>Low</v>
      </c>
    </row>
    <row r="174" spans="1:18" ht="15">
      <c r="A174" s="41">
        <v>170</v>
      </c>
      <c r="B174" s="42">
        <v>45669</v>
      </c>
      <c r="C174" s="43" t="s">
        <v>145</v>
      </c>
      <c r="D174" s="43" t="s">
        <v>25</v>
      </c>
      <c r="E174" s="43" t="s">
        <v>67</v>
      </c>
      <c r="F174" s="43" t="s">
        <v>127</v>
      </c>
      <c r="G174" s="43" t="s">
        <v>102</v>
      </c>
      <c r="H174" s="44">
        <v>14420</v>
      </c>
      <c r="I174" s="43" t="s">
        <v>103</v>
      </c>
      <c r="J174" s="43" t="s">
        <v>103</v>
      </c>
      <c r="K174" s="43" t="s">
        <v>108</v>
      </c>
      <c r="L174" s="45">
        <v>0.05</v>
      </c>
      <c r="M174" s="43" t="s">
        <v>104</v>
      </c>
      <c r="N174" s="17" t="str">
        <f t="shared" si="10"/>
        <v>No</v>
      </c>
      <c r="O174" s="17" t="str">
        <f t="shared" si="11"/>
        <v>No</v>
      </c>
      <c r="P174" s="18">
        <f t="shared" si="12"/>
        <v>0</v>
      </c>
      <c r="Q174" s="17" t="str">
        <f t="shared" si="13"/>
        <v>Non-addressable</v>
      </c>
      <c r="R174" s="20" t="str">
        <f t="shared" si="14"/>
        <v>Low</v>
      </c>
    </row>
    <row r="175" spans="1:18" ht="15">
      <c r="A175" s="41">
        <v>171</v>
      </c>
      <c r="B175" s="42">
        <v>45772</v>
      </c>
      <c r="C175" s="43" t="s">
        <v>135</v>
      </c>
      <c r="D175" s="43" t="s">
        <v>17</v>
      </c>
      <c r="E175" s="43" t="s">
        <v>67</v>
      </c>
      <c r="F175" s="43" t="s">
        <v>106</v>
      </c>
      <c r="G175" s="43" t="s">
        <v>107</v>
      </c>
      <c r="H175" s="44">
        <v>137550</v>
      </c>
      <c r="I175" s="43" t="s">
        <v>103</v>
      </c>
      <c r="J175" s="43" t="s">
        <v>108</v>
      </c>
      <c r="K175" s="43" t="s">
        <v>103</v>
      </c>
      <c r="L175" s="45">
        <v>0.08</v>
      </c>
      <c r="M175" s="43" t="s">
        <v>104</v>
      </c>
      <c r="N175" s="17" t="str">
        <f t="shared" si="10"/>
        <v>Yes</v>
      </c>
      <c r="O175" s="17" t="str">
        <f t="shared" si="11"/>
        <v>No</v>
      </c>
      <c r="P175" s="18">
        <f t="shared" si="12"/>
        <v>11004</v>
      </c>
      <c r="Q175" s="17" t="str">
        <f t="shared" si="13"/>
        <v>Maverick / non-preferred</v>
      </c>
      <c r="R175" s="20" t="str">
        <f t="shared" si="14"/>
        <v>High</v>
      </c>
    </row>
    <row r="176" spans="1:18" ht="15">
      <c r="A176" s="41">
        <v>172</v>
      </c>
      <c r="B176" s="42">
        <v>45753</v>
      </c>
      <c r="C176" s="43" t="s">
        <v>122</v>
      </c>
      <c r="D176" s="43" t="s">
        <v>83</v>
      </c>
      <c r="E176" s="43" t="s">
        <v>67</v>
      </c>
      <c r="F176" s="43" t="s">
        <v>101</v>
      </c>
      <c r="G176" s="43" t="s">
        <v>102</v>
      </c>
      <c r="H176" s="44">
        <v>2310</v>
      </c>
      <c r="I176" s="43" t="s">
        <v>108</v>
      </c>
      <c r="J176" s="43" t="s">
        <v>108</v>
      </c>
      <c r="K176" s="43" t="s">
        <v>108</v>
      </c>
      <c r="L176" s="45">
        <v>0.06</v>
      </c>
      <c r="M176" s="43" t="s">
        <v>104</v>
      </c>
      <c r="N176" s="17" t="str">
        <f t="shared" si="10"/>
        <v>Yes</v>
      </c>
      <c r="O176" s="17" t="str">
        <f t="shared" si="11"/>
        <v>No</v>
      </c>
      <c r="P176" s="18">
        <f t="shared" si="12"/>
        <v>0</v>
      </c>
      <c r="Q176" s="17" t="str">
        <f t="shared" si="13"/>
        <v>Maverick / non-preferred</v>
      </c>
      <c r="R176" s="20" t="str">
        <f t="shared" si="14"/>
        <v>Low</v>
      </c>
    </row>
    <row r="177" spans="1:18" ht="15">
      <c r="A177" s="41">
        <v>173</v>
      </c>
      <c r="B177" s="42">
        <v>45715</v>
      </c>
      <c r="C177" s="43" t="s">
        <v>111</v>
      </c>
      <c r="D177" s="43" t="s">
        <v>83</v>
      </c>
      <c r="E177" s="43" t="s">
        <v>67</v>
      </c>
      <c r="F177" s="43" t="s">
        <v>115</v>
      </c>
      <c r="G177" s="43" t="s">
        <v>110</v>
      </c>
      <c r="H177" s="44">
        <v>8520</v>
      </c>
      <c r="I177" s="43" t="s">
        <v>103</v>
      </c>
      <c r="J177" s="43" t="s">
        <v>103</v>
      </c>
      <c r="K177" s="43" t="s">
        <v>108</v>
      </c>
      <c r="L177" s="45">
        <v>0.06</v>
      </c>
      <c r="M177" s="43" t="s">
        <v>104</v>
      </c>
      <c r="N177" s="17" t="str">
        <f t="shared" si="10"/>
        <v>No</v>
      </c>
      <c r="O177" s="17" t="str">
        <f t="shared" si="11"/>
        <v>No</v>
      </c>
      <c r="P177" s="18">
        <f t="shared" si="12"/>
        <v>0</v>
      </c>
      <c r="Q177" s="17" t="str">
        <f t="shared" si="13"/>
        <v>Non-addressable</v>
      </c>
      <c r="R177" s="20" t="str">
        <f t="shared" si="14"/>
        <v>Low</v>
      </c>
    </row>
    <row r="178" spans="1:18" ht="15">
      <c r="A178" s="41">
        <v>174</v>
      </c>
      <c r="B178" s="42">
        <v>45976</v>
      </c>
      <c r="C178" s="43" t="s">
        <v>100</v>
      </c>
      <c r="D178" s="43" t="s">
        <v>21</v>
      </c>
      <c r="E178" s="43" t="s">
        <v>67</v>
      </c>
      <c r="F178" s="43" t="s">
        <v>113</v>
      </c>
      <c r="G178" s="43" t="s">
        <v>102</v>
      </c>
      <c r="H178" s="44">
        <v>22550</v>
      </c>
      <c r="I178" s="43" t="s">
        <v>103</v>
      </c>
      <c r="J178" s="43" t="s">
        <v>103</v>
      </c>
      <c r="K178" s="43" t="s">
        <v>103</v>
      </c>
      <c r="L178" s="45">
        <v>0.06</v>
      </c>
      <c r="M178" s="43" t="s">
        <v>104</v>
      </c>
      <c r="N178" s="17" t="str">
        <f t="shared" si="10"/>
        <v>No</v>
      </c>
      <c r="O178" s="17" t="str">
        <f t="shared" si="11"/>
        <v>No</v>
      </c>
      <c r="P178" s="18">
        <f t="shared" si="12"/>
        <v>1353</v>
      </c>
      <c r="Q178" s="17" t="str">
        <f t="shared" si="13"/>
        <v>Category sourcing</v>
      </c>
      <c r="R178" s="20" t="str">
        <f t="shared" si="14"/>
        <v>Low</v>
      </c>
    </row>
    <row r="179" spans="1:18" ht="15">
      <c r="A179" s="41">
        <v>175</v>
      </c>
      <c r="B179" s="42">
        <v>45727</v>
      </c>
      <c r="C179" s="43" t="s">
        <v>155</v>
      </c>
      <c r="D179" s="43" t="s">
        <v>19</v>
      </c>
      <c r="E179" s="43" t="s">
        <v>72</v>
      </c>
      <c r="F179" s="43" t="s">
        <v>106</v>
      </c>
      <c r="G179" s="43" t="s">
        <v>102</v>
      </c>
      <c r="H179" s="44">
        <v>26440</v>
      </c>
      <c r="I179" s="43" t="s">
        <v>108</v>
      </c>
      <c r="J179" s="43" t="s">
        <v>108</v>
      </c>
      <c r="K179" s="43" t="s">
        <v>103</v>
      </c>
      <c r="L179" s="45">
        <v>0.12</v>
      </c>
      <c r="M179" s="43" t="s">
        <v>114</v>
      </c>
      <c r="N179" s="17" t="str">
        <f t="shared" si="10"/>
        <v>Yes</v>
      </c>
      <c r="O179" s="17" t="str">
        <f t="shared" si="11"/>
        <v>No</v>
      </c>
      <c r="P179" s="18">
        <f t="shared" si="12"/>
        <v>3172.7999999999997</v>
      </c>
      <c r="Q179" s="17" t="str">
        <f t="shared" si="13"/>
        <v>Maverick / non-preferred</v>
      </c>
      <c r="R179" s="20" t="str">
        <f t="shared" si="14"/>
        <v>Medium</v>
      </c>
    </row>
    <row r="180" spans="1:18" ht="15">
      <c r="A180" s="41">
        <v>176</v>
      </c>
      <c r="B180" s="42">
        <v>45914</v>
      </c>
      <c r="C180" s="43" t="s">
        <v>148</v>
      </c>
      <c r="D180" s="43" t="s">
        <v>76</v>
      </c>
      <c r="E180" s="43" t="s">
        <v>72</v>
      </c>
      <c r="F180" s="43" t="s">
        <v>127</v>
      </c>
      <c r="G180" s="43" t="s">
        <v>107</v>
      </c>
      <c r="H180" s="44">
        <v>72790</v>
      </c>
      <c r="I180" s="43" t="s">
        <v>108</v>
      </c>
      <c r="J180" s="43" t="s">
        <v>108</v>
      </c>
      <c r="K180" s="43" t="s">
        <v>108</v>
      </c>
      <c r="L180" s="45">
        <v>0.09</v>
      </c>
      <c r="M180" s="43" t="s">
        <v>118</v>
      </c>
      <c r="N180" s="17" t="str">
        <f t="shared" si="10"/>
        <v>Yes</v>
      </c>
      <c r="O180" s="17" t="str">
        <f t="shared" si="11"/>
        <v>Yes</v>
      </c>
      <c r="P180" s="18">
        <f t="shared" si="12"/>
        <v>0</v>
      </c>
      <c r="Q180" s="17" t="str">
        <f t="shared" si="13"/>
        <v>Maverick / non-preferred</v>
      </c>
      <c r="R180" s="20" t="str">
        <f t="shared" si="14"/>
        <v>Low</v>
      </c>
    </row>
    <row r="181" spans="1:18" ht="15">
      <c r="A181" s="41">
        <v>177</v>
      </c>
      <c r="B181" s="42">
        <v>45739</v>
      </c>
      <c r="C181" s="43" t="s">
        <v>135</v>
      </c>
      <c r="D181" s="43" t="s">
        <v>17</v>
      </c>
      <c r="E181" s="43" t="s">
        <v>67</v>
      </c>
      <c r="F181" s="43" t="s">
        <v>115</v>
      </c>
      <c r="G181" s="43" t="s">
        <v>102</v>
      </c>
      <c r="H181" s="44">
        <v>28660</v>
      </c>
      <c r="I181" s="43" t="s">
        <v>108</v>
      </c>
      <c r="J181" s="43" t="s">
        <v>108</v>
      </c>
      <c r="K181" s="43" t="s">
        <v>103</v>
      </c>
      <c r="L181" s="45">
        <v>0.08</v>
      </c>
      <c r="M181" s="43" t="s">
        <v>104</v>
      </c>
      <c r="N181" s="17" t="str">
        <f t="shared" si="10"/>
        <v>Yes</v>
      </c>
      <c r="O181" s="17" t="str">
        <f t="shared" si="11"/>
        <v>No</v>
      </c>
      <c r="P181" s="18">
        <f t="shared" si="12"/>
        <v>2292.8000000000002</v>
      </c>
      <c r="Q181" s="17" t="str">
        <f t="shared" si="13"/>
        <v>Maverick / non-preferred</v>
      </c>
      <c r="R181" s="20" t="str">
        <f t="shared" si="14"/>
        <v>Low</v>
      </c>
    </row>
    <row r="182" spans="1:18" ht="15">
      <c r="A182" s="41">
        <v>178</v>
      </c>
      <c r="B182" s="42">
        <v>45794</v>
      </c>
      <c r="C182" s="43" t="s">
        <v>122</v>
      </c>
      <c r="D182" s="43" t="s">
        <v>83</v>
      </c>
      <c r="E182" s="43" t="s">
        <v>67</v>
      </c>
      <c r="F182" s="43" t="s">
        <v>115</v>
      </c>
      <c r="G182" s="43" t="s">
        <v>107</v>
      </c>
      <c r="H182" s="44">
        <v>6850</v>
      </c>
      <c r="I182" s="43" t="s">
        <v>103</v>
      </c>
      <c r="J182" s="43" t="s">
        <v>108</v>
      </c>
      <c r="K182" s="43" t="s">
        <v>108</v>
      </c>
      <c r="L182" s="45">
        <v>0.06</v>
      </c>
      <c r="M182" s="43" t="s">
        <v>104</v>
      </c>
      <c r="N182" s="17" t="str">
        <f t="shared" si="10"/>
        <v>Yes</v>
      </c>
      <c r="O182" s="17" t="str">
        <f t="shared" si="11"/>
        <v>No</v>
      </c>
      <c r="P182" s="18">
        <f t="shared" si="12"/>
        <v>0</v>
      </c>
      <c r="Q182" s="17" t="str">
        <f t="shared" si="13"/>
        <v>Maverick / non-preferred</v>
      </c>
      <c r="R182" s="20" t="str">
        <f t="shared" si="14"/>
        <v>Low</v>
      </c>
    </row>
    <row r="183" spans="1:18" ht="15">
      <c r="A183" s="41">
        <v>179</v>
      </c>
      <c r="B183" s="42">
        <v>45958</v>
      </c>
      <c r="C183" s="43" t="s">
        <v>100</v>
      </c>
      <c r="D183" s="43" t="s">
        <v>21</v>
      </c>
      <c r="E183" s="43" t="s">
        <v>67</v>
      </c>
      <c r="F183" s="43" t="s">
        <v>113</v>
      </c>
      <c r="G183" s="43" t="s">
        <v>120</v>
      </c>
      <c r="H183" s="44">
        <v>26220</v>
      </c>
      <c r="I183" s="43" t="s">
        <v>103</v>
      </c>
      <c r="J183" s="43" t="s">
        <v>103</v>
      </c>
      <c r="K183" s="43" t="s">
        <v>103</v>
      </c>
      <c r="L183" s="45">
        <v>0.06</v>
      </c>
      <c r="M183" s="43" t="s">
        <v>104</v>
      </c>
      <c r="N183" s="17" t="str">
        <f t="shared" si="10"/>
        <v>No</v>
      </c>
      <c r="O183" s="17" t="str">
        <f t="shared" si="11"/>
        <v>No</v>
      </c>
      <c r="P183" s="18">
        <f t="shared" si="12"/>
        <v>1573.2</v>
      </c>
      <c r="Q183" s="17" t="str">
        <f t="shared" si="13"/>
        <v>Category sourcing</v>
      </c>
      <c r="R183" s="20" t="str">
        <f t="shared" si="14"/>
        <v>Low</v>
      </c>
    </row>
    <row r="184" spans="1:18" ht="15">
      <c r="A184" s="41">
        <v>180</v>
      </c>
      <c r="B184" s="42">
        <v>45970</v>
      </c>
      <c r="C184" s="43" t="s">
        <v>147</v>
      </c>
      <c r="D184" s="43" t="s">
        <v>25</v>
      </c>
      <c r="E184" s="43" t="s">
        <v>67</v>
      </c>
      <c r="F184" s="43" t="s">
        <v>101</v>
      </c>
      <c r="G184" s="43" t="s">
        <v>120</v>
      </c>
      <c r="H184" s="44">
        <v>34250</v>
      </c>
      <c r="I184" s="43" t="s">
        <v>108</v>
      </c>
      <c r="J184" s="43" t="s">
        <v>108</v>
      </c>
      <c r="K184" s="43" t="s">
        <v>103</v>
      </c>
      <c r="L184" s="45">
        <v>0.05</v>
      </c>
      <c r="M184" s="43" t="s">
        <v>104</v>
      </c>
      <c r="N184" s="17" t="str">
        <f t="shared" si="10"/>
        <v>Yes</v>
      </c>
      <c r="O184" s="17" t="str">
        <f t="shared" si="11"/>
        <v>Yes</v>
      </c>
      <c r="P184" s="18">
        <f t="shared" si="12"/>
        <v>1712.5</v>
      </c>
      <c r="Q184" s="17" t="str">
        <f t="shared" si="13"/>
        <v>Maverick / non-preferred</v>
      </c>
      <c r="R184" s="20" t="str">
        <f t="shared" si="14"/>
        <v>Low</v>
      </c>
    </row>
    <row r="185" spans="1:18" ht="15">
      <c r="A185" s="41">
        <v>181</v>
      </c>
      <c r="B185" s="42">
        <v>45968</v>
      </c>
      <c r="C185" s="43" t="s">
        <v>144</v>
      </c>
      <c r="D185" s="43" t="s">
        <v>83</v>
      </c>
      <c r="E185" s="43" t="s">
        <v>67</v>
      </c>
      <c r="F185" s="43" t="s">
        <v>127</v>
      </c>
      <c r="G185" s="43" t="s">
        <v>120</v>
      </c>
      <c r="H185" s="44">
        <v>9520</v>
      </c>
      <c r="I185" s="43" t="s">
        <v>103</v>
      </c>
      <c r="J185" s="43" t="s">
        <v>103</v>
      </c>
      <c r="K185" s="43" t="s">
        <v>108</v>
      </c>
      <c r="L185" s="45">
        <v>0.06</v>
      </c>
      <c r="M185" s="43" t="s">
        <v>104</v>
      </c>
      <c r="N185" s="17" t="str">
        <f t="shared" si="10"/>
        <v>No</v>
      </c>
      <c r="O185" s="17" t="str">
        <f t="shared" si="11"/>
        <v>No</v>
      </c>
      <c r="P185" s="18">
        <f t="shared" si="12"/>
        <v>0</v>
      </c>
      <c r="Q185" s="17" t="str">
        <f t="shared" si="13"/>
        <v>Non-addressable</v>
      </c>
      <c r="R185" s="20" t="str">
        <f t="shared" si="14"/>
        <v>Low</v>
      </c>
    </row>
    <row r="186" spans="1:18" ht="15">
      <c r="A186" s="41">
        <v>182</v>
      </c>
      <c r="B186" s="42">
        <v>45842</v>
      </c>
      <c r="C186" s="43" t="s">
        <v>144</v>
      </c>
      <c r="D186" s="43" t="s">
        <v>83</v>
      </c>
      <c r="E186" s="43" t="s">
        <v>67</v>
      </c>
      <c r="F186" s="43" t="s">
        <v>101</v>
      </c>
      <c r="G186" s="43" t="s">
        <v>107</v>
      </c>
      <c r="H186" s="44">
        <v>12630</v>
      </c>
      <c r="I186" s="43" t="s">
        <v>103</v>
      </c>
      <c r="J186" s="43" t="s">
        <v>103</v>
      </c>
      <c r="K186" s="43" t="s">
        <v>108</v>
      </c>
      <c r="L186" s="45">
        <v>0.06</v>
      </c>
      <c r="M186" s="43" t="s">
        <v>104</v>
      </c>
      <c r="N186" s="17" t="str">
        <f t="shared" si="10"/>
        <v>No</v>
      </c>
      <c r="O186" s="17" t="str">
        <f t="shared" si="11"/>
        <v>No</v>
      </c>
      <c r="P186" s="18">
        <f t="shared" si="12"/>
        <v>0</v>
      </c>
      <c r="Q186" s="17" t="str">
        <f t="shared" si="13"/>
        <v>Non-addressable</v>
      </c>
      <c r="R186" s="20" t="str">
        <f t="shared" si="14"/>
        <v>Low</v>
      </c>
    </row>
    <row r="187" spans="1:18" ht="15">
      <c r="A187" s="41">
        <v>183</v>
      </c>
      <c r="B187" s="42">
        <v>45946</v>
      </c>
      <c r="C187" s="43" t="s">
        <v>116</v>
      </c>
      <c r="D187" s="43" t="s">
        <v>26</v>
      </c>
      <c r="E187" s="43" t="s">
        <v>72</v>
      </c>
      <c r="F187" s="43" t="s">
        <v>101</v>
      </c>
      <c r="G187" s="43" t="s">
        <v>107</v>
      </c>
      <c r="H187" s="44">
        <v>12240</v>
      </c>
      <c r="I187" s="43" t="s">
        <v>103</v>
      </c>
      <c r="J187" s="43" t="s">
        <v>103</v>
      </c>
      <c r="K187" s="43" t="s">
        <v>103</v>
      </c>
      <c r="L187" s="45">
        <v>0.1</v>
      </c>
      <c r="M187" s="43" t="s">
        <v>104</v>
      </c>
      <c r="N187" s="17" t="str">
        <f t="shared" si="10"/>
        <v>No</v>
      </c>
      <c r="O187" s="17" t="str">
        <f t="shared" si="11"/>
        <v>No</v>
      </c>
      <c r="P187" s="18">
        <f t="shared" si="12"/>
        <v>1224</v>
      </c>
      <c r="Q187" s="17" t="str">
        <f t="shared" si="13"/>
        <v>Category sourcing</v>
      </c>
      <c r="R187" s="20" t="str">
        <f t="shared" si="14"/>
        <v>Low</v>
      </c>
    </row>
    <row r="188" spans="1:18" ht="15">
      <c r="A188" s="41">
        <v>184</v>
      </c>
      <c r="B188" s="42">
        <v>45974</v>
      </c>
      <c r="C188" s="43" t="s">
        <v>157</v>
      </c>
      <c r="D188" s="43" t="s">
        <v>21</v>
      </c>
      <c r="E188" s="43" t="s">
        <v>67</v>
      </c>
      <c r="F188" s="43" t="s">
        <v>115</v>
      </c>
      <c r="G188" s="43" t="s">
        <v>107</v>
      </c>
      <c r="H188" s="44">
        <v>20910</v>
      </c>
      <c r="I188" s="43" t="s">
        <v>108</v>
      </c>
      <c r="J188" s="43" t="s">
        <v>108</v>
      </c>
      <c r="K188" s="43" t="s">
        <v>103</v>
      </c>
      <c r="L188" s="45">
        <v>0.06</v>
      </c>
      <c r="M188" s="43" t="s">
        <v>104</v>
      </c>
      <c r="N188" s="17" t="str">
        <f t="shared" si="10"/>
        <v>Yes</v>
      </c>
      <c r="O188" s="17" t="str">
        <f t="shared" si="11"/>
        <v>Yes</v>
      </c>
      <c r="P188" s="18">
        <f t="shared" si="12"/>
        <v>1254.5999999999999</v>
      </c>
      <c r="Q188" s="17" t="str">
        <f t="shared" si="13"/>
        <v>Maverick / non-preferred</v>
      </c>
      <c r="R188" s="20" t="str">
        <f t="shared" si="14"/>
        <v>Low</v>
      </c>
    </row>
    <row r="189" spans="1:18" ht="15">
      <c r="A189" s="41">
        <v>185</v>
      </c>
      <c r="B189" s="42">
        <v>45748</v>
      </c>
      <c r="C189" s="43" t="s">
        <v>119</v>
      </c>
      <c r="D189" s="43" t="s">
        <v>17</v>
      </c>
      <c r="E189" s="43" t="s">
        <v>67</v>
      </c>
      <c r="F189" s="43" t="s">
        <v>113</v>
      </c>
      <c r="G189" s="43" t="s">
        <v>107</v>
      </c>
      <c r="H189" s="44">
        <v>26910</v>
      </c>
      <c r="I189" s="43" t="s">
        <v>103</v>
      </c>
      <c r="J189" s="43" t="s">
        <v>103</v>
      </c>
      <c r="K189" s="43" t="s">
        <v>103</v>
      </c>
      <c r="L189" s="45">
        <v>0.08</v>
      </c>
      <c r="M189" s="43" t="s">
        <v>104</v>
      </c>
      <c r="N189" s="17" t="str">
        <f t="shared" si="10"/>
        <v>No</v>
      </c>
      <c r="O189" s="17" t="str">
        <f t="shared" si="11"/>
        <v>No</v>
      </c>
      <c r="P189" s="18">
        <f t="shared" si="12"/>
        <v>2152.8000000000002</v>
      </c>
      <c r="Q189" s="17" t="str">
        <f t="shared" si="13"/>
        <v>Category sourcing</v>
      </c>
      <c r="R189" s="20" t="str">
        <f t="shared" si="14"/>
        <v>Low</v>
      </c>
    </row>
    <row r="190" spans="1:18" ht="15">
      <c r="A190" s="41">
        <v>186</v>
      </c>
      <c r="B190" s="42">
        <v>45687</v>
      </c>
      <c r="C190" s="43" t="s">
        <v>105</v>
      </c>
      <c r="D190" s="43" t="s">
        <v>25</v>
      </c>
      <c r="E190" s="43" t="s">
        <v>67</v>
      </c>
      <c r="F190" s="43" t="s">
        <v>115</v>
      </c>
      <c r="G190" s="43" t="s">
        <v>120</v>
      </c>
      <c r="H190" s="44">
        <v>92040</v>
      </c>
      <c r="I190" s="43" t="s">
        <v>103</v>
      </c>
      <c r="J190" s="43" t="s">
        <v>103</v>
      </c>
      <c r="K190" s="43" t="s">
        <v>108</v>
      </c>
      <c r="L190" s="45">
        <v>0.05</v>
      </c>
      <c r="M190" s="43" t="s">
        <v>104</v>
      </c>
      <c r="N190" s="17" t="str">
        <f t="shared" si="10"/>
        <v>No</v>
      </c>
      <c r="O190" s="17" t="str">
        <f t="shared" si="11"/>
        <v>No</v>
      </c>
      <c r="P190" s="18">
        <f t="shared" si="12"/>
        <v>0</v>
      </c>
      <c r="Q190" s="17" t="str">
        <f t="shared" si="13"/>
        <v>Non-addressable</v>
      </c>
      <c r="R190" s="20" t="str">
        <f t="shared" si="14"/>
        <v>Low</v>
      </c>
    </row>
    <row r="191" spans="1:18" ht="15">
      <c r="A191" s="41">
        <v>187</v>
      </c>
      <c r="B191" s="42">
        <v>45922</v>
      </c>
      <c r="C191" s="43" t="s">
        <v>145</v>
      </c>
      <c r="D191" s="43" t="s">
        <v>25</v>
      </c>
      <c r="E191" s="43" t="s">
        <v>67</v>
      </c>
      <c r="F191" s="43" t="s">
        <v>101</v>
      </c>
      <c r="G191" s="43" t="s">
        <v>110</v>
      </c>
      <c r="H191" s="44">
        <v>230870</v>
      </c>
      <c r="I191" s="43" t="s">
        <v>103</v>
      </c>
      <c r="J191" s="43" t="s">
        <v>103</v>
      </c>
      <c r="K191" s="43" t="s">
        <v>108</v>
      </c>
      <c r="L191" s="45">
        <v>0.05</v>
      </c>
      <c r="M191" s="43" t="s">
        <v>104</v>
      </c>
      <c r="N191" s="17" t="str">
        <f t="shared" si="10"/>
        <v>No</v>
      </c>
      <c r="O191" s="17" t="str">
        <f t="shared" si="11"/>
        <v>No</v>
      </c>
      <c r="P191" s="18">
        <f t="shared" si="12"/>
        <v>0</v>
      </c>
      <c r="Q191" s="17" t="str">
        <f t="shared" si="13"/>
        <v>Non-addressable</v>
      </c>
      <c r="R191" s="20" t="str">
        <f t="shared" si="14"/>
        <v>Low</v>
      </c>
    </row>
    <row r="192" spans="1:18" ht="15">
      <c r="A192" s="41">
        <v>188</v>
      </c>
      <c r="B192" s="42">
        <v>45700</v>
      </c>
      <c r="C192" s="43" t="s">
        <v>105</v>
      </c>
      <c r="D192" s="43" t="s">
        <v>25</v>
      </c>
      <c r="E192" s="43" t="s">
        <v>67</v>
      </c>
      <c r="F192" s="43" t="s">
        <v>127</v>
      </c>
      <c r="G192" s="43" t="s">
        <v>107</v>
      </c>
      <c r="H192" s="44">
        <v>58480</v>
      </c>
      <c r="I192" s="43" t="s">
        <v>103</v>
      </c>
      <c r="J192" s="43" t="s">
        <v>103</v>
      </c>
      <c r="K192" s="43" t="s">
        <v>108</v>
      </c>
      <c r="L192" s="45">
        <v>0.05</v>
      </c>
      <c r="M192" s="43" t="s">
        <v>104</v>
      </c>
      <c r="N192" s="17" t="str">
        <f t="shared" si="10"/>
        <v>No</v>
      </c>
      <c r="O192" s="17" t="str">
        <f t="shared" si="11"/>
        <v>No</v>
      </c>
      <c r="P192" s="18">
        <f t="shared" si="12"/>
        <v>0</v>
      </c>
      <c r="Q192" s="17" t="str">
        <f t="shared" si="13"/>
        <v>Non-addressable</v>
      </c>
      <c r="R192" s="20" t="str">
        <f t="shared" si="14"/>
        <v>Low</v>
      </c>
    </row>
    <row r="193" spans="1:18" ht="15">
      <c r="A193" s="41">
        <v>189</v>
      </c>
      <c r="B193" s="42">
        <v>45960</v>
      </c>
      <c r="C193" s="43" t="s">
        <v>132</v>
      </c>
      <c r="D193" s="43" t="s">
        <v>81</v>
      </c>
      <c r="E193" s="43" t="s">
        <v>72</v>
      </c>
      <c r="F193" s="43" t="s">
        <v>127</v>
      </c>
      <c r="G193" s="43" t="s">
        <v>102</v>
      </c>
      <c r="H193" s="44">
        <v>2870</v>
      </c>
      <c r="I193" s="43" t="s">
        <v>103</v>
      </c>
      <c r="J193" s="43" t="s">
        <v>108</v>
      </c>
      <c r="K193" s="43" t="s">
        <v>103</v>
      </c>
      <c r="L193" s="45">
        <v>0.18</v>
      </c>
      <c r="M193" s="43" t="s">
        <v>118</v>
      </c>
      <c r="N193" s="17" t="str">
        <f t="shared" si="10"/>
        <v>Yes</v>
      </c>
      <c r="O193" s="17" t="str">
        <f t="shared" si="11"/>
        <v>Yes</v>
      </c>
      <c r="P193" s="18">
        <f t="shared" si="12"/>
        <v>516.6</v>
      </c>
      <c r="Q193" s="17" t="str">
        <f t="shared" si="13"/>
        <v>Maverick / non-preferred</v>
      </c>
      <c r="R193" s="20" t="str">
        <f t="shared" si="14"/>
        <v>Low</v>
      </c>
    </row>
    <row r="194" spans="1:18" ht="15">
      <c r="A194" s="41">
        <v>190</v>
      </c>
      <c r="B194" s="42">
        <v>45708</v>
      </c>
      <c r="C194" s="43" t="s">
        <v>117</v>
      </c>
      <c r="D194" s="43" t="s">
        <v>81</v>
      </c>
      <c r="E194" s="43" t="s">
        <v>72</v>
      </c>
      <c r="F194" s="43" t="s">
        <v>101</v>
      </c>
      <c r="G194" s="43" t="s">
        <v>102</v>
      </c>
      <c r="H194" s="44">
        <v>4270</v>
      </c>
      <c r="I194" s="43" t="s">
        <v>108</v>
      </c>
      <c r="J194" s="43" t="s">
        <v>108</v>
      </c>
      <c r="K194" s="43" t="s">
        <v>103</v>
      </c>
      <c r="L194" s="45">
        <v>0.18</v>
      </c>
      <c r="M194" s="43" t="s">
        <v>118</v>
      </c>
      <c r="N194" s="17" t="str">
        <f t="shared" si="10"/>
        <v>Yes</v>
      </c>
      <c r="O194" s="17" t="str">
        <f t="shared" si="11"/>
        <v>No</v>
      </c>
      <c r="P194" s="18">
        <f t="shared" si="12"/>
        <v>768.6</v>
      </c>
      <c r="Q194" s="17" t="str">
        <f t="shared" si="13"/>
        <v>Maverick / non-preferred</v>
      </c>
      <c r="R194" s="20" t="str">
        <f t="shared" si="14"/>
        <v>Low</v>
      </c>
    </row>
    <row r="195" spans="1:18" ht="15">
      <c r="A195" s="41">
        <v>191</v>
      </c>
      <c r="B195" s="42">
        <v>45922</v>
      </c>
      <c r="C195" s="43" t="s">
        <v>105</v>
      </c>
      <c r="D195" s="43" t="s">
        <v>25</v>
      </c>
      <c r="E195" s="43" t="s">
        <v>67</v>
      </c>
      <c r="F195" s="43" t="s">
        <v>127</v>
      </c>
      <c r="G195" s="43" t="s">
        <v>107</v>
      </c>
      <c r="H195" s="44">
        <v>93340</v>
      </c>
      <c r="I195" s="43" t="s">
        <v>103</v>
      </c>
      <c r="J195" s="43" t="s">
        <v>103</v>
      </c>
      <c r="K195" s="43" t="s">
        <v>108</v>
      </c>
      <c r="L195" s="45">
        <v>0.05</v>
      </c>
      <c r="M195" s="43" t="s">
        <v>104</v>
      </c>
      <c r="N195" s="17" t="str">
        <f t="shared" si="10"/>
        <v>No</v>
      </c>
      <c r="O195" s="17" t="str">
        <f t="shared" si="11"/>
        <v>No</v>
      </c>
      <c r="P195" s="18">
        <f t="shared" si="12"/>
        <v>0</v>
      </c>
      <c r="Q195" s="17" t="str">
        <f t="shared" si="13"/>
        <v>Non-addressable</v>
      </c>
      <c r="R195" s="20" t="str">
        <f t="shared" si="14"/>
        <v>Low</v>
      </c>
    </row>
    <row r="196" spans="1:18" ht="15">
      <c r="A196" s="41">
        <v>192</v>
      </c>
      <c r="B196" s="42">
        <v>45762</v>
      </c>
      <c r="C196" s="43" t="s">
        <v>131</v>
      </c>
      <c r="D196" s="43" t="s">
        <v>79</v>
      </c>
      <c r="E196" s="43" t="s">
        <v>72</v>
      </c>
      <c r="F196" s="43" t="s">
        <v>113</v>
      </c>
      <c r="G196" s="43" t="s">
        <v>110</v>
      </c>
      <c r="H196" s="44">
        <v>16220</v>
      </c>
      <c r="I196" s="43" t="s">
        <v>108</v>
      </c>
      <c r="J196" s="43" t="s">
        <v>108</v>
      </c>
      <c r="K196" s="43" t="s">
        <v>108</v>
      </c>
      <c r="L196" s="45">
        <v>7.0000000000000007E-2</v>
      </c>
      <c r="M196" s="43" t="s">
        <v>124</v>
      </c>
      <c r="N196" s="17" t="str">
        <f t="shared" si="10"/>
        <v>Yes</v>
      </c>
      <c r="O196" s="17" t="str">
        <f t="shared" si="11"/>
        <v>No</v>
      </c>
      <c r="P196" s="18">
        <f t="shared" si="12"/>
        <v>0</v>
      </c>
      <c r="Q196" s="17" t="str">
        <f t="shared" si="13"/>
        <v>Maverick / non-preferred</v>
      </c>
      <c r="R196" s="20" t="str">
        <f t="shared" si="14"/>
        <v>Low</v>
      </c>
    </row>
    <row r="197" spans="1:18" ht="15">
      <c r="A197" s="41">
        <v>193</v>
      </c>
      <c r="B197" s="42">
        <v>45723</v>
      </c>
      <c r="C197" s="43" t="s">
        <v>142</v>
      </c>
      <c r="D197" s="43" t="s">
        <v>23</v>
      </c>
      <c r="E197" s="43" t="s">
        <v>72</v>
      </c>
      <c r="F197" s="43" t="s">
        <v>115</v>
      </c>
      <c r="G197" s="43" t="s">
        <v>120</v>
      </c>
      <c r="H197" s="44">
        <v>1300</v>
      </c>
      <c r="I197" s="43" t="s">
        <v>103</v>
      </c>
      <c r="J197" s="43" t="s">
        <v>103</v>
      </c>
      <c r="K197" s="43" t="s">
        <v>103</v>
      </c>
      <c r="L197" s="45">
        <v>0.15</v>
      </c>
      <c r="M197" s="43" t="s">
        <v>114</v>
      </c>
      <c r="N197" s="17" t="str">
        <f t="shared" ref="N197:N260" si="15">IF(OR(I197="No",J197="No"),"Yes","No")</f>
        <v>No</v>
      </c>
      <c r="O197" s="17" t="str">
        <f t="shared" ref="O197:O260" si="16">IF(COUNTIFS($C:$C,C197)&lt;5,"Yes","No")</f>
        <v>No</v>
      </c>
      <c r="P197" s="18">
        <f t="shared" ref="P197:P260" si="17">IF(K197="Yes",H197*L197,0)</f>
        <v>195</v>
      </c>
      <c r="Q197" s="17" t="str">
        <f t="shared" ref="Q197:Q260" si="18">IF(N197="Yes","Maverick / non-preferred",IF(O197="Yes","Tail consolidation",IF(K197="Yes","Category sourcing","Non-addressable")))</f>
        <v>Category sourcing</v>
      </c>
      <c r="R197" s="20" t="str">
        <f t="shared" ref="R197:R260" si="19">IF(P197&gt;=10000,"High",IF(P197&gt;=3000,"Medium","Low"))</f>
        <v>Low</v>
      </c>
    </row>
    <row r="198" spans="1:18" ht="15">
      <c r="A198" s="41">
        <v>194</v>
      </c>
      <c r="B198" s="42">
        <v>45834</v>
      </c>
      <c r="C198" s="43" t="s">
        <v>144</v>
      </c>
      <c r="D198" s="43" t="s">
        <v>83</v>
      </c>
      <c r="E198" s="43" t="s">
        <v>67</v>
      </c>
      <c r="F198" s="43" t="s">
        <v>113</v>
      </c>
      <c r="G198" s="43" t="s">
        <v>102</v>
      </c>
      <c r="H198" s="44">
        <v>21520</v>
      </c>
      <c r="I198" s="43" t="s">
        <v>103</v>
      </c>
      <c r="J198" s="43" t="s">
        <v>103</v>
      </c>
      <c r="K198" s="43" t="s">
        <v>108</v>
      </c>
      <c r="L198" s="45">
        <v>0.06</v>
      </c>
      <c r="M198" s="43" t="s">
        <v>104</v>
      </c>
      <c r="N198" s="17" t="str">
        <f t="shared" si="15"/>
        <v>No</v>
      </c>
      <c r="O198" s="17" t="str">
        <f t="shared" si="16"/>
        <v>No</v>
      </c>
      <c r="P198" s="18">
        <f t="shared" si="17"/>
        <v>0</v>
      </c>
      <c r="Q198" s="17" t="str">
        <f t="shared" si="18"/>
        <v>Non-addressable</v>
      </c>
      <c r="R198" s="20" t="str">
        <f t="shared" si="19"/>
        <v>Low</v>
      </c>
    </row>
    <row r="199" spans="1:18" ht="15">
      <c r="A199" s="41">
        <v>195</v>
      </c>
      <c r="B199" s="42">
        <v>45995</v>
      </c>
      <c r="C199" s="43" t="s">
        <v>158</v>
      </c>
      <c r="D199" s="43" t="s">
        <v>26</v>
      </c>
      <c r="E199" s="43" t="s">
        <v>72</v>
      </c>
      <c r="F199" s="43" t="s">
        <v>127</v>
      </c>
      <c r="G199" s="43" t="s">
        <v>110</v>
      </c>
      <c r="H199" s="44">
        <v>26910</v>
      </c>
      <c r="I199" s="43" t="s">
        <v>103</v>
      </c>
      <c r="J199" s="43" t="s">
        <v>103</v>
      </c>
      <c r="K199" s="43" t="s">
        <v>103</v>
      </c>
      <c r="L199" s="45">
        <v>0.1</v>
      </c>
      <c r="M199" s="43" t="s">
        <v>104</v>
      </c>
      <c r="N199" s="17" t="str">
        <f t="shared" si="15"/>
        <v>No</v>
      </c>
      <c r="O199" s="17" t="str">
        <f t="shared" si="16"/>
        <v>Yes</v>
      </c>
      <c r="P199" s="18">
        <f t="shared" si="17"/>
        <v>2691</v>
      </c>
      <c r="Q199" s="17" t="str">
        <f t="shared" si="18"/>
        <v>Tail consolidation</v>
      </c>
      <c r="R199" s="20" t="str">
        <f t="shared" si="19"/>
        <v>Low</v>
      </c>
    </row>
    <row r="200" spans="1:18" ht="15">
      <c r="A200" s="41">
        <v>196</v>
      </c>
      <c r="B200" s="42">
        <v>45897</v>
      </c>
      <c r="C200" s="43" t="s">
        <v>160</v>
      </c>
      <c r="D200" s="43" t="s">
        <v>76</v>
      </c>
      <c r="E200" s="43" t="s">
        <v>72</v>
      </c>
      <c r="F200" s="43" t="s">
        <v>106</v>
      </c>
      <c r="G200" s="43" t="s">
        <v>107</v>
      </c>
      <c r="H200" s="44">
        <v>63700</v>
      </c>
      <c r="I200" s="43" t="s">
        <v>108</v>
      </c>
      <c r="J200" s="43" t="s">
        <v>108</v>
      </c>
      <c r="K200" s="43" t="s">
        <v>108</v>
      </c>
      <c r="L200" s="45">
        <v>0.09</v>
      </c>
      <c r="M200" s="43" t="s">
        <v>118</v>
      </c>
      <c r="N200" s="17" t="str">
        <f t="shared" si="15"/>
        <v>Yes</v>
      </c>
      <c r="O200" s="17" t="str">
        <f t="shared" si="16"/>
        <v>No</v>
      </c>
      <c r="P200" s="18">
        <f t="shared" si="17"/>
        <v>0</v>
      </c>
      <c r="Q200" s="17" t="str">
        <f t="shared" si="18"/>
        <v>Maverick / non-preferred</v>
      </c>
      <c r="R200" s="20" t="str">
        <f t="shared" si="19"/>
        <v>Low</v>
      </c>
    </row>
    <row r="201" spans="1:18" ht="15">
      <c r="A201" s="41">
        <v>197</v>
      </c>
      <c r="B201" s="42">
        <v>45804</v>
      </c>
      <c r="C201" s="43" t="s">
        <v>126</v>
      </c>
      <c r="D201" s="43" t="s">
        <v>23</v>
      </c>
      <c r="E201" s="43" t="s">
        <v>72</v>
      </c>
      <c r="F201" s="43" t="s">
        <v>101</v>
      </c>
      <c r="G201" s="43" t="s">
        <v>107</v>
      </c>
      <c r="H201" s="44">
        <v>5060</v>
      </c>
      <c r="I201" s="43" t="s">
        <v>108</v>
      </c>
      <c r="J201" s="43" t="s">
        <v>108</v>
      </c>
      <c r="K201" s="43" t="s">
        <v>103</v>
      </c>
      <c r="L201" s="45">
        <v>0.15</v>
      </c>
      <c r="M201" s="43" t="s">
        <v>114</v>
      </c>
      <c r="N201" s="17" t="str">
        <f t="shared" si="15"/>
        <v>Yes</v>
      </c>
      <c r="O201" s="17" t="str">
        <f t="shared" si="16"/>
        <v>No</v>
      </c>
      <c r="P201" s="18">
        <f t="shared" si="17"/>
        <v>759</v>
      </c>
      <c r="Q201" s="17" t="str">
        <f t="shared" si="18"/>
        <v>Maverick / non-preferred</v>
      </c>
      <c r="R201" s="20" t="str">
        <f t="shared" si="19"/>
        <v>Low</v>
      </c>
    </row>
    <row r="202" spans="1:18" ht="15">
      <c r="A202" s="41">
        <v>198</v>
      </c>
      <c r="B202" s="42">
        <v>45844</v>
      </c>
      <c r="C202" s="43" t="s">
        <v>105</v>
      </c>
      <c r="D202" s="43" t="s">
        <v>25</v>
      </c>
      <c r="E202" s="43" t="s">
        <v>67</v>
      </c>
      <c r="F202" s="43" t="s">
        <v>115</v>
      </c>
      <c r="G202" s="43" t="s">
        <v>107</v>
      </c>
      <c r="H202" s="44">
        <v>6500</v>
      </c>
      <c r="I202" s="43" t="s">
        <v>103</v>
      </c>
      <c r="J202" s="43" t="s">
        <v>103</v>
      </c>
      <c r="K202" s="43" t="s">
        <v>108</v>
      </c>
      <c r="L202" s="45">
        <v>0.05</v>
      </c>
      <c r="M202" s="43" t="s">
        <v>104</v>
      </c>
      <c r="N202" s="17" t="str">
        <f t="shared" si="15"/>
        <v>No</v>
      </c>
      <c r="O202" s="17" t="str">
        <f t="shared" si="16"/>
        <v>No</v>
      </c>
      <c r="P202" s="18">
        <f t="shared" si="17"/>
        <v>0</v>
      </c>
      <c r="Q202" s="17" t="str">
        <f t="shared" si="18"/>
        <v>Non-addressable</v>
      </c>
      <c r="R202" s="20" t="str">
        <f t="shared" si="19"/>
        <v>Low</v>
      </c>
    </row>
    <row r="203" spans="1:18" ht="15">
      <c r="A203" s="41">
        <v>199</v>
      </c>
      <c r="B203" s="42">
        <v>45868</v>
      </c>
      <c r="C203" s="43" t="s">
        <v>137</v>
      </c>
      <c r="D203" s="43" t="s">
        <v>19</v>
      </c>
      <c r="E203" s="43" t="s">
        <v>72</v>
      </c>
      <c r="F203" s="43" t="s">
        <v>113</v>
      </c>
      <c r="G203" s="43" t="s">
        <v>107</v>
      </c>
      <c r="H203" s="44">
        <v>13760</v>
      </c>
      <c r="I203" s="43" t="s">
        <v>103</v>
      </c>
      <c r="J203" s="43" t="s">
        <v>108</v>
      </c>
      <c r="K203" s="43" t="s">
        <v>103</v>
      </c>
      <c r="L203" s="45">
        <v>0.12</v>
      </c>
      <c r="M203" s="43" t="s">
        <v>114</v>
      </c>
      <c r="N203" s="17" t="str">
        <f t="shared" si="15"/>
        <v>Yes</v>
      </c>
      <c r="O203" s="17" t="str">
        <f t="shared" si="16"/>
        <v>No</v>
      </c>
      <c r="P203" s="18">
        <f t="shared" si="17"/>
        <v>1651.2</v>
      </c>
      <c r="Q203" s="17" t="str">
        <f t="shared" si="18"/>
        <v>Maverick / non-preferred</v>
      </c>
      <c r="R203" s="20" t="str">
        <f t="shared" si="19"/>
        <v>Low</v>
      </c>
    </row>
    <row r="204" spans="1:18" ht="15">
      <c r="A204" s="41">
        <v>200</v>
      </c>
      <c r="B204" s="42">
        <v>45754</v>
      </c>
      <c r="C204" s="43" t="s">
        <v>149</v>
      </c>
      <c r="D204" s="43" t="s">
        <v>79</v>
      </c>
      <c r="E204" s="43" t="s">
        <v>72</v>
      </c>
      <c r="F204" s="43" t="s">
        <v>106</v>
      </c>
      <c r="G204" s="43" t="s">
        <v>120</v>
      </c>
      <c r="H204" s="44">
        <v>5820</v>
      </c>
      <c r="I204" s="43" t="s">
        <v>103</v>
      </c>
      <c r="J204" s="43" t="s">
        <v>103</v>
      </c>
      <c r="K204" s="43" t="s">
        <v>108</v>
      </c>
      <c r="L204" s="45">
        <v>7.0000000000000007E-2</v>
      </c>
      <c r="M204" s="43" t="s">
        <v>124</v>
      </c>
      <c r="N204" s="17" t="str">
        <f t="shared" si="15"/>
        <v>No</v>
      </c>
      <c r="O204" s="17" t="str">
        <f t="shared" si="16"/>
        <v>No</v>
      </c>
      <c r="P204" s="18">
        <f t="shared" si="17"/>
        <v>0</v>
      </c>
      <c r="Q204" s="17" t="str">
        <f t="shared" si="18"/>
        <v>Non-addressable</v>
      </c>
      <c r="R204" s="20" t="str">
        <f t="shared" si="19"/>
        <v>Low</v>
      </c>
    </row>
    <row r="205" spans="1:18" ht="15">
      <c r="A205" s="41">
        <v>201</v>
      </c>
      <c r="B205" s="42">
        <v>46013</v>
      </c>
      <c r="C205" s="43" t="s">
        <v>160</v>
      </c>
      <c r="D205" s="43" t="s">
        <v>76</v>
      </c>
      <c r="E205" s="43" t="s">
        <v>72</v>
      </c>
      <c r="F205" s="43" t="s">
        <v>113</v>
      </c>
      <c r="G205" s="43" t="s">
        <v>110</v>
      </c>
      <c r="H205" s="44">
        <v>19190</v>
      </c>
      <c r="I205" s="43" t="s">
        <v>108</v>
      </c>
      <c r="J205" s="43" t="s">
        <v>108</v>
      </c>
      <c r="K205" s="43" t="s">
        <v>108</v>
      </c>
      <c r="L205" s="45">
        <v>0.09</v>
      </c>
      <c r="M205" s="43" t="s">
        <v>118</v>
      </c>
      <c r="N205" s="17" t="str">
        <f t="shared" si="15"/>
        <v>Yes</v>
      </c>
      <c r="O205" s="17" t="str">
        <f t="shared" si="16"/>
        <v>No</v>
      </c>
      <c r="P205" s="18">
        <f t="shared" si="17"/>
        <v>0</v>
      </c>
      <c r="Q205" s="17" t="str">
        <f t="shared" si="18"/>
        <v>Maverick / non-preferred</v>
      </c>
      <c r="R205" s="20" t="str">
        <f t="shared" si="19"/>
        <v>Low</v>
      </c>
    </row>
    <row r="206" spans="1:18" ht="15">
      <c r="A206" s="41">
        <v>202</v>
      </c>
      <c r="B206" s="42">
        <v>45735</v>
      </c>
      <c r="C206" s="43" t="s">
        <v>140</v>
      </c>
      <c r="D206" s="43" t="s">
        <v>21</v>
      </c>
      <c r="E206" s="43" t="s">
        <v>67</v>
      </c>
      <c r="F206" s="43" t="s">
        <v>101</v>
      </c>
      <c r="G206" s="43" t="s">
        <v>107</v>
      </c>
      <c r="H206" s="44">
        <v>18300</v>
      </c>
      <c r="I206" s="43" t="s">
        <v>103</v>
      </c>
      <c r="J206" s="43" t="s">
        <v>103</v>
      </c>
      <c r="K206" s="43" t="s">
        <v>103</v>
      </c>
      <c r="L206" s="45">
        <v>0.06</v>
      </c>
      <c r="M206" s="43" t="s">
        <v>104</v>
      </c>
      <c r="N206" s="17" t="str">
        <f t="shared" si="15"/>
        <v>No</v>
      </c>
      <c r="O206" s="17" t="str">
        <f t="shared" si="16"/>
        <v>Yes</v>
      </c>
      <c r="P206" s="18">
        <f t="shared" si="17"/>
        <v>1098</v>
      </c>
      <c r="Q206" s="17" t="str">
        <f t="shared" si="18"/>
        <v>Tail consolidation</v>
      </c>
      <c r="R206" s="20" t="str">
        <f t="shared" si="19"/>
        <v>Low</v>
      </c>
    </row>
    <row r="207" spans="1:18" ht="15">
      <c r="A207" s="41">
        <v>203</v>
      </c>
      <c r="B207" s="42">
        <v>45883</v>
      </c>
      <c r="C207" s="43" t="s">
        <v>145</v>
      </c>
      <c r="D207" s="43" t="s">
        <v>25</v>
      </c>
      <c r="E207" s="43" t="s">
        <v>67</v>
      </c>
      <c r="F207" s="43" t="s">
        <v>127</v>
      </c>
      <c r="G207" s="43" t="s">
        <v>110</v>
      </c>
      <c r="H207" s="44">
        <v>40670</v>
      </c>
      <c r="I207" s="43" t="s">
        <v>103</v>
      </c>
      <c r="J207" s="43" t="s">
        <v>103</v>
      </c>
      <c r="K207" s="43" t="s">
        <v>108</v>
      </c>
      <c r="L207" s="45">
        <v>0.05</v>
      </c>
      <c r="M207" s="43" t="s">
        <v>104</v>
      </c>
      <c r="N207" s="17" t="str">
        <f t="shared" si="15"/>
        <v>No</v>
      </c>
      <c r="O207" s="17" t="str">
        <f t="shared" si="16"/>
        <v>No</v>
      </c>
      <c r="P207" s="18">
        <f t="shared" si="17"/>
        <v>0</v>
      </c>
      <c r="Q207" s="17" t="str">
        <f t="shared" si="18"/>
        <v>Non-addressable</v>
      </c>
      <c r="R207" s="20" t="str">
        <f t="shared" si="19"/>
        <v>Low</v>
      </c>
    </row>
    <row r="208" spans="1:18" ht="15">
      <c r="A208" s="41">
        <v>204</v>
      </c>
      <c r="B208" s="42">
        <v>45881</v>
      </c>
      <c r="C208" s="43" t="s">
        <v>144</v>
      </c>
      <c r="D208" s="43" t="s">
        <v>83</v>
      </c>
      <c r="E208" s="43" t="s">
        <v>67</v>
      </c>
      <c r="F208" s="43" t="s">
        <v>115</v>
      </c>
      <c r="G208" s="43" t="s">
        <v>107</v>
      </c>
      <c r="H208" s="44">
        <v>12310</v>
      </c>
      <c r="I208" s="43" t="s">
        <v>103</v>
      </c>
      <c r="J208" s="43" t="s">
        <v>103</v>
      </c>
      <c r="K208" s="43" t="s">
        <v>108</v>
      </c>
      <c r="L208" s="45">
        <v>0.06</v>
      </c>
      <c r="M208" s="43" t="s">
        <v>104</v>
      </c>
      <c r="N208" s="17" t="str">
        <f t="shared" si="15"/>
        <v>No</v>
      </c>
      <c r="O208" s="17" t="str">
        <f t="shared" si="16"/>
        <v>No</v>
      </c>
      <c r="P208" s="18">
        <f t="shared" si="17"/>
        <v>0</v>
      </c>
      <c r="Q208" s="17" t="str">
        <f t="shared" si="18"/>
        <v>Non-addressable</v>
      </c>
      <c r="R208" s="20" t="str">
        <f t="shared" si="19"/>
        <v>Low</v>
      </c>
    </row>
    <row r="209" spans="1:18" ht="15">
      <c r="A209" s="41">
        <v>205</v>
      </c>
      <c r="B209" s="42">
        <v>46008</v>
      </c>
      <c r="C209" s="43" t="s">
        <v>145</v>
      </c>
      <c r="D209" s="43" t="s">
        <v>25</v>
      </c>
      <c r="E209" s="43" t="s">
        <v>67</v>
      </c>
      <c r="F209" s="43" t="s">
        <v>101</v>
      </c>
      <c r="G209" s="43" t="s">
        <v>102</v>
      </c>
      <c r="H209" s="44">
        <v>67500</v>
      </c>
      <c r="I209" s="43" t="s">
        <v>103</v>
      </c>
      <c r="J209" s="43" t="s">
        <v>103</v>
      </c>
      <c r="K209" s="43" t="s">
        <v>108</v>
      </c>
      <c r="L209" s="45">
        <v>0.05</v>
      </c>
      <c r="M209" s="43" t="s">
        <v>104</v>
      </c>
      <c r="N209" s="17" t="str">
        <f t="shared" si="15"/>
        <v>No</v>
      </c>
      <c r="O209" s="17" t="str">
        <f t="shared" si="16"/>
        <v>No</v>
      </c>
      <c r="P209" s="18">
        <f t="shared" si="17"/>
        <v>0</v>
      </c>
      <c r="Q209" s="17" t="str">
        <f t="shared" si="18"/>
        <v>Non-addressable</v>
      </c>
      <c r="R209" s="20" t="str">
        <f t="shared" si="19"/>
        <v>Low</v>
      </c>
    </row>
    <row r="210" spans="1:18" ht="15">
      <c r="A210" s="41">
        <v>206</v>
      </c>
      <c r="B210" s="42">
        <v>45808</v>
      </c>
      <c r="C210" s="43" t="s">
        <v>138</v>
      </c>
      <c r="D210" s="43" t="s">
        <v>26</v>
      </c>
      <c r="E210" s="43" t="s">
        <v>72</v>
      </c>
      <c r="F210" s="43" t="s">
        <v>127</v>
      </c>
      <c r="G210" s="43" t="s">
        <v>107</v>
      </c>
      <c r="H210" s="44">
        <v>12770</v>
      </c>
      <c r="I210" s="43" t="s">
        <v>108</v>
      </c>
      <c r="J210" s="43" t="s">
        <v>108</v>
      </c>
      <c r="K210" s="43" t="s">
        <v>103</v>
      </c>
      <c r="L210" s="45">
        <v>0.1</v>
      </c>
      <c r="M210" s="43" t="s">
        <v>104</v>
      </c>
      <c r="N210" s="17" t="str">
        <f t="shared" si="15"/>
        <v>Yes</v>
      </c>
      <c r="O210" s="17" t="str">
        <f t="shared" si="16"/>
        <v>No</v>
      </c>
      <c r="P210" s="18">
        <f t="shared" si="17"/>
        <v>1277</v>
      </c>
      <c r="Q210" s="17" t="str">
        <f t="shared" si="18"/>
        <v>Maverick / non-preferred</v>
      </c>
      <c r="R210" s="20" t="str">
        <f t="shared" si="19"/>
        <v>Low</v>
      </c>
    </row>
    <row r="211" spans="1:18" ht="15">
      <c r="A211" s="41">
        <v>207</v>
      </c>
      <c r="B211" s="42">
        <v>45900</v>
      </c>
      <c r="C211" s="43" t="s">
        <v>129</v>
      </c>
      <c r="D211" s="43" t="s">
        <v>76</v>
      </c>
      <c r="E211" s="43" t="s">
        <v>72</v>
      </c>
      <c r="F211" s="43" t="s">
        <v>106</v>
      </c>
      <c r="G211" s="43" t="s">
        <v>120</v>
      </c>
      <c r="H211" s="44">
        <v>44070</v>
      </c>
      <c r="I211" s="43" t="s">
        <v>103</v>
      </c>
      <c r="J211" s="43" t="s">
        <v>108</v>
      </c>
      <c r="K211" s="43" t="s">
        <v>108</v>
      </c>
      <c r="L211" s="45">
        <v>0.09</v>
      </c>
      <c r="M211" s="43" t="s">
        <v>118</v>
      </c>
      <c r="N211" s="17" t="str">
        <f t="shared" si="15"/>
        <v>Yes</v>
      </c>
      <c r="O211" s="17" t="str">
        <f t="shared" si="16"/>
        <v>No</v>
      </c>
      <c r="P211" s="18">
        <f t="shared" si="17"/>
        <v>0</v>
      </c>
      <c r="Q211" s="17" t="str">
        <f t="shared" si="18"/>
        <v>Maverick / non-preferred</v>
      </c>
      <c r="R211" s="20" t="str">
        <f t="shared" si="19"/>
        <v>Low</v>
      </c>
    </row>
    <row r="212" spans="1:18" ht="15">
      <c r="A212" s="41">
        <v>208</v>
      </c>
      <c r="B212" s="42">
        <v>45904</v>
      </c>
      <c r="C212" s="43" t="s">
        <v>111</v>
      </c>
      <c r="D212" s="43" t="s">
        <v>83</v>
      </c>
      <c r="E212" s="43" t="s">
        <v>67</v>
      </c>
      <c r="F212" s="43" t="s">
        <v>115</v>
      </c>
      <c r="G212" s="43" t="s">
        <v>120</v>
      </c>
      <c r="H212" s="44">
        <v>10800</v>
      </c>
      <c r="I212" s="43" t="s">
        <v>103</v>
      </c>
      <c r="J212" s="43" t="s">
        <v>103</v>
      </c>
      <c r="K212" s="43" t="s">
        <v>108</v>
      </c>
      <c r="L212" s="45">
        <v>0.06</v>
      </c>
      <c r="M212" s="43" t="s">
        <v>104</v>
      </c>
      <c r="N212" s="17" t="str">
        <f t="shared" si="15"/>
        <v>No</v>
      </c>
      <c r="O212" s="17" t="str">
        <f t="shared" si="16"/>
        <v>No</v>
      </c>
      <c r="P212" s="18">
        <f t="shared" si="17"/>
        <v>0</v>
      </c>
      <c r="Q212" s="17" t="str">
        <f t="shared" si="18"/>
        <v>Non-addressable</v>
      </c>
      <c r="R212" s="20" t="str">
        <f t="shared" si="19"/>
        <v>Low</v>
      </c>
    </row>
    <row r="213" spans="1:18" ht="15">
      <c r="A213" s="41">
        <v>209</v>
      </c>
      <c r="B213" s="42">
        <v>45985</v>
      </c>
      <c r="C213" s="43" t="s">
        <v>146</v>
      </c>
      <c r="D213" s="43" t="s">
        <v>26</v>
      </c>
      <c r="E213" s="43" t="s">
        <v>72</v>
      </c>
      <c r="F213" s="43" t="s">
        <v>115</v>
      </c>
      <c r="G213" s="43" t="s">
        <v>110</v>
      </c>
      <c r="H213" s="44">
        <v>3140</v>
      </c>
      <c r="I213" s="43" t="s">
        <v>108</v>
      </c>
      <c r="J213" s="43" t="s">
        <v>108</v>
      </c>
      <c r="K213" s="43" t="s">
        <v>103</v>
      </c>
      <c r="L213" s="45">
        <v>0.1</v>
      </c>
      <c r="M213" s="43" t="s">
        <v>104</v>
      </c>
      <c r="N213" s="17" t="str">
        <f t="shared" si="15"/>
        <v>Yes</v>
      </c>
      <c r="O213" s="17" t="str">
        <f t="shared" si="16"/>
        <v>No</v>
      </c>
      <c r="P213" s="18">
        <f t="shared" si="17"/>
        <v>314</v>
      </c>
      <c r="Q213" s="17" t="str">
        <f t="shared" si="18"/>
        <v>Maverick / non-preferred</v>
      </c>
      <c r="R213" s="20" t="str">
        <f t="shared" si="19"/>
        <v>Low</v>
      </c>
    </row>
    <row r="214" spans="1:18" ht="15">
      <c r="A214" s="41">
        <v>210</v>
      </c>
      <c r="B214" s="42">
        <v>45990</v>
      </c>
      <c r="C214" s="43" t="s">
        <v>142</v>
      </c>
      <c r="D214" s="43" t="s">
        <v>23</v>
      </c>
      <c r="E214" s="43" t="s">
        <v>72</v>
      </c>
      <c r="F214" s="43" t="s">
        <v>113</v>
      </c>
      <c r="G214" s="43" t="s">
        <v>120</v>
      </c>
      <c r="H214" s="44">
        <v>5880</v>
      </c>
      <c r="I214" s="43" t="s">
        <v>103</v>
      </c>
      <c r="J214" s="43" t="s">
        <v>103</v>
      </c>
      <c r="K214" s="43" t="s">
        <v>103</v>
      </c>
      <c r="L214" s="45">
        <v>0.15</v>
      </c>
      <c r="M214" s="43" t="s">
        <v>114</v>
      </c>
      <c r="N214" s="17" t="str">
        <f t="shared" si="15"/>
        <v>No</v>
      </c>
      <c r="O214" s="17" t="str">
        <f t="shared" si="16"/>
        <v>No</v>
      </c>
      <c r="P214" s="18">
        <f t="shared" si="17"/>
        <v>882</v>
      </c>
      <c r="Q214" s="17" t="str">
        <f t="shared" si="18"/>
        <v>Category sourcing</v>
      </c>
      <c r="R214" s="20" t="str">
        <f t="shared" si="19"/>
        <v>Low</v>
      </c>
    </row>
    <row r="215" spans="1:18" ht="15">
      <c r="A215" s="41">
        <v>211</v>
      </c>
      <c r="B215" s="42">
        <v>45776</v>
      </c>
      <c r="C215" s="43" t="s">
        <v>121</v>
      </c>
      <c r="D215" s="43" t="s">
        <v>25</v>
      </c>
      <c r="E215" s="43" t="s">
        <v>67</v>
      </c>
      <c r="F215" s="43" t="s">
        <v>127</v>
      </c>
      <c r="G215" s="43" t="s">
        <v>120</v>
      </c>
      <c r="H215" s="44">
        <v>32470</v>
      </c>
      <c r="I215" s="43" t="s">
        <v>108</v>
      </c>
      <c r="J215" s="43" t="s">
        <v>108</v>
      </c>
      <c r="K215" s="43" t="s">
        <v>103</v>
      </c>
      <c r="L215" s="45">
        <v>0.05</v>
      </c>
      <c r="M215" s="43" t="s">
        <v>104</v>
      </c>
      <c r="N215" s="17" t="str">
        <f t="shared" si="15"/>
        <v>Yes</v>
      </c>
      <c r="O215" s="17" t="str">
        <f t="shared" si="16"/>
        <v>No</v>
      </c>
      <c r="P215" s="18">
        <f t="shared" si="17"/>
        <v>1623.5</v>
      </c>
      <c r="Q215" s="17" t="str">
        <f t="shared" si="18"/>
        <v>Maverick / non-preferred</v>
      </c>
      <c r="R215" s="20" t="str">
        <f t="shared" si="19"/>
        <v>Low</v>
      </c>
    </row>
    <row r="216" spans="1:18" ht="15">
      <c r="A216" s="41">
        <v>212</v>
      </c>
      <c r="B216" s="42">
        <v>45859</v>
      </c>
      <c r="C216" s="43" t="s">
        <v>142</v>
      </c>
      <c r="D216" s="43" t="s">
        <v>23</v>
      </c>
      <c r="E216" s="43" t="s">
        <v>72</v>
      </c>
      <c r="F216" s="43" t="s">
        <v>127</v>
      </c>
      <c r="G216" s="43" t="s">
        <v>107</v>
      </c>
      <c r="H216" s="44">
        <v>7050</v>
      </c>
      <c r="I216" s="43" t="s">
        <v>103</v>
      </c>
      <c r="J216" s="43" t="s">
        <v>103</v>
      </c>
      <c r="K216" s="43" t="s">
        <v>103</v>
      </c>
      <c r="L216" s="45">
        <v>0.15</v>
      </c>
      <c r="M216" s="43" t="s">
        <v>114</v>
      </c>
      <c r="N216" s="17" t="str">
        <f t="shared" si="15"/>
        <v>No</v>
      </c>
      <c r="O216" s="17" t="str">
        <f t="shared" si="16"/>
        <v>No</v>
      </c>
      <c r="P216" s="18">
        <f t="shared" si="17"/>
        <v>1057.5</v>
      </c>
      <c r="Q216" s="17" t="str">
        <f t="shared" si="18"/>
        <v>Category sourcing</v>
      </c>
      <c r="R216" s="20" t="str">
        <f t="shared" si="19"/>
        <v>Low</v>
      </c>
    </row>
    <row r="217" spans="1:18" ht="15">
      <c r="A217" s="41">
        <v>213</v>
      </c>
      <c r="B217" s="42">
        <v>45773</v>
      </c>
      <c r="C217" s="43" t="s">
        <v>112</v>
      </c>
      <c r="D217" s="43" t="s">
        <v>23</v>
      </c>
      <c r="E217" s="43" t="s">
        <v>72</v>
      </c>
      <c r="F217" s="43" t="s">
        <v>106</v>
      </c>
      <c r="G217" s="43" t="s">
        <v>107</v>
      </c>
      <c r="H217" s="44">
        <v>7920</v>
      </c>
      <c r="I217" s="43" t="s">
        <v>103</v>
      </c>
      <c r="J217" s="43" t="s">
        <v>108</v>
      </c>
      <c r="K217" s="43" t="s">
        <v>103</v>
      </c>
      <c r="L217" s="45">
        <v>0.15</v>
      </c>
      <c r="M217" s="43" t="s">
        <v>114</v>
      </c>
      <c r="N217" s="17" t="str">
        <f t="shared" si="15"/>
        <v>Yes</v>
      </c>
      <c r="O217" s="17" t="str">
        <f t="shared" si="16"/>
        <v>No</v>
      </c>
      <c r="P217" s="18">
        <f t="shared" si="17"/>
        <v>1188</v>
      </c>
      <c r="Q217" s="17" t="str">
        <f t="shared" si="18"/>
        <v>Maverick / non-preferred</v>
      </c>
      <c r="R217" s="20" t="str">
        <f t="shared" si="19"/>
        <v>Low</v>
      </c>
    </row>
    <row r="218" spans="1:18" ht="15">
      <c r="A218" s="41">
        <v>214</v>
      </c>
      <c r="B218" s="42">
        <v>45788</v>
      </c>
      <c r="C218" s="43" t="s">
        <v>152</v>
      </c>
      <c r="D218" s="43" t="s">
        <v>19</v>
      </c>
      <c r="E218" s="43" t="s">
        <v>72</v>
      </c>
      <c r="F218" s="43" t="s">
        <v>115</v>
      </c>
      <c r="G218" s="43" t="s">
        <v>120</v>
      </c>
      <c r="H218" s="44">
        <v>11580</v>
      </c>
      <c r="I218" s="43" t="s">
        <v>103</v>
      </c>
      <c r="J218" s="43" t="s">
        <v>103</v>
      </c>
      <c r="K218" s="43" t="s">
        <v>103</v>
      </c>
      <c r="L218" s="45">
        <v>0.12</v>
      </c>
      <c r="M218" s="43" t="s">
        <v>114</v>
      </c>
      <c r="N218" s="17" t="str">
        <f t="shared" si="15"/>
        <v>No</v>
      </c>
      <c r="O218" s="17" t="str">
        <f t="shared" si="16"/>
        <v>No</v>
      </c>
      <c r="P218" s="18">
        <f t="shared" si="17"/>
        <v>1389.6</v>
      </c>
      <c r="Q218" s="17" t="str">
        <f t="shared" si="18"/>
        <v>Category sourcing</v>
      </c>
      <c r="R218" s="20" t="str">
        <f t="shared" si="19"/>
        <v>Low</v>
      </c>
    </row>
    <row r="219" spans="1:18" ht="15">
      <c r="A219" s="41">
        <v>215</v>
      </c>
      <c r="B219" s="42">
        <v>45836</v>
      </c>
      <c r="C219" s="43" t="s">
        <v>117</v>
      </c>
      <c r="D219" s="43" t="s">
        <v>81</v>
      </c>
      <c r="E219" s="43" t="s">
        <v>72</v>
      </c>
      <c r="F219" s="43" t="s">
        <v>101</v>
      </c>
      <c r="G219" s="43" t="s">
        <v>110</v>
      </c>
      <c r="H219" s="44">
        <v>5820</v>
      </c>
      <c r="I219" s="43" t="s">
        <v>103</v>
      </c>
      <c r="J219" s="43" t="s">
        <v>108</v>
      </c>
      <c r="K219" s="43" t="s">
        <v>103</v>
      </c>
      <c r="L219" s="45">
        <v>0.18</v>
      </c>
      <c r="M219" s="43" t="s">
        <v>118</v>
      </c>
      <c r="N219" s="17" t="str">
        <f t="shared" si="15"/>
        <v>Yes</v>
      </c>
      <c r="O219" s="17" t="str">
        <f t="shared" si="16"/>
        <v>No</v>
      </c>
      <c r="P219" s="18">
        <f t="shared" si="17"/>
        <v>1047.5999999999999</v>
      </c>
      <c r="Q219" s="17" t="str">
        <f t="shared" si="18"/>
        <v>Maverick / non-preferred</v>
      </c>
      <c r="R219" s="20" t="str">
        <f t="shared" si="19"/>
        <v>Low</v>
      </c>
    </row>
    <row r="220" spans="1:18" ht="15">
      <c r="A220" s="41">
        <v>216</v>
      </c>
      <c r="B220" s="42">
        <v>45755</v>
      </c>
      <c r="C220" s="43" t="s">
        <v>136</v>
      </c>
      <c r="D220" s="43" t="s">
        <v>19</v>
      </c>
      <c r="E220" s="43" t="s">
        <v>72</v>
      </c>
      <c r="F220" s="43" t="s">
        <v>113</v>
      </c>
      <c r="G220" s="43" t="s">
        <v>107</v>
      </c>
      <c r="H220" s="44">
        <v>7420</v>
      </c>
      <c r="I220" s="43" t="s">
        <v>103</v>
      </c>
      <c r="J220" s="43" t="s">
        <v>103</v>
      </c>
      <c r="K220" s="43" t="s">
        <v>103</v>
      </c>
      <c r="L220" s="45">
        <v>0.12</v>
      </c>
      <c r="M220" s="43" t="s">
        <v>114</v>
      </c>
      <c r="N220" s="17" t="str">
        <f t="shared" si="15"/>
        <v>No</v>
      </c>
      <c r="O220" s="17" t="str">
        <f t="shared" si="16"/>
        <v>No</v>
      </c>
      <c r="P220" s="18">
        <f t="shared" si="17"/>
        <v>890.4</v>
      </c>
      <c r="Q220" s="17" t="str">
        <f t="shared" si="18"/>
        <v>Category sourcing</v>
      </c>
      <c r="R220" s="20" t="str">
        <f t="shared" si="19"/>
        <v>Low</v>
      </c>
    </row>
    <row r="221" spans="1:18" ht="15">
      <c r="A221" s="41">
        <v>217</v>
      </c>
      <c r="B221" s="42">
        <v>45665</v>
      </c>
      <c r="C221" s="43" t="s">
        <v>128</v>
      </c>
      <c r="D221" s="43" t="s">
        <v>83</v>
      </c>
      <c r="E221" s="43" t="s">
        <v>67</v>
      </c>
      <c r="F221" s="43" t="s">
        <v>101</v>
      </c>
      <c r="G221" s="43" t="s">
        <v>120</v>
      </c>
      <c r="H221" s="44">
        <v>8710</v>
      </c>
      <c r="I221" s="43" t="s">
        <v>103</v>
      </c>
      <c r="J221" s="43" t="s">
        <v>108</v>
      </c>
      <c r="K221" s="43" t="s">
        <v>108</v>
      </c>
      <c r="L221" s="45">
        <v>0.06</v>
      </c>
      <c r="M221" s="43" t="s">
        <v>104</v>
      </c>
      <c r="N221" s="17" t="str">
        <f t="shared" si="15"/>
        <v>Yes</v>
      </c>
      <c r="O221" s="17" t="str">
        <f t="shared" si="16"/>
        <v>No</v>
      </c>
      <c r="P221" s="18">
        <f t="shared" si="17"/>
        <v>0</v>
      </c>
      <c r="Q221" s="17" t="str">
        <f t="shared" si="18"/>
        <v>Maverick / non-preferred</v>
      </c>
      <c r="R221" s="20" t="str">
        <f t="shared" si="19"/>
        <v>Low</v>
      </c>
    </row>
    <row r="222" spans="1:18" ht="15">
      <c r="A222" s="41">
        <v>218</v>
      </c>
      <c r="B222" s="42">
        <v>45659</v>
      </c>
      <c r="C222" s="43" t="s">
        <v>151</v>
      </c>
      <c r="D222" s="43" t="s">
        <v>25</v>
      </c>
      <c r="E222" s="43" t="s">
        <v>67</v>
      </c>
      <c r="F222" s="43" t="s">
        <v>106</v>
      </c>
      <c r="G222" s="43" t="s">
        <v>102</v>
      </c>
      <c r="H222" s="44">
        <v>11260</v>
      </c>
      <c r="I222" s="43" t="s">
        <v>103</v>
      </c>
      <c r="J222" s="43" t="s">
        <v>108</v>
      </c>
      <c r="K222" s="43" t="s">
        <v>103</v>
      </c>
      <c r="L222" s="45">
        <v>0.05</v>
      </c>
      <c r="M222" s="43" t="s">
        <v>104</v>
      </c>
      <c r="N222" s="17" t="str">
        <f t="shared" si="15"/>
        <v>Yes</v>
      </c>
      <c r="O222" s="17" t="str">
        <f t="shared" si="16"/>
        <v>Yes</v>
      </c>
      <c r="P222" s="18">
        <f t="shared" si="17"/>
        <v>563</v>
      </c>
      <c r="Q222" s="17" t="str">
        <f t="shared" si="18"/>
        <v>Maverick / non-preferred</v>
      </c>
      <c r="R222" s="20" t="str">
        <f t="shared" si="19"/>
        <v>Low</v>
      </c>
    </row>
    <row r="223" spans="1:18" ht="15">
      <c r="A223" s="41">
        <v>219</v>
      </c>
      <c r="B223" s="42">
        <v>45807</v>
      </c>
      <c r="C223" s="43" t="s">
        <v>100</v>
      </c>
      <c r="D223" s="43" t="s">
        <v>21</v>
      </c>
      <c r="E223" s="43" t="s">
        <v>67</v>
      </c>
      <c r="F223" s="43" t="s">
        <v>113</v>
      </c>
      <c r="G223" s="43" t="s">
        <v>110</v>
      </c>
      <c r="H223" s="44">
        <v>14090</v>
      </c>
      <c r="I223" s="43" t="s">
        <v>103</v>
      </c>
      <c r="J223" s="43" t="s">
        <v>103</v>
      </c>
      <c r="K223" s="43" t="s">
        <v>103</v>
      </c>
      <c r="L223" s="45">
        <v>0.06</v>
      </c>
      <c r="M223" s="43" t="s">
        <v>104</v>
      </c>
      <c r="N223" s="17" t="str">
        <f t="shared" si="15"/>
        <v>No</v>
      </c>
      <c r="O223" s="17" t="str">
        <f t="shared" si="16"/>
        <v>No</v>
      </c>
      <c r="P223" s="18">
        <f t="shared" si="17"/>
        <v>845.4</v>
      </c>
      <c r="Q223" s="17" t="str">
        <f t="shared" si="18"/>
        <v>Category sourcing</v>
      </c>
      <c r="R223" s="20" t="str">
        <f t="shared" si="19"/>
        <v>Low</v>
      </c>
    </row>
    <row r="224" spans="1:18" ht="15">
      <c r="A224" s="41">
        <v>220</v>
      </c>
      <c r="B224" s="42">
        <v>45724</v>
      </c>
      <c r="C224" s="43" t="s">
        <v>105</v>
      </c>
      <c r="D224" s="43" t="s">
        <v>25</v>
      </c>
      <c r="E224" s="43" t="s">
        <v>67</v>
      </c>
      <c r="F224" s="43" t="s">
        <v>113</v>
      </c>
      <c r="G224" s="43" t="s">
        <v>102</v>
      </c>
      <c r="H224" s="44">
        <v>10650</v>
      </c>
      <c r="I224" s="43" t="s">
        <v>103</v>
      </c>
      <c r="J224" s="43" t="s">
        <v>103</v>
      </c>
      <c r="K224" s="43" t="s">
        <v>108</v>
      </c>
      <c r="L224" s="45">
        <v>0.05</v>
      </c>
      <c r="M224" s="43" t="s">
        <v>104</v>
      </c>
      <c r="N224" s="17" t="str">
        <f t="shared" si="15"/>
        <v>No</v>
      </c>
      <c r="O224" s="17" t="str">
        <f t="shared" si="16"/>
        <v>No</v>
      </c>
      <c r="P224" s="18">
        <f t="shared" si="17"/>
        <v>0</v>
      </c>
      <c r="Q224" s="17" t="str">
        <f t="shared" si="18"/>
        <v>Non-addressable</v>
      </c>
      <c r="R224" s="20" t="str">
        <f t="shared" si="19"/>
        <v>Low</v>
      </c>
    </row>
    <row r="225" spans="1:18" ht="15">
      <c r="A225" s="41">
        <v>221</v>
      </c>
      <c r="B225" s="42">
        <v>45744</v>
      </c>
      <c r="C225" s="43" t="s">
        <v>123</v>
      </c>
      <c r="D225" s="43" t="s">
        <v>79</v>
      </c>
      <c r="E225" s="43" t="s">
        <v>72</v>
      </c>
      <c r="F225" s="43" t="s">
        <v>106</v>
      </c>
      <c r="G225" s="43" t="s">
        <v>107</v>
      </c>
      <c r="H225" s="44">
        <v>41550</v>
      </c>
      <c r="I225" s="43" t="s">
        <v>108</v>
      </c>
      <c r="J225" s="43" t="s">
        <v>108</v>
      </c>
      <c r="K225" s="43" t="s">
        <v>108</v>
      </c>
      <c r="L225" s="45">
        <v>7.0000000000000007E-2</v>
      </c>
      <c r="M225" s="43" t="s">
        <v>124</v>
      </c>
      <c r="N225" s="17" t="str">
        <f t="shared" si="15"/>
        <v>Yes</v>
      </c>
      <c r="O225" s="17" t="str">
        <f t="shared" si="16"/>
        <v>No</v>
      </c>
      <c r="P225" s="18">
        <f t="shared" si="17"/>
        <v>0</v>
      </c>
      <c r="Q225" s="17" t="str">
        <f t="shared" si="18"/>
        <v>Maverick / non-preferred</v>
      </c>
      <c r="R225" s="20" t="str">
        <f t="shared" si="19"/>
        <v>Low</v>
      </c>
    </row>
    <row r="226" spans="1:18" ht="15">
      <c r="A226" s="41">
        <v>222</v>
      </c>
      <c r="B226" s="42">
        <v>45719</v>
      </c>
      <c r="C226" s="43" t="s">
        <v>123</v>
      </c>
      <c r="D226" s="43" t="s">
        <v>79</v>
      </c>
      <c r="E226" s="43" t="s">
        <v>72</v>
      </c>
      <c r="F226" s="43" t="s">
        <v>101</v>
      </c>
      <c r="G226" s="43" t="s">
        <v>102</v>
      </c>
      <c r="H226" s="44">
        <v>22630</v>
      </c>
      <c r="I226" s="43" t="s">
        <v>108</v>
      </c>
      <c r="J226" s="43" t="s">
        <v>108</v>
      </c>
      <c r="K226" s="43" t="s">
        <v>108</v>
      </c>
      <c r="L226" s="45">
        <v>7.0000000000000007E-2</v>
      </c>
      <c r="M226" s="43" t="s">
        <v>124</v>
      </c>
      <c r="N226" s="17" t="str">
        <f t="shared" si="15"/>
        <v>Yes</v>
      </c>
      <c r="O226" s="17" t="str">
        <f t="shared" si="16"/>
        <v>No</v>
      </c>
      <c r="P226" s="18">
        <f t="shared" si="17"/>
        <v>0</v>
      </c>
      <c r="Q226" s="17" t="str">
        <f t="shared" si="18"/>
        <v>Maverick / non-preferred</v>
      </c>
      <c r="R226" s="20" t="str">
        <f t="shared" si="19"/>
        <v>Low</v>
      </c>
    </row>
    <row r="227" spans="1:18" ht="15">
      <c r="A227" s="41">
        <v>223</v>
      </c>
      <c r="B227" s="42">
        <v>45956</v>
      </c>
      <c r="C227" s="43" t="s">
        <v>128</v>
      </c>
      <c r="D227" s="43" t="s">
        <v>83</v>
      </c>
      <c r="E227" s="43" t="s">
        <v>67</v>
      </c>
      <c r="F227" s="43" t="s">
        <v>115</v>
      </c>
      <c r="G227" s="43" t="s">
        <v>120</v>
      </c>
      <c r="H227" s="44">
        <v>1730</v>
      </c>
      <c r="I227" s="43" t="s">
        <v>103</v>
      </c>
      <c r="J227" s="43" t="s">
        <v>108</v>
      </c>
      <c r="K227" s="43" t="s">
        <v>108</v>
      </c>
      <c r="L227" s="45">
        <v>0.06</v>
      </c>
      <c r="M227" s="43" t="s">
        <v>104</v>
      </c>
      <c r="N227" s="17" t="str">
        <f t="shared" si="15"/>
        <v>Yes</v>
      </c>
      <c r="O227" s="17" t="str">
        <f t="shared" si="16"/>
        <v>No</v>
      </c>
      <c r="P227" s="18">
        <f t="shared" si="17"/>
        <v>0</v>
      </c>
      <c r="Q227" s="17" t="str">
        <f t="shared" si="18"/>
        <v>Maverick / non-preferred</v>
      </c>
      <c r="R227" s="20" t="str">
        <f t="shared" si="19"/>
        <v>Low</v>
      </c>
    </row>
    <row r="228" spans="1:18" ht="15">
      <c r="A228" s="41">
        <v>224</v>
      </c>
      <c r="B228" s="42">
        <v>45699</v>
      </c>
      <c r="C228" s="43" t="s">
        <v>155</v>
      </c>
      <c r="D228" s="43" t="s">
        <v>19</v>
      </c>
      <c r="E228" s="43" t="s">
        <v>72</v>
      </c>
      <c r="F228" s="43" t="s">
        <v>106</v>
      </c>
      <c r="G228" s="43" t="s">
        <v>120</v>
      </c>
      <c r="H228" s="44">
        <v>10870</v>
      </c>
      <c r="I228" s="43" t="s">
        <v>108</v>
      </c>
      <c r="J228" s="43" t="s">
        <v>108</v>
      </c>
      <c r="K228" s="43" t="s">
        <v>103</v>
      </c>
      <c r="L228" s="45">
        <v>0.12</v>
      </c>
      <c r="M228" s="43" t="s">
        <v>114</v>
      </c>
      <c r="N228" s="17" t="str">
        <f t="shared" si="15"/>
        <v>Yes</v>
      </c>
      <c r="O228" s="17" t="str">
        <f t="shared" si="16"/>
        <v>No</v>
      </c>
      <c r="P228" s="18">
        <f t="shared" si="17"/>
        <v>1304.3999999999999</v>
      </c>
      <c r="Q228" s="17" t="str">
        <f t="shared" si="18"/>
        <v>Maverick / non-preferred</v>
      </c>
      <c r="R228" s="20" t="str">
        <f t="shared" si="19"/>
        <v>Low</v>
      </c>
    </row>
    <row r="229" spans="1:18" ht="15">
      <c r="A229" s="41">
        <v>225</v>
      </c>
      <c r="B229" s="42">
        <v>45735</v>
      </c>
      <c r="C229" s="43" t="s">
        <v>157</v>
      </c>
      <c r="D229" s="43" t="s">
        <v>21</v>
      </c>
      <c r="E229" s="43" t="s">
        <v>67</v>
      </c>
      <c r="F229" s="43" t="s">
        <v>113</v>
      </c>
      <c r="G229" s="43" t="s">
        <v>110</v>
      </c>
      <c r="H229" s="44">
        <v>12670</v>
      </c>
      <c r="I229" s="43" t="s">
        <v>108</v>
      </c>
      <c r="J229" s="43" t="s">
        <v>108</v>
      </c>
      <c r="K229" s="43" t="s">
        <v>103</v>
      </c>
      <c r="L229" s="45">
        <v>0.06</v>
      </c>
      <c r="M229" s="43" t="s">
        <v>104</v>
      </c>
      <c r="N229" s="17" t="str">
        <f t="shared" si="15"/>
        <v>Yes</v>
      </c>
      <c r="O229" s="17" t="str">
        <f t="shared" si="16"/>
        <v>Yes</v>
      </c>
      <c r="P229" s="18">
        <f t="shared" si="17"/>
        <v>760.19999999999993</v>
      </c>
      <c r="Q229" s="17" t="str">
        <f t="shared" si="18"/>
        <v>Maverick / non-preferred</v>
      </c>
      <c r="R229" s="20" t="str">
        <f t="shared" si="19"/>
        <v>Low</v>
      </c>
    </row>
    <row r="230" spans="1:18" ht="15">
      <c r="A230" s="41">
        <v>226</v>
      </c>
      <c r="B230" s="42">
        <v>45964</v>
      </c>
      <c r="C230" s="43" t="s">
        <v>122</v>
      </c>
      <c r="D230" s="43" t="s">
        <v>83</v>
      </c>
      <c r="E230" s="43" t="s">
        <v>67</v>
      </c>
      <c r="F230" s="43" t="s">
        <v>113</v>
      </c>
      <c r="G230" s="43" t="s">
        <v>107</v>
      </c>
      <c r="H230" s="44">
        <v>7800</v>
      </c>
      <c r="I230" s="43" t="s">
        <v>103</v>
      </c>
      <c r="J230" s="43" t="s">
        <v>108</v>
      </c>
      <c r="K230" s="43" t="s">
        <v>108</v>
      </c>
      <c r="L230" s="45">
        <v>0.06</v>
      </c>
      <c r="M230" s="43" t="s">
        <v>104</v>
      </c>
      <c r="N230" s="17" t="str">
        <f t="shared" si="15"/>
        <v>Yes</v>
      </c>
      <c r="O230" s="17" t="str">
        <f t="shared" si="16"/>
        <v>No</v>
      </c>
      <c r="P230" s="18">
        <f t="shared" si="17"/>
        <v>0</v>
      </c>
      <c r="Q230" s="17" t="str">
        <f t="shared" si="18"/>
        <v>Maverick / non-preferred</v>
      </c>
      <c r="R230" s="20" t="str">
        <f t="shared" si="19"/>
        <v>Low</v>
      </c>
    </row>
    <row r="231" spans="1:18" ht="15">
      <c r="A231" s="41">
        <v>227</v>
      </c>
      <c r="B231" s="42">
        <v>45968</v>
      </c>
      <c r="C231" s="43" t="s">
        <v>143</v>
      </c>
      <c r="D231" s="43" t="s">
        <v>21</v>
      </c>
      <c r="E231" s="43" t="s">
        <v>67</v>
      </c>
      <c r="F231" s="43" t="s">
        <v>106</v>
      </c>
      <c r="G231" s="43" t="s">
        <v>110</v>
      </c>
      <c r="H231" s="44">
        <v>15360</v>
      </c>
      <c r="I231" s="43" t="s">
        <v>103</v>
      </c>
      <c r="J231" s="43" t="s">
        <v>108</v>
      </c>
      <c r="K231" s="43" t="s">
        <v>103</v>
      </c>
      <c r="L231" s="45">
        <v>0.06</v>
      </c>
      <c r="M231" s="43" t="s">
        <v>104</v>
      </c>
      <c r="N231" s="17" t="str">
        <f t="shared" si="15"/>
        <v>Yes</v>
      </c>
      <c r="O231" s="17" t="str">
        <f t="shared" si="16"/>
        <v>No</v>
      </c>
      <c r="P231" s="18">
        <f t="shared" si="17"/>
        <v>921.59999999999991</v>
      </c>
      <c r="Q231" s="17" t="str">
        <f t="shared" si="18"/>
        <v>Maverick / non-preferred</v>
      </c>
      <c r="R231" s="20" t="str">
        <f t="shared" si="19"/>
        <v>Low</v>
      </c>
    </row>
    <row r="232" spans="1:18" ht="15">
      <c r="A232" s="41">
        <v>228</v>
      </c>
      <c r="B232" s="42">
        <v>45954</v>
      </c>
      <c r="C232" s="43" t="s">
        <v>144</v>
      </c>
      <c r="D232" s="43" t="s">
        <v>83</v>
      </c>
      <c r="E232" s="43" t="s">
        <v>67</v>
      </c>
      <c r="F232" s="43" t="s">
        <v>106</v>
      </c>
      <c r="G232" s="43" t="s">
        <v>110</v>
      </c>
      <c r="H232" s="44">
        <v>15180</v>
      </c>
      <c r="I232" s="43" t="s">
        <v>108</v>
      </c>
      <c r="J232" s="43" t="s">
        <v>103</v>
      </c>
      <c r="K232" s="43" t="s">
        <v>108</v>
      </c>
      <c r="L232" s="45">
        <v>0.06</v>
      </c>
      <c r="M232" s="43" t="s">
        <v>104</v>
      </c>
      <c r="N232" s="17" t="str">
        <f t="shared" si="15"/>
        <v>Yes</v>
      </c>
      <c r="O232" s="17" t="str">
        <f t="shared" si="16"/>
        <v>No</v>
      </c>
      <c r="P232" s="18">
        <f t="shared" si="17"/>
        <v>0</v>
      </c>
      <c r="Q232" s="17" t="str">
        <f t="shared" si="18"/>
        <v>Maverick / non-preferred</v>
      </c>
      <c r="R232" s="20" t="str">
        <f t="shared" si="19"/>
        <v>Low</v>
      </c>
    </row>
    <row r="233" spans="1:18" ht="15">
      <c r="A233" s="41">
        <v>229</v>
      </c>
      <c r="B233" s="42">
        <v>45680</v>
      </c>
      <c r="C233" s="43" t="s">
        <v>129</v>
      </c>
      <c r="D233" s="43" t="s">
        <v>76</v>
      </c>
      <c r="E233" s="43" t="s">
        <v>72</v>
      </c>
      <c r="F233" s="43" t="s">
        <v>101</v>
      </c>
      <c r="G233" s="43" t="s">
        <v>102</v>
      </c>
      <c r="H233" s="44">
        <v>12850</v>
      </c>
      <c r="I233" s="43" t="s">
        <v>108</v>
      </c>
      <c r="J233" s="43" t="s">
        <v>108</v>
      </c>
      <c r="K233" s="43" t="s">
        <v>108</v>
      </c>
      <c r="L233" s="45">
        <v>0.09</v>
      </c>
      <c r="M233" s="43" t="s">
        <v>118</v>
      </c>
      <c r="N233" s="17" t="str">
        <f t="shared" si="15"/>
        <v>Yes</v>
      </c>
      <c r="O233" s="17" t="str">
        <f t="shared" si="16"/>
        <v>No</v>
      </c>
      <c r="P233" s="18">
        <f t="shared" si="17"/>
        <v>0</v>
      </c>
      <c r="Q233" s="17" t="str">
        <f t="shared" si="18"/>
        <v>Maverick / non-preferred</v>
      </c>
      <c r="R233" s="20" t="str">
        <f t="shared" si="19"/>
        <v>Low</v>
      </c>
    </row>
    <row r="234" spans="1:18" ht="15">
      <c r="A234" s="41">
        <v>230</v>
      </c>
      <c r="B234" s="42">
        <v>45935</v>
      </c>
      <c r="C234" s="43" t="s">
        <v>112</v>
      </c>
      <c r="D234" s="43" t="s">
        <v>23</v>
      </c>
      <c r="E234" s="43" t="s">
        <v>72</v>
      </c>
      <c r="F234" s="43" t="s">
        <v>127</v>
      </c>
      <c r="G234" s="43" t="s">
        <v>120</v>
      </c>
      <c r="H234" s="44">
        <v>3600</v>
      </c>
      <c r="I234" s="43" t="s">
        <v>108</v>
      </c>
      <c r="J234" s="43" t="s">
        <v>108</v>
      </c>
      <c r="K234" s="43" t="s">
        <v>103</v>
      </c>
      <c r="L234" s="45">
        <v>0.15</v>
      </c>
      <c r="M234" s="43" t="s">
        <v>114</v>
      </c>
      <c r="N234" s="17" t="str">
        <f t="shared" si="15"/>
        <v>Yes</v>
      </c>
      <c r="O234" s="17" t="str">
        <f t="shared" si="16"/>
        <v>No</v>
      </c>
      <c r="P234" s="18">
        <f t="shared" si="17"/>
        <v>540</v>
      </c>
      <c r="Q234" s="17" t="str">
        <f t="shared" si="18"/>
        <v>Maverick / non-preferred</v>
      </c>
      <c r="R234" s="20" t="str">
        <f t="shared" si="19"/>
        <v>Low</v>
      </c>
    </row>
    <row r="235" spans="1:18" ht="15">
      <c r="A235" s="41">
        <v>231</v>
      </c>
      <c r="B235" s="42">
        <v>45964</v>
      </c>
      <c r="C235" s="43" t="s">
        <v>129</v>
      </c>
      <c r="D235" s="43" t="s">
        <v>76</v>
      </c>
      <c r="E235" s="43" t="s">
        <v>72</v>
      </c>
      <c r="F235" s="43" t="s">
        <v>101</v>
      </c>
      <c r="G235" s="43" t="s">
        <v>120</v>
      </c>
      <c r="H235" s="44">
        <v>38870</v>
      </c>
      <c r="I235" s="43" t="s">
        <v>108</v>
      </c>
      <c r="J235" s="43" t="s">
        <v>108</v>
      </c>
      <c r="K235" s="43" t="s">
        <v>108</v>
      </c>
      <c r="L235" s="45">
        <v>0.09</v>
      </c>
      <c r="M235" s="43" t="s">
        <v>118</v>
      </c>
      <c r="N235" s="17" t="str">
        <f t="shared" si="15"/>
        <v>Yes</v>
      </c>
      <c r="O235" s="17" t="str">
        <f t="shared" si="16"/>
        <v>No</v>
      </c>
      <c r="P235" s="18">
        <f t="shared" si="17"/>
        <v>0</v>
      </c>
      <c r="Q235" s="17" t="str">
        <f t="shared" si="18"/>
        <v>Maverick / non-preferred</v>
      </c>
      <c r="R235" s="20" t="str">
        <f t="shared" si="19"/>
        <v>Low</v>
      </c>
    </row>
    <row r="236" spans="1:18" ht="15">
      <c r="A236" s="41">
        <v>232</v>
      </c>
      <c r="B236" s="42">
        <v>45678</v>
      </c>
      <c r="C236" s="43" t="s">
        <v>105</v>
      </c>
      <c r="D236" s="43" t="s">
        <v>25</v>
      </c>
      <c r="E236" s="43" t="s">
        <v>67</v>
      </c>
      <c r="F236" s="43" t="s">
        <v>101</v>
      </c>
      <c r="G236" s="43" t="s">
        <v>120</v>
      </c>
      <c r="H236" s="44">
        <v>38240</v>
      </c>
      <c r="I236" s="43" t="s">
        <v>103</v>
      </c>
      <c r="J236" s="43" t="s">
        <v>103</v>
      </c>
      <c r="K236" s="43" t="s">
        <v>103</v>
      </c>
      <c r="L236" s="45">
        <v>0.05</v>
      </c>
      <c r="M236" s="43" t="s">
        <v>104</v>
      </c>
      <c r="N236" s="17" t="str">
        <f t="shared" si="15"/>
        <v>No</v>
      </c>
      <c r="O236" s="17" t="str">
        <f t="shared" si="16"/>
        <v>No</v>
      </c>
      <c r="P236" s="18">
        <f t="shared" si="17"/>
        <v>1912</v>
      </c>
      <c r="Q236" s="17" t="str">
        <f t="shared" si="18"/>
        <v>Category sourcing</v>
      </c>
      <c r="R236" s="20" t="str">
        <f t="shared" si="19"/>
        <v>Low</v>
      </c>
    </row>
    <row r="237" spans="1:18" ht="15">
      <c r="A237" s="41">
        <v>233</v>
      </c>
      <c r="B237" s="42">
        <v>45947</v>
      </c>
      <c r="C237" s="43" t="s">
        <v>117</v>
      </c>
      <c r="D237" s="43" t="s">
        <v>81</v>
      </c>
      <c r="E237" s="43" t="s">
        <v>72</v>
      </c>
      <c r="F237" s="43" t="s">
        <v>106</v>
      </c>
      <c r="G237" s="43" t="s">
        <v>102</v>
      </c>
      <c r="H237" s="44">
        <v>1100</v>
      </c>
      <c r="I237" s="43" t="s">
        <v>108</v>
      </c>
      <c r="J237" s="43" t="s">
        <v>108</v>
      </c>
      <c r="K237" s="43" t="s">
        <v>103</v>
      </c>
      <c r="L237" s="45">
        <v>0.18</v>
      </c>
      <c r="M237" s="43" t="s">
        <v>118</v>
      </c>
      <c r="N237" s="17" t="str">
        <f t="shared" si="15"/>
        <v>Yes</v>
      </c>
      <c r="O237" s="17" t="str">
        <f t="shared" si="16"/>
        <v>No</v>
      </c>
      <c r="P237" s="18">
        <f t="shared" si="17"/>
        <v>198</v>
      </c>
      <c r="Q237" s="17" t="str">
        <f t="shared" si="18"/>
        <v>Maverick / non-preferred</v>
      </c>
      <c r="R237" s="20" t="str">
        <f t="shared" si="19"/>
        <v>Low</v>
      </c>
    </row>
    <row r="238" spans="1:18" ht="15">
      <c r="A238" s="41">
        <v>234</v>
      </c>
      <c r="B238" s="42">
        <v>45788</v>
      </c>
      <c r="C238" s="43" t="s">
        <v>117</v>
      </c>
      <c r="D238" s="43" t="s">
        <v>81</v>
      </c>
      <c r="E238" s="43" t="s">
        <v>72</v>
      </c>
      <c r="F238" s="43" t="s">
        <v>127</v>
      </c>
      <c r="G238" s="43" t="s">
        <v>120</v>
      </c>
      <c r="H238" s="44">
        <v>4050</v>
      </c>
      <c r="I238" s="43" t="s">
        <v>108</v>
      </c>
      <c r="J238" s="43" t="s">
        <v>108</v>
      </c>
      <c r="K238" s="43" t="s">
        <v>103</v>
      </c>
      <c r="L238" s="45">
        <v>0.18</v>
      </c>
      <c r="M238" s="43" t="s">
        <v>118</v>
      </c>
      <c r="N238" s="17" t="str">
        <f t="shared" si="15"/>
        <v>Yes</v>
      </c>
      <c r="O238" s="17" t="str">
        <f t="shared" si="16"/>
        <v>No</v>
      </c>
      <c r="P238" s="18">
        <f t="shared" si="17"/>
        <v>729</v>
      </c>
      <c r="Q238" s="17" t="str">
        <f t="shared" si="18"/>
        <v>Maverick / non-preferred</v>
      </c>
      <c r="R238" s="20" t="str">
        <f t="shared" si="19"/>
        <v>Low</v>
      </c>
    </row>
    <row r="239" spans="1:18" ht="15">
      <c r="A239" s="41">
        <v>235</v>
      </c>
      <c r="B239" s="42">
        <v>45905</v>
      </c>
      <c r="C239" s="43" t="s">
        <v>100</v>
      </c>
      <c r="D239" s="43" t="s">
        <v>21</v>
      </c>
      <c r="E239" s="43" t="s">
        <v>67</v>
      </c>
      <c r="F239" s="43" t="s">
        <v>101</v>
      </c>
      <c r="G239" s="43" t="s">
        <v>107</v>
      </c>
      <c r="H239" s="44">
        <v>13960</v>
      </c>
      <c r="I239" s="43" t="s">
        <v>103</v>
      </c>
      <c r="J239" s="43" t="s">
        <v>103</v>
      </c>
      <c r="K239" s="43" t="s">
        <v>103</v>
      </c>
      <c r="L239" s="45">
        <v>0.06</v>
      </c>
      <c r="M239" s="43" t="s">
        <v>104</v>
      </c>
      <c r="N239" s="17" t="str">
        <f t="shared" si="15"/>
        <v>No</v>
      </c>
      <c r="O239" s="17" t="str">
        <f t="shared" si="16"/>
        <v>No</v>
      </c>
      <c r="P239" s="18">
        <f t="shared" si="17"/>
        <v>837.6</v>
      </c>
      <c r="Q239" s="17" t="str">
        <f t="shared" si="18"/>
        <v>Category sourcing</v>
      </c>
      <c r="R239" s="20" t="str">
        <f t="shared" si="19"/>
        <v>Low</v>
      </c>
    </row>
    <row r="240" spans="1:18" ht="15">
      <c r="A240" s="41">
        <v>236</v>
      </c>
      <c r="B240" s="42">
        <v>45889</v>
      </c>
      <c r="C240" s="43" t="s">
        <v>157</v>
      </c>
      <c r="D240" s="43" t="s">
        <v>21</v>
      </c>
      <c r="E240" s="43" t="s">
        <v>67</v>
      </c>
      <c r="F240" s="43" t="s">
        <v>127</v>
      </c>
      <c r="G240" s="43" t="s">
        <v>102</v>
      </c>
      <c r="H240" s="44">
        <v>8900</v>
      </c>
      <c r="I240" s="43" t="s">
        <v>108</v>
      </c>
      <c r="J240" s="43" t="s">
        <v>108</v>
      </c>
      <c r="K240" s="43" t="s">
        <v>103</v>
      </c>
      <c r="L240" s="45">
        <v>0.06</v>
      </c>
      <c r="M240" s="43" t="s">
        <v>104</v>
      </c>
      <c r="N240" s="17" t="str">
        <f t="shared" si="15"/>
        <v>Yes</v>
      </c>
      <c r="O240" s="17" t="str">
        <f t="shared" si="16"/>
        <v>Yes</v>
      </c>
      <c r="P240" s="18">
        <f t="shared" si="17"/>
        <v>534</v>
      </c>
      <c r="Q240" s="17" t="str">
        <f t="shared" si="18"/>
        <v>Maverick / non-preferred</v>
      </c>
      <c r="R240" s="20" t="str">
        <f t="shared" si="19"/>
        <v>Low</v>
      </c>
    </row>
    <row r="241" spans="1:18" ht="15">
      <c r="A241" s="41">
        <v>237</v>
      </c>
      <c r="B241" s="42">
        <v>45919</v>
      </c>
      <c r="C241" s="43" t="s">
        <v>133</v>
      </c>
      <c r="D241" s="43" t="s">
        <v>17</v>
      </c>
      <c r="E241" s="43" t="s">
        <v>67</v>
      </c>
      <c r="F241" s="43" t="s">
        <v>115</v>
      </c>
      <c r="G241" s="43" t="s">
        <v>107</v>
      </c>
      <c r="H241" s="44">
        <v>57100</v>
      </c>
      <c r="I241" s="43" t="s">
        <v>103</v>
      </c>
      <c r="J241" s="43" t="s">
        <v>103</v>
      </c>
      <c r="K241" s="43" t="s">
        <v>103</v>
      </c>
      <c r="L241" s="45">
        <v>0.08</v>
      </c>
      <c r="M241" s="43" t="s">
        <v>104</v>
      </c>
      <c r="N241" s="17" t="str">
        <f t="shared" si="15"/>
        <v>No</v>
      </c>
      <c r="O241" s="17" t="str">
        <f t="shared" si="16"/>
        <v>No</v>
      </c>
      <c r="P241" s="18">
        <f t="shared" si="17"/>
        <v>4568</v>
      </c>
      <c r="Q241" s="17" t="str">
        <f t="shared" si="18"/>
        <v>Category sourcing</v>
      </c>
      <c r="R241" s="20" t="str">
        <f t="shared" si="19"/>
        <v>Medium</v>
      </c>
    </row>
    <row r="242" spans="1:18" ht="15">
      <c r="A242" s="41">
        <v>238</v>
      </c>
      <c r="B242" s="42">
        <v>45951</v>
      </c>
      <c r="C242" s="43" t="s">
        <v>154</v>
      </c>
      <c r="D242" s="43" t="s">
        <v>21</v>
      </c>
      <c r="E242" s="43" t="s">
        <v>67</v>
      </c>
      <c r="F242" s="43" t="s">
        <v>106</v>
      </c>
      <c r="G242" s="43" t="s">
        <v>102</v>
      </c>
      <c r="H242" s="44">
        <v>10380</v>
      </c>
      <c r="I242" s="43" t="s">
        <v>108</v>
      </c>
      <c r="J242" s="43" t="s">
        <v>108</v>
      </c>
      <c r="K242" s="43" t="s">
        <v>103</v>
      </c>
      <c r="L242" s="45">
        <v>0.06</v>
      </c>
      <c r="M242" s="43" t="s">
        <v>104</v>
      </c>
      <c r="N242" s="17" t="str">
        <f t="shared" si="15"/>
        <v>Yes</v>
      </c>
      <c r="O242" s="17" t="str">
        <f t="shared" si="16"/>
        <v>No</v>
      </c>
      <c r="P242" s="18">
        <f t="shared" si="17"/>
        <v>622.79999999999995</v>
      </c>
      <c r="Q242" s="17" t="str">
        <f t="shared" si="18"/>
        <v>Maverick / non-preferred</v>
      </c>
      <c r="R242" s="20" t="str">
        <f t="shared" si="19"/>
        <v>Low</v>
      </c>
    </row>
    <row r="243" spans="1:18" ht="15">
      <c r="A243" s="41">
        <v>239</v>
      </c>
      <c r="B243" s="42">
        <v>45899</v>
      </c>
      <c r="C243" s="43" t="s">
        <v>160</v>
      </c>
      <c r="D243" s="43" t="s">
        <v>76</v>
      </c>
      <c r="E243" s="43" t="s">
        <v>72</v>
      </c>
      <c r="F243" s="43" t="s">
        <v>115</v>
      </c>
      <c r="G243" s="43" t="s">
        <v>102</v>
      </c>
      <c r="H243" s="44">
        <v>5640</v>
      </c>
      <c r="I243" s="43" t="s">
        <v>103</v>
      </c>
      <c r="J243" s="43" t="s">
        <v>108</v>
      </c>
      <c r="K243" s="43" t="s">
        <v>108</v>
      </c>
      <c r="L243" s="45">
        <v>0.09</v>
      </c>
      <c r="M243" s="43" t="s">
        <v>118</v>
      </c>
      <c r="N243" s="17" t="str">
        <f t="shared" si="15"/>
        <v>Yes</v>
      </c>
      <c r="O243" s="17" t="str">
        <f t="shared" si="16"/>
        <v>No</v>
      </c>
      <c r="P243" s="18">
        <f t="shared" si="17"/>
        <v>0</v>
      </c>
      <c r="Q243" s="17" t="str">
        <f t="shared" si="18"/>
        <v>Maverick / non-preferred</v>
      </c>
      <c r="R243" s="20" t="str">
        <f t="shared" si="19"/>
        <v>Low</v>
      </c>
    </row>
    <row r="244" spans="1:18" ht="15">
      <c r="A244" s="41">
        <v>240</v>
      </c>
      <c r="B244" s="42">
        <v>45767</v>
      </c>
      <c r="C244" s="43" t="s">
        <v>135</v>
      </c>
      <c r="D244" s="43" t="s">
        <v>17</v>
      </c>
      <c r="E244" s="43" t="s">
        <v>67</v>
      </c>
      <c r="F244" s="43" t="s">
        <v>113</v>
      </c>
      <c r="G244" s="43" t="s">
        <v>120</v>
      </c>
      <c r="H244" s="44">
        <v>17800</v>
      </c>
      <c r="I244" s="43" t="s">
        <v>108</v>
      </c>
      <c r="J244" s="43" t="s">
        <v>108</v>
      </c>
      <c r="K244" s="43" t="s">
        <v>103</v>
      </c>
      <c r="L244" s="45">
        <v>0.08</v>
      </c>
      <c r="M244" s="43" t="s">
        <v>104</v>
      </c>
      <c r="N244" s="17" t="str">
        <f t="shared" si="15"/>
        <v>Yes</v>
      </c>
      <c r="O244" s="17" t="str">
        <f t="shared" si="16"/>
        <v>No</v>
      </c>
      <c r="P244" s="18">
        <f t="shared" si="17"/>
        <v>1424</v>
      </c>
      <c r="Q244" s="17" t="str">
        <f t="shared" si="18"/>
        <v>Maverick / non-preferred</v>
      </c>
      <c r="R244" s="20" t="str">
        <f t="shared" si="19"/>
        <v>Low</v>
      </c>
    </row>
    <row r="245" spans="1:18" ht="15">
      <c r="A245" s="41">
        <v>241</v>
      </c>
      <c r="B245" s="42">
        <v>45982</v>
      </c>
      <c r="C245" s="43" t="s">
        <v>149</v>
      </c>
      <c r="D245" s="43" t="s">
        <v>79</v>
      </c>
      <c r="E245" s="43" t="s">
        <v>72</v>
      </c>
      <c r="F245" s="43" t="s">
        <v>101</v>
      </c>
      <c r="G245" s="43" t="s">
        <v>102</v>
      </c>
      <c r="H245" s="44">
        <v>5020</v>
      </c>
      <c r="I245" s="43" t="s">
        <v>103</v>
      </c>
      <c r="J245" s="43" t="s">
        <v>103</v>
      </c>
      <c r="K245" s="43" t="s">
        <v>108</v>
      </c>
      <c r="L245" s="45">
        <v>7.0000000000000007E-2</v>
      </c>
      <c r="M245" s="43" t="s">
        <v>124</v>
      </c>
      <c r="N245" s="17" t="str">
        <f t="shared" si="15"/>
        <v>No</v>
      </c>
      <c r="O245" s="17" t="str">
        <f t="shared" si="16"/>
        <v>No</v>
      </c>
      <c r="P245" s="18">
        <f t="shared" si="17"/>
        <v>0</v>
      </c>
      <c r="Q245" s="17" t="str">
        <f t="shared" si="18"/>
        <v>Non-addressable</v>
      </c>
      <c r="R245" s="20" t="str">
        <f t="shared" si="19"/>
        <v>Low</v>
      </c>
    </row>
    <row r="246" spans="1:18" ht="15">
      <c r="A246" s="41">
        <v>242</v>
      </c>
      <c r="B246" s="42">
        <v>45805</v>
      </c>
      <c r="C246" s="43" t="s">
        <v>146</v>
      </c>
      <c r="D246" s="43" t="s">
        <v>26</v>
      </c>
      <c r="E246" s="43" t="s">
        <v>72</v>
      </c>
      <c r="F246" s="43" t="s">
        <v>106</v>
      </c>
      <c r="G246" s="43" t="s">
        <v>102</v>
      </c>
      <c r="H246" s="44">
        <v>4420</v>
      </c>
      <c r="I246" s="43" t="s">
        <v>108</v>
      </c>
      <c r="J246" s="43" t="s">
        <v>108</v>
      </c>
      <c r="K246" s="43" t="s">
        <v>103</v>
      </c>
      <c r="L246" s="45">
        <v>0.1</v>
      </c>
      <c r="M246" s="43" t="s">
        <v>104</v>
      </c>
      <c r="N246" s="17" t="str">
        <f t="shared" si="15"/>
        <v>Yes</v>
      </c>
      <c r="O246" s="17" t="str">
        <f t="shared" si="16"/>
        <v>No</v>
      </c>
      <c r="P246" s="18">
        <f t="shared" si="17"/>
        <v>442</v>
      </c>
      <c r="Q246" s="17" t="str">
        <f t="shared" si="18"/>
        <v>Maverick / non-preferred</v>
      </c>
      <c r="R246" s="20" t="str">
        <f t="shared" si="19"/>
        <v>Low</v>
      </c>
    </row>
    <row r="247" spans="1:18" ht="15">
      <c r="A247" s="41">
        <v>243</v>
      </c>
      <c r="B247" s="42">
        <v>45794</v>
      </c>
      <c r="C247" s="43" t="s">
        <v>161</v>
      </c>
      <c r="D247" s="43" t="s">
        <v>79</v>
      </c>
      <c r="E247" s="43" t="s">
        <v>72</v>
      </c>
      <c r="F247" s="43" t="s">
        <v>115</v>
      </c>
      <c r="G247" s="43" t="s">
        <v>110</v>
      </c>
      <c r="H247" s="44">
        <v>26390</v>
      </c>
      <c r="I247" s="43" t="s">
        <v>108</v>
      </c>
      <c r="J247" s="43" t="s">
        <v>108</v>
      </c>
      <c r="K247" s="43" t="s">
        <v>108</v>
      </c>
      <c r="L247" s="45">
        <v>7.0000000000000007E-2</v>
      </c>
      <c r="M247" s="43" t="s">
        <v>124</v>
      </c>
      <c r="N247" s="17" t="str">
        <f t="shared" si="15"/>
        <v>Yes</v>
      </c>
      <c r="O247" s="17" t="str">
        <f t="shared" si="16"/>
        <v>Yes</v>
      </c>
      <c r="P247" s="18">
        <f t="shared" si="17"/>
        <v>0</v>
      </c>
      <c r="Q247" s="17" t="str">
        <f t="shared" si="18"/>
        <v>Maverick / non-preferred</v>
      </c>
      <c r="R247" s="20" t="str">
        <f t="shared" si="19"/>
        <v>Low</v>
      </c>
    </row>
    <row r="248" spans="1:18" ht="15">
      <c r="A248" s="41">
        <v>244</v>
      </c>
      <c r="B248" s="42">
        <v>45939</v>
      </c>
      <c r="C248" s="43" t="s">
        <v>129</v>
      </c>
      <c r="D248" s="43" t="s">
        <v>76</v>
      </c>
      <c r="E248" s="43" t="s">
        <v>72</v>
      </c>
      <c r="F248" s="43" t="s">
        <v>115</v>
      </c>
      <c r="G248" s="43" t="s">
        <v>110</v>
      </c>
      <c r="H248" s="44">
        <v>23860</v>
      </c>
      <c r="I248" s="43" t="s">
        <v>108</v>
      </c>
      <c r="J248" s="43" t="s">
        <v>108</v>
      </c>
      <c r="K248" s="43" t="s">
        <v>108</v>
      </c>
      <c r="L248" s="45">
        <v>0.09</v>
      </c>
      <c r="M248" s="43" t="s">
        <v>118</v>
      </c>
      <c r="N248" s="17" t="str">
        <f t="shared" si="15"/>
        <v>Yes</v>
      </c>
      <c r="O248" s="17" t="str">
        <f t="shared" si="16"/>
        <v>No</v>
      </c>
      <c r="P248" s="18">
        <f t="shared" si="17"/>
        <v>0</v>
      </c>
      <c r="Q248" s="17" t="str">
        <f t="shared" si="18"/>
        <v>Maverick / non-preferred</v>
      </c>
      <c r="R248" s="20" t="str">
        <f t="shared" si="19"/>
        <v>Low</v>
      </c>
    </row>
    <row r="249" spans="1:18" ht="15">
      <c r="A249" s="41">
        <v>245</v>
      </c>
      <c r="B249" s="42">
        <v>45677</v>
      </c>
      <c r="C249" s="43" t="s">
        <v>131</v>
      </c>
      <c r="D249" s="43" t="s">
        <v>79</v>
      </c>
      <c r="E249" s="43" t="s">
        <v>72</v>
      </c>
      <c r="F249" s="43" t="s">
        <v>115</v>
      </c>
      <c r="G249" s="43" t="s">
        <v>107</v>
      </c>
      <c r="H249" s="44">
        <v>9460</v>
      </c>
      <c r="I249" s="43" t="s">
        <v>108</v>
      </c>
      <c r="J249" s="43" t="s">
        <v>108</v>
      </c>
      <c r="K249" s="43" t="s">
        <v>108</v>
      </c>
      <c r="L249" s="45">
        <v>7.0000000000000007E-2</v>
      </c>
      <c r="M249" s="43" t="s">
        <v>124</v>
      </c>
      <c r="N249" s="17" t="str">
        <f t="shared" si="15"/>
        <v>Yes</v>
      </c>
      <c r="O249" s="17" t="str">
        <f t="shared" si="16"/>
        <v>No</v>
      </c>
      <c r="P249" s="18">
        <f t="shared" si="17"/>
        <v>0</v>
      </c>
      <c r="Q249" s="17" t="str">
        <f t="shared" si="18"/>
        <v>Maverick / non-preferred</v>
      </c>
      <c r="R249" s="20" t="str">
        <f t="shared" si="19"/>
        <v>Low</v>
      </c>
    </row>
    <row r="250" spans="1:18" ht="15">
      <c r="A250" s="41">
        <v>246</v>
      </c>
      <c r="B250" s="42">
        <v>45829</v>
      </c>
      <c r="C250" s="43" t="s">
        <v>128</v>
      </c>
      <c r="D250" s="43" t="s">
        <v>83</v>
      </c>
      <c r="E250" s="43" t="s">
        <v>67</v>
      </c>
      <c r="F250" s="43" t="s">
        <v>127</v>
      </c>
      <c r="G250" s="43" t="s">
        <v>120</v>
      </c>
      <c r="H250" s="44">
        <v>5850</v>
      </c>
      <c r="I250" s="43" t="s">
        <v>108</v>
      </c>
      <c r="J250" s="43" t="s">
        <v>108</v>
      </c>
      <c r="K250" s="43" t="s">
        <v>108</v>
      </c>
      <c r="L250" s="45">
        <v>0.06</v>
      </c>
      <c r="M250" s="43" t="s">
        <v>104</v>
      </c>
      <c r="N250" s="17" t="str">
        <f t="shared" si="15"/>
        <v>Yes</v>
      </c>
      <c r="O250" s="17" t="str">
        <f t="shared" si="16"/>
        <v>No</v>
      </c>
      <c r="P250" s="18">
        <f t="shared" si="17"/>
        <v>0</v>
      </c>
      <c r="Q250" s="17" t="str">
        <f t="shared" si="18"/>
        <v>Maverick / non-preferred</v>
      </c>
      <c r="R250" s="20" t="str">
        <f t="shared" si="19"/>
        <v>Low</v>
      </c>
    </row>
    <row r="251" spans="1:18" ht="15">
      <c r="A251" s="41">
        <v>247</v>
      </c>
      <c r="B251" s="42">
        <v>45662</v>
      </c>
      <c r="C251" s="43" t="s">
        <v>149</v>
      </c>
      <c r="D251" s="43" t="s">
        <v>79</v>
      </c>
      <c r="E251" s="43" t="s">
        <v>72</v>
      </c>
      <c r="F251" s="43" t="s">
        <v>101</v>
      </c>
      <c r="G251" s="43" t="s">
        <v>102</v>
      </c>
      <c r="H251" s="44">
        <v>85870</v>
      </c>
      <c r="I251" s="43" t="s">
        <v>103</v>
      </c>
      <c r="J251" s="43" t="s">
        <v>103</v>
      </c>
      <c r="K251" s="43" t="s">
        <v>108</v>
      </c>
      <c r="L251" s="45">
        <v>7.0000000000000007E-2</v>
      </c>
      <c r="M251" s="43" t="s">
        <v>124</v>
      </c>
      <c r="N251" s="17" t="str">
        <f t="shared" si="15"/>
        <v>No</v>
      </c>
      <c r="O251" s="17" t="str">
        <f t="shared" si="16"/>
        <v>No</v>
      </c>
      <c r="P251" s="18">
        <f t="shared" si="17"/>
        <v>0</v>
      </c>
      <c r="Q251" s="17" t="str">
        <f t="shared" si="18"/>
        <v>Non-addressable</v>
      </c>
      <c r="R251" s="20" t="str">
        <f t="shared" si="19"/>
        <v>Low</v>
      </c>
    </row>
    <row r="252" spans="1:18" ht="15">
      <c r="A252" s="41">
        <v>248</v>
      </c>
      <c r="B252" s="42">
        <v>45923</v>
      </c>
      <c r="C252" s="43" t="s">
        <v>112</v>
      </c>
      <c r="D252" s="43" t="s">
        <v>23</v>
      </c>
      <c r="E252" s="43" t="s">
        <v>72</v>
      </c>
      <c r="F252" s="43" t="s">
        <v>106</v>
      </c>
      <c r="G252" s="43" t="s">
        <v>102</v>
      </c>
      <c r="H252" s="44">
        <v>2390</v>
      </c>
      <c r="I252" s="43" t="s">
        <v>108</v>
      </c>
      <c r="J252" s="43" t="s">
        <v>108</v>
      </c>
      <c r="K252" s="43" t="s">
        <v>103</v>
      </c>
      <c r="L252" s="45">
        <v>0.15</v>
      </c>
      <c r="M252" s="43" t="s">
        <v>114</v>
      </c>
      <c r="N252" s="17" t="str">
        <f t="shared" si="15"/>
        <v>Yes</v>
      </c>
      <c r="O252" s="17" t="str">
        <f t="shared" si="16"/>
        <v>No</v>
      </c>
      <c r="P252" s="18">
        <f t="shared" si="17"/>
        <v>358.5</v>
      </c>
      <c r="Q252" s="17" t="str">
        <f t="shared" si="18"/>
        <v>Maverick / non-preferred</v>
      </c>
      <c r="R252" s="20" t="str">
        <f t="shared" si="19"/>
        <v>Low</v>
      </c>
    </row>
    <row r="253" spans="1:18" ht="15">
      <c r="A253" s="41">
        <v>249</v>
      </c>
      <c r="B253" s="42">
        <v>45689</v>
      </c>
      <c r="C253" s="43" t="s">
        <v>146</v>
      </c>
      <c r="D253" s="43" t="s">
        <v>26</v>
      </c>
      <c r="E253" s="43" t="s">
        <v>72</v>
      </c>
      <c r="F253" s="43" t="s">
        <v>115</v>
      </c>
      <c r="G253" s="43" t="s">
        <v>107</v>
      </c>
      <c r="H253" s="44">
        <v>1610</v>
      </c>
      <c r="I253" s="43" t="s">
        <v>103</v>
      </c>
      <c r="J253" s="43" t="s">
        <v>108</v>
      </c>
      <c r="K253" s="43" t="s">
        <v>103</v>
      </c>
      <c r="L253" s="45">
        <v>0.1</v>
      </c>
      <c r="M253" s="43" t="s">
        <v>104</v>
      </c>
      <c r="N253" s="17" t="str">
        <f t="shared" si="15"/>
        <v>Yes</v>
      </c>
      <c r="O253" s="17" t="str">
        <f t="shared" si="16"/>
        <v>No</v>
      </c>
      <c r="P253" s="18">
        <f t="shared" si="17"/>
        <v>161</v>
      </c>
      <c r="Q253" s="17" t="str">
        <f t="shared" si="18"/>
        <v>Maverick / non-preferred</v>
      </c>
      <c r="R253" s="20" t="str">
        <f t="shared" si="19"/>
        <v>Low</v>
      </c>
    </row>
    <row r="254" spans="1:18" ht="15">
      <c r="A254" s="41">
        <v>250</v>
      </c>
      <c r="B254" s="42">
        <v>45912</v>
      </c>
      <c r="C254" s="43" t="s">
        <v>155</v>
      </c>
      <c r="D254" s="43" t="s">
        <v>19</v>
      </c>
      <c r="E254" s="43" t="s">
        <v>72</v>
      </c>
      <c r="F254" s="43" t="s">
        <v>106</v>
      </c>
      <c r="G254" s="43" t="s">
        <v>110</v>
      </c>
      <c r="H254" s="44">
        <v>4920</v>
      </c>
      <c r="I254" s="43" t="s">
        <v>108</v>
      </c>
      <c r="J254" s="43" t="s">
        <v>108</v>
      </c>
      <c r="K254" s="43" t="s">
        <v>103</v>
      </c>
      <c r="L254" s="45">
        <v>0.12</v>
      </c>
      <c r="M254" s="43" t="s">
        <v>114</v>
      </c>
      <c r="N254" s="17" t="str">
        <f t="shared" si="15"/>
        <v>Yes</v>
      </c>
      <c r="O254" s="17" t="str">
        <f t="shared" si="16"/>
        <v>No</v>
      </c>
      <c r="P254" s="18">
        <f t="shared" si="17"/>
        <v>590.4</v>
      </c>
      <c r="Q254" s="17" t="str">
        <f t="shared" si="18"/>
        <v>Maverick / non-preferred</v>
      </c>
      <c r="R254" s="20" t="str">
        <f t="shared" si="19"/>
        <v>Low</v>
      </c>
    </row>
    <row r="255" spans="1:18" ht="15">
      <c r="A255" s="41">
        <v>251</v>
      </c>
      <c r="B255" s="42">
        <v>45778</v>
      </c>
      <c r="C255" s="43" t="s">
        <v>122</v>
      </c>
      <c r="D255" s="43" t="s">
        <v>83</v>
      </c>
      <c r="E255" s="43" t="s">
        <v>67</v>
      </c>
      <c r="F255" s="43" t="s">
        <v>127</v>
      </c>
      <c r="G255" s="43" t="s">
        <v>110</v>
      </c>
      <c r="H255" s="44">
        <v>23020</v>
      </c>
      <c r="I255" s="43" t="s">
        <v>108</v>
      </c>
      <c r="J255" s="43" t="s">
        <v>108</v>
      </c>
      <c r="K255" s="43" t="s">
        <v>108</v>
      </c>
      <c r="L255" s="45">
        <v>0.06</v>
      </c>
      <c r="M255" s="43" t="s">
        <v>104</v>
      </c>
      <c r="N255" s="17" t="str">
        <f t="shared" si="15"/>
        <v>Yes</v>
      </c>
      <c r="O255" s="17" t="str">
        <f t="shared" si="16"/>
        <v>No</v>
      </c>
      <c r="P255" s="18">
        <f t="shared" si="17"/>
        <v>0</v>
      </c>
      <c r="Q255" s="17" t="str">
        <f t="shared" si="18"/>
        <v>Maverick / non-preferred</v>
      </c>
      <c r="R255" s="20" t="str">
        <f t="shared" si="19"/>
        <v>Low</v>
      </c>
    </row>
    <row r="256" spans="1:18" ht="15">
      <c r="A256" s="41">
        <v>252</v>
      </c>
      <c r="B256" s="42">
        <v>45870</v>
      </c>
      <c r="C256" s="43" t="s">
        <v>149</v>
      </c>
      <c r="D256" s="43" t="s">
        <v>79</v>
      </c>
      <c r="E256" s="43" t="s">
        <v>72</v>
      </c>
      <c r="F256" s="43" t="s">
        <v>113</v>
      </c>
      <c r="G256" s="43" t="s">
        <v>102</v>
      </c>
      <c r="H256" s="44">
        <v>74610</v>
      </c>
      <c r="I256" s="43" t="s">
        <v>103</v>
      </c>
      <c r="J256" s="43" t="s">
        <v>103</v>
      </c>
      <c r="K256" s="43" t="s">
        <v>108</v>
      </c>
      <c r="L256" s="45">
        <v>7.0000000000000007E-2</v>
      </c>
      <c r="M256" s="43" t="s">
        <v>124</v>
      </c>
      <c r="N256" s="17" t="str">
        <f t="shared" si="15"/>
        <v>No</v>
      </c>
      <c r="O256" s="17" t="str">
        <f t="shared" si="16"/>
        <v>No</v>
      </c>
      <c r="P256" s="18">
        <f t="shared" si="17"/>
        <v>0</v>
      </c>
      <c r="Q256" s="17" t="str">
        <f t="shared" si="18"/>
        <v>Non-addressable</v>
      </c>
      <c r="R256" s="20" t="str">
        <f t="shared" si="19"/>
        <v>Low</v>
      </c>
    </row>
    <row r="257" spans="1:18" ht="15">
      <c r="A257" s="41">
        <v>253</v>
      </c>
      <c r="B257" s="42">
        <v>45974</v>
      </c>
      <c r="C257" s="43" t="s">
        <v>152</v>
      </c>
      <c r="D257" s="43" t="s">
        <v>19</v>
      </c>
      <c r="E257" s="43" t="s">
        <v>72</v>
      </c>
      <c r="F257" s="43" t="s">
        <v>115</v>
      </c>
      <c r="G257" s="43" t="s">
        <v>102</v>
      </c>
      <c r="H257" s="44">
        <v>4790</v>
      </c>
      <c r="I257" s="43" t="s">
        <v>108</v>
      </c>
      <c r="J257" s="43" t="s">
        <v>103</v>
      </c>
      <c r="K257" s="43" t="s">
        <v>103</v>
      </c>
      <c r="L257" s="45">
        <v>0.12</v>
      </c>
      <c r="M257" s="43" t="s">
        <v>114</v>
      </c>
      <c r="N257" s="17" t="str">
        <f t="shared" si="15"/>
        <v>Yes</v>
      </c>
      <c r="O257" s="17" t="str">
        <f t="shared" si="16"/>
        <v>No</v>
      </c>
      <c r="P257" s="18">
        <f t="shared" si="17"/>
        <v>574.79999999999995</v>
      </c>
      <c r="Q257" s="17" t="str">
        <f t="shared" si="18"/>
        <v>Maverick / non-preferred</v>
      </c>
      <c r="R257" s="20" t="str">
        <f t="shared" si="19"/>
        <v>Low</v>
      </c>
    </row>
    <row r="258" spans="1:18" ht="15">
      <c r="A258" s="41">
        <v>254</v>
      </c>
      <c r="B258" s="42">
        <v>45978</v>
      </c>
      <c r="C258" s="43" t="s">
        <v>158</v>
      </c>
      <c r="D258" s="43" t="s">
        <v>26</v>
      </c>
      <c r="E258" s="43" t="s">
        <v>72</v>
      </c>
      <c r="F258" s="43" t="s">
        <v>101</v>
      </c>
      <c r="G258" s="43" t="s">
        <v>110</v>
      </c>
      <c r="H258" s="44">
        <v>5960</v>
      </c>
      <c r="I258" s="43" t="s">
        <v>103</v>
      </c>
      <c r="J258" s="43" t="s">
        <v>103</v>
      </c>
      <c r="K258" s="43" t="s">
        <v>103</v>
      </c>
      <c r="L258" s="45">
        <v>0.1</v>
      </c>
      <c r="M258" s="43" t="s">
        <v>104</v>
      </c>
      <c r="N258" s="17" t="str">
        <f t="shared" si="15"/>
        <v>No</v>
      </c>
      <c r="O258" s="17" t="str">
        <f t="shared" si="16"/>
        <v>Yes</v>
      </c>
      <c r="P258" s="18">
        <f t="shared" si="17"/>
        <v>596</v>
      </c>
      <c r="Q258" s="17" t="str">
        <f t="shared" si="18"/>
        <v>Tail consolidation</v>
      </c>
      <c r="R258" s="20" t="str">
        <f t="shared" si="19"/>
        <v>Low</v>
      </c>
    </row>
    <row r="259" spans="1:18" ht="15">
      <c r="A259" s="41">
        <v>255</v>
      </c>
      <c r="B259" s="42">
        <v>45988</v>
      </c>
      <c r="C259" s="43" t="s">
        <v>126</v>
      </c>
      <c r="D259" s="43" t="s">
        <v>23</v>
      </c>
      <c r="E259" s="43" t="s">
        <v>72</v>
      </c>
      <c r="F259" s="43" t="s">
        <v>115</v>
      </c>
      <c r="G259" s="43" t="s">
        <v>102</v>
      </c>
      <c r="H259" s="44">
        <v>4820</v>
      </c>
      <c r="I259" s="43" t="s">
        <v>108</v>
      </c>
      <c r="J259" s="43" t="s">
        <v>108</v>
      </c>
      <c r="K259" s="43" t="s">
        <v>103</v>
      </c>
      <c r="L259" s="45">
        <v>0.15</v>
      </c>
      <c r="M259" s="43" t="s">
        <v>114</v>
      </c>
      <c r="N259" s="17" t="str">
        <f t="shared" si="15"/>
        <v>Yes</v>
      </c>
      <c r="O259" s="17" t="str">
        <f t="shared" si="16"/>
        <v>No</v>
      </c>
      <c r="P259" s="18">
        <f t="shared" si="17"/>
        <v>723</v>
      </c>
      <c r="Q259" s="17" t="str">
        <f t="shared" si="18"/>
        <v>Maverick / non-preferred</v>
      </c>
      <c r="R259" s="20" t="str">
        <f t="shared" si="19"/>
        <v>Low</v>
      </c>
    </row>
    <row r="260" spans="1:18" ht="15">
      <c r="A260" s="41">
        <v>256</v>
      </c>
      <c r="B260" s="42">
        <v>45764</v>
      </c>
      <c r="C260" s="43" t="s">
        <v>131</v>
      </c>
      <c r="D260" s="43" t="s">
        <v>79</v>
      </c>
      <c r="E260" s="43" t="s">
        <v>72</v>
      </c>
      <c r="F260" s="43" t="s">
        <v>101</v>
      </c>
      <c r="G260" s="43" t="s">
        <v>120</v>
      </c>
      <c r="H260" s="44">
        <v>15050</v>
      </c>
      <c r="I260" s="43" t="s">
        <v>108</v>
      </c>
      <c r="J260" s="43" t="s">
        <v>108</v>
      </c>
      <c r="K260" s="43" t="s">
        <v>108</v>
      </c>
      <c r="L260" s="45">
        <v>7.0000000000000007E-2</v>
      </c>
      <c r="M260" s="43" t="s">
        <v>124</v>
      </c>
      <c r="N260" s="17" t="str">
        <f t="shared" si="15"/>
        <v>Yes</v>
      </c>
      <c r="O260" s="17" t="str">
        <f t="shared" si="16"/>
        <v>No</v>
      </c>
      <c r="P260" s="18">
        <f t="shared" si="17"/>
        <v>0</v>
      </c>
      <c r="Q260" s="17" t="str">
        <f t="shared" si="18"/>
        <v>Maverick / non-preferred</v>
      </c>
      <c r="R260" s="20" t="str">
        <f t="shared" si="19"/>
        <v>Low</v>
      </c>
    </row>
    <row r="261" spans="1:18" ht="15">
      <c r="A261" s="41">
        <v>257</v>
      </c>
      <c r="B261" s="42">
        <v>45809</v>
      </c>
      <c r="C261" s="43" t="s">
        <v>130</v>
      </c>
      <c r="D261" s="43" t="s">
        <v>17</v>
      </c>
      <c r="E261" s="43" t="s">
        <v>67</v>
      </c>
      <c r="F261" s="43" t="s">
        <v>101</v>
      </c>
      <c r="G261" s="43" t="s">
        <v>110</v>
      </c>
      <c r="H261" s="44">
        <v>22920</v>
      </c>
      <c r="I261" s="43" t="s">
        <v>108</v>
      </c>
      <c r="J261" s="43" t="s">
        <v>108</v>
      </c>
      <c r="K261" s="43" t="s">
        <v>103</v>
      </c>
      <c r="L261" s="45">
        <v>0.08</v>
      </c>
      <c r="M261" s="43" t="s">
        <v>104</v>
      </c>
      <c r="N261" s="17" t="str">
        <f t="shared" ref="N261:N304" si="20">IF(OR(I261="No",J261="No"),"Yes","No")</f>
        <v>Yes</v>
      </c>
      <c r="O261" s="17" t="str">
        <f t="shared" ref="O261:O304" si="21">IF(COUNTIFS($C:$C,C261)&lt;5,"Yes","No")</f>
        <v>No</v>
      </c>
      <c r="P261" s="18">
        <f t="shared" ref="P261:P304" si="22">IF(K261="Yes",H261*L261,0)</f>
        <v>1833.6000000000001</v>
      </c>
      <c r="Q261" s="17" t="str">
        <f t="shared" ref="Q261:Q304" si="23">IF(N261="Yes","Maverick / non-preferred",IF(O261="Yes","Tail consolidation",IF(K261="Yes","Category sourcing","Non-addressable")))</f>
        <v>Maverick / non-preferred</v>
      </c>
      <c r="R261" s="20" t="str">
        <f t="shared" ref="R261:R304" si="24">IF(P261&gt;=10000,"High",IF(P261&gt;=3000,"Medium","Low"))</f>
        <v>Low</v>
      </c>
    </row>
    <row r="262" spans="1:18" ht="15">
      <c r="A262" s="41">
        <v>258</v>
      </c>
      <c r="B262" s="42">
        <v>45980</v>
      </c>
      <c r="C262" s="43" t="s">
        <v>129</v>
      </c>
      <c r="D262" s="43" t="s">
        <v>76</v>
      </c>
      <c r="E262" s="43" t="s">
        <v>72</v>
      </c>
      <c r="F262" s="43" t="s">
        <v>106</v>
      </c>
      <c r="G262" s="43" t="s">
        <v>107</v>
      </c>
      <c r="H262" s="44">
        <v>10790</v>
      </c>
      <c r="I262" s="43" t="s">
        <v>103</v>
      </c>
      <c r="J262" s="43" t="s">
        <v>108</v>
      </c>
      <c r="K262" s="43" t="s">
        <v>108</v>
      </c>
      <c r="L262" s="45">
        <v>0.09</v>
      </c>
      <c r="M262" s="43" t="s">
        <v>118</v>
      </c>
      <c r="N262" s="17" t="str">
        <f t="shared" si="20"/>
        <v>Yes</v>
      </c>
      <c r="O262" s="17" t="str">
        <f t="shared" si="21"/>
        <v>No</v>
      </c>
      <c r="P262" s="18">
        <f t="shared" si="22"/>
        <v>0</v>
      </c>
      <c r="Q262" s="17" t="str">
        <f t="shared" si="23"/>
        <v>Maverick / non-preferred</v>
      </c>
      <c r="R262" s="20" t="str">
        <f t="shared" si="24"/>
        <v>Low</v>
      </c>
    </row>
    <row r="263" spans="1:18" ht="15">
      <c r="A263" s="41">
        <v>259</v>
      </c>
      <c r="B263" s="42">
        <v>45954</v>
      </c>
      <c r="C263" s="43" t="s">
        <v>129</v>
      </c>
      <c r="D263" s="43" t="s">
        <v>76</v>
      </c>
      <c r="E263" s="43" t="s">
        <v>72</v>
      </c>
      <c r="F263" s="43" t="s">
        <v>127</v>
      </c>
      <c r="G263" s="43" t="s">
        <v>107</v>
      </c>
      <c r="H263" s="44">
        <v>55020</v>
      </c>
      <c r="I263" s="43" t="s">
        <v>103</v>
      </c>
      <c r="J263" s="43" t="s">
        <v>108</v>
      </c>
      <c r="K263" s="43" t="s">
        <v>108</v>
      </c>
      <c r="L263" s="45">
        <v>0.09</v>
      </c>
      <c r="M263" s="43" t="s">
        <v>118</v>
      </c>
      <c r="N263" s="17" t="str">
        <f t="shared" si="20"/>
        <v>Yes</v>
      </c>
      <c r="O263" s="17" t="str">
        <f t="shared" si="21"/>
        <v>No</v>
      </c>
      <c r="P263" s="18">
        <f t="shared" si="22"/>
        <v>0</v>
      </c>
      <c r="Q263" s="17" t="str">
        <f t="shared" si="23"/>
        <v>Maverick / non-preferred</v>
      </c>
      <c r="R263" s="20" t="str">
        <f t="shared" si="24"/>
        <v>Low</v>
      </c>
    </row>
    <row r="264" spans="1:18" ht="15">
      <c r="A264" s="41">
        <v>260</v>
      </c>
      <c r="B264" s="42">
        <v>45735</v>
      </c>
      <c r="C264" s="43" t="s">
        <v>131</v>
      </c>
      <c r="D264" s="43" t="s">
        <v>79</v>
      </c>
      <c r="E264" s="43" t="s">
        <v>72</v>
      </c>
      <c r="F264" s="43" t="s">
        <v>101</v>
      </c>
      <c r="G264" s="43" t="s">
        <v>120</v>
      </c>
      <c r="H264" s="44">
        <v>38760</v>
      </c>
      <c r="I264" s="43" t="s">
        <v>108</v>
      </c>
      <c r="J264" s="43" t="s">
        <v>108</v>
      </c>
      <c r="K264" s="43" t="s">
        <v>108</v>
      </c>
      <c r="L264" s="45">
        <v>7.0000000000000007E-2</v>
      </c>
      <c r="M264" s="43" t="s">
        <v>124</v>
      </c>
      <c r="N264" s="17" t="str">
        <f t="shared" si="20"/>
        <v>Yes</v>
      </c>
      <c r="O264" s="17" t="str">
        <f t="shared" si="21"/>
        <v>No</v>
      </c>
      <c r="P264" s="18">
        <f t="shared" si="22"/>
        <v>0</v>
      </c>
      <c r="Q264" s="17" t="str">
        <f t="shared" si="23"/>
        <v>Maverick / non-preferred</v>
      </c>
      <c r="R264" s="20" t="str">
        <f t="shared" si="24"/>
        <v>Low</v>
      </c>
    </row>
    <row r="265" spans="1:18" ht="15">
      <c r="A265" s="41">
        <v>261</v>
      </c>
      <c r="B265" s="42">
        <v>45997</v>
      </c>
      <c r="C265" s="43" t="s">
        <v>131</v>
      </c>
      <c r="D265" s="43" t="s">
        <v>79</v>
      </c>
      <c r="E265" s="43" t="s">
        <v>72</v>
      </c>
      <c r="F265" s="43" t="s">
        <v>101</v>
      </c>
      <c r="G265" s="43" t="s">
        <v>120</v>
      </c>
      <c r="H265" s="44">
        <v>2970</v>
      </c>
      <c r="I265" s="43" t="s">
        <v>108</v>
      </c>
      <c r="J265" s="43" t="s">
        <v>108</v>
      </c>
      <c r="K265" s="43" t="s">
        <v>108</v>
      </c>
      <c r="L265" s="45">
        <v>7.0000000000000007E-2</v>
      </c>
      <c r="M265" s="43" t="s">
        <v>124</v>
      </c>
      <c r="N265" s="17" t="str">
        <f t="shared" si="20"/>
        <v>Yes</v>
      </c>
      <c r="O265" s="17" t="str">
        <f t="shared" si="21"/>
        <v>No</v>
      </c>
      <c r="P265" s="18">
        <f t="shared" si="22"/>
        <v>0</v>
      </c>
      <c r="Q265" s="17" t="str">
        <f t="shared" si="23"/>
        <v>Maverick / non-preferred</v>
      </c>
      <c r="R265" s="20" t="str">
        <f t="shared" si="24"/>
        <v>Low</v>
      </c>
    </row>
    <row r="266" spans="1:18" ht="15">
      <c r="A266" s="41">
        <v>262</v>
      </c>
      <c r="B266" s="42">
        <v>45713</v>
      </c>
      <c r="C266" s="43" t="s">
        <v>142</v>
      </c>
      <c r="D266" s="43" t="s">
        <v>23</v>
      </c>
      <c r="E266" s="43" t="s">
        <v>72</v>
      </c>
      <c r="F266" s="43" t="s">
        <v>113</v>
      </c>
      <c r="G266" s="43" t="s">
        <v>120</v>
      </c>
      <c r="H266" s="44">
        <v>3470</v>
      </c>
      <c r="I266" s="43" t="s">
        <v>103</v>
      </c>
      <c r="J266" s="43" t="s">
        <v>103</v>
      </c>
      <c r="K266" s="43" t="s">
        <v>103</v>
      </c>
      <c r="L266" s="45">
        <v>0.15</v>
      </c>
      <c r="M266" s="43" t="s">
        <v>114</v>
      </c>
      <c r="N266" s="17" t="str">
        <f t="shared" si="20"/>
        <v>No</v>
      </c>
      <c r="O266" s="17" t="str">
        <f t="shared" si="21"/>
        <v>No</v>
      </c>
      <c r="P266" s="18">
        <f t="shared" si="22"/>
        <v>520.5</v>
      </c>
      <c r="Q266" s="17" t="str">
        <f t="shared" si="23"/>
        <v>Category sourcing</v>
      </c>
      <c r="R266" s="20" t="str">
        <f t="shared" si="24"/>
        <v>Low</v>
      </c>
    </row>
    <row r="267" spans="1:18" ht="15">
      <c r="A267" s="41">
        <v>263</v>
      </c>
      <c r="B267" s="42">
        <v>45803</v>
      </c>
      <c r="C267" s="43" t="s">
        <v>153</v>
      </c>
      <c r="D267" s="43" t="s">
        <v>76</v>
      </c>
      <c r="E267" s="43" t="s">
        <v>72</v>
      </c>
      <c r="F267" s="43" t="s">
        <v>101</v>
      </c>
      <c r="G267" s="43" t="s">
        <v>110</v>
      </c>
      <c r="H267" s="44">
        <v>15380</v>
      </c>
      <c r="I267" s="43" t="s">
        <v>103</v>
      </c>
      <c r="J267" s="43" t="s">
        <v>103</v>
      </c>
      <c r="K267" s="43" t="s">
        <v>108</v>
      </c>
      <c r="L267" s="45">
        <v>0.09</v>
      </c>
      <c r="M267" s="43" t="s">
        <v>118</v>
      </c>
      <c r="N267" s="17" t="str">
        <f t="shared" si="20"/>
        <v>No</v>
      </c>
      <c r="O267" s="17" t="str">
        <f t="shared" si="21"/>
        <v>No</v>
      </c>
      <c r="P267" s="18">
        <f t="shared" si="22"/>
        <v>0</v>
      </c>
      <c r="Q267" s="17" t="str">
        <f t="shared" si="23"/>
        <v>Non-addressable</v>
      </c>
      <c r="R267" s="20" t="str">
        <f t="shared" si="24"/>
        <v>Low</v>
      </c>
    </row>
    <row r="268" spans="1:18" ht="15">
      <c r="A268" s="41">
        <v>264</v>
      </c>
      <c r="B268" s="42">
        <v>46016</v>
      </c>
      <c r="C268" s="43" t="s">
        <v>160</v>
      </c>
      <c r="D268" s="43" t="s">
        <v>76</v>
      </c>
      <c r="E268" s="43" t="s">
        <v>72</v>
      </c>
      <c r="F268" s="43" t="s">
        <v>113</v>
      </c>
      <c r="G268" s="43" t="s">
        <v>102</v>
      </c>
      <c r="H268" s="44">
        <v>12390</v>
      </c>
      <c r="I268" s="43" t="s">
        <v>108</v>
      </c>
      <c r="J268" s="43" t="s">
        <v>108</v>
      </c>
      <c r="K268" s="43" t="s">
        <v>108</v>
      </c>
      <c r="L268" s="45">
        <v>0.09</v>
      </c>
      <c r="M268" s="43" t="s">
        <v>118</v>
      </c>
      <c r="N268" s="17" t="str">
        <f t="shared" si="20"/>
        <v>Yes</v>
      </c>
      <c r="O268" s="17" t="str">
        <f t="shared" si="21"/>
        <v>No</v>
      </c>
      <c r="P268" s="18">
        <f t="shared" si="22"/>
        <v>0</v>
      </c>
      <c r="Q268" s="17" t="str">
        <f t="shared" si="23"/>
        <v>Maverick / non-preferred</v>
      </c>
      <c r="R268" s="20" t="str">
        <f t="shared" si="24"/>
        <v>Low</v>
      </c>
    </row>
    <row r="269" spans="1:18" ht="15">
      <c r="A269" s="41">
        <v>265</v>
      </c>
      <c r="B269" s="42">
        <v>45973</v>
      </c>
      <c r="C269" s="43" t="s">
        <v>112</v>
      </c>
      <c r="D269" s="43" t="s">
        <v>23</v>
      </c>
      <c r="E269" s="43" t="s">
        <v>72</v>
      </c>
      <c r="F269" s="43" t="s">
        <v>113</v>
      </c>
      <c r="G269" s="43" t="s">
        <v>107</v>
      </c>
      <c r="H269" s="44">
        <v>7190</v>
      </c>
      <c r="I269" s="43" t="s">
        <v>108</v>
      </c>
      <c r="J269" s="43" t="s">
        <v>108</v>
      </c>
      <c r="K269" s="43" t="s">
        <v>103</v>
      </c>
      <c r="L269" s="45">
        <v>0.15</v>
      </c>
      <c r="M269" s="43" t="s">
        <v>114</v>
      </c>
      <c r="N269" s="17" t="str">
        <f t="shared" si="20"/>
        <v>Yes</v>
      </c>
      <c r="O269" s="17" t="str">
        <f t="shared" si="21"/>
        <v>No</v>
      </c>
      <c r="P269" s="18">
        <f t="shared" si="22"/>
        <v>1078.5</v>
      </c>
      <c r="Q269" s="17" t="str">
        <f t="shared" si="23"/>
        <v>Maverick / non-preferred</v>
      </c>
      <c r="R269" s="20" t="str">
        <f t="shared" si="24"/>
        <v>Low</v>
      </c>
    </row>
    <row r="270" spans="1:18" ht="15">
      <c r="A270" s="41">
        <v>266</v>
      </c>
      <c r="B270" s="42">
        <v>45829</v>
      </c>
      <c r="C270" s="43" t="s">
        <v>160</v>
      </c>
      <c r="D270" s="43" t="s">
        <v>76</v>
      </c>
      <c r="E270" s="43" t="s">
        <v>72</v>
      </c>
      <c r="F270" s="43" t="s">
        <v>101</v>
      </c>
      <c r="G270" s="43" t="s">
        <v>107</v>
      </c>
      <c r="H270" s="44">
        <v>7750</v>
      </c>
      <c r="I270" s="43" t="s">
        <v>108</v>
      </c>
      <c r="J270" s="43" t="s">
        <v>108</v>
      </c>
      <c r="K270" s="43" t="s">
        <v>108</v>
      </c>
      <c r="L270" s="45">
        <v>0.09</v>
      </c>
      <c r="M270" s="43" t="s">
        <v>118</v>
      </c>
      <c r="N270" s="17" t="str">
        <f t="shared" si="20"/>
        <v>Yes</v>
      </c>
      <c r="O270" s="17" t="str">
        <f t="shared" si="21"/>
        <v>No</v>
      </c>
      <c r="P270" s="18">
        <f t="shared" si="22"/>
        <v>0</v>
      </c>
      <c r="Q270" s="17" t="str">
        <f t="shared" si="23"/>
        <v>Maverick / non-preferred</v>
      </c>
      <c r="R270" s="20" t="str">
        <f t="shared" si="24"/>
        <v>Low</v>
      </c>
    </row>
    <row r="271" spans="1:18" ht="15">
      <c r="A271" s="41">
        <v>267</v>
      </c>
      <c r="B271" s="42">
        <v>45918</v>
      </c>
      <c r="C271" s="43" t="s">
        <v>155</v>
      </c>
      <c r="D271" s="43" t="s">
        <v>19</v>
      </c>
      <c r="E271" s="43" t="s">
        <v>72</v>
      </c>
      <c r="F271" s="43" t="s">
        <v>113</v>
      </c>
      <c r="G271" s="43" t="s">
        <v>120</v>
      </c>
      <c r="H271" s="44">
        <v>3440</v>
      </c>
      <c r="I271" s="43" t="s">
        <v>103</v>
      </c>
      <c r="J271" s="43" t="s">
        <v>108</v>
      </c>
      <c r="K271" s="43" t="s">
        <v>103</v>
      </c>
      <c r="L271" s="45">
        <v>0.12</v>
      </c>
      <c r="M271" s="43" t="s">
        <v>114</v>
      </c>
      <c r="N271" s="17" t="str">
        <f t="shared" si="20"/>
        <v>Yes</v>
      </c>
      <c r="O271" s="17" t="str">
        <f t="shared" si="21"/>
        <v>No</v>
      </c>
      <c r="P271" s="18">
        <f t="shared" si="22"/>
        <v>412.8</v>
      </c>
      <c r="Q271" s="17" t="str">
        <f t="shared" si="23"/>
        <v>Maverick / non-preferred</v>
      </c>
      <c r="R271" s="20" t="str">
        <f t="shared" si="24"/>
        <v>Low</v>
      </c>
    </row>
    <row r="272" spans="1:18" ht="15">
      <c r="A272" s="41">
        <v>268</v>
      </c>
      <c r="B272" s="42">
        <v>45948</v>
      </c>
      <c r="C272" s="43" t="s">
        <v>133</v>
      </c>
      <c r="D272" s="43" t="s">
        <v>17</v>
      </c>
      <c r="E272" s="43" t="s">
        <v>67</v>
      </c>
      <c r="F272" s="43" t="s">
        <v>115</v>
      </c>
      <c r="G272" s="43" t="s">
        <v>102</v>
      </c>
      <c r="H272" s="44">
        <v>17230</v>
      </c>
      <c r="I272" s="43" t="s">
        <v>103</v>
      </c>
      <c r="J272" s="43" t="s">
        <v>103</v>
      </c>
      <c r="K272" s="43" t="s">
        <v>103</v>
      </c>
      <c r="L272" s="45">
        <v>0.08</v>
      </c>
      <c r="M272" s="43" t="s">
        <v>104</v>
      </c>
      <c r="N272" s="17" t="str">
        <f t="shared" si="20"/>
        <v>No</v>
      </c>
      <c r="O272" s="17" t="str">
        <f t="shared" si="21"/>
        <v>No</v>
      </c>
      <c r="P272" s="18">
        <f t="shared" si="22"/>
        <v>1378.4</v>
      </c>
      <c r="Q272" s="17" t="str">
        <f t="shared" si="23"/>
        <v>Category sourcing</v>
      </c>
      <c r="R272" s="20" t="str">
        <f t="shared" si="24"/>
        <v>Low</v>
      </c>
    </row>
    <row r="273" spans="1:18" ht="15">
      <c r="A273" s="41">
        <v>269</v>
      </c>
      <c r="B273" s="42">
        <v>45714</v>
      </c>
      <c r="C273" s="43" t="s">
        <v>128</v>
      </c>
      <c r="D273" s="43" t="s">
        <v>83</v>
      </c>
      <c r="E273" s="43" t="s">
        <v>67</v>
      </c>
      <c r="F273" s="43" t="s">
        <v>127</v>
      </c>
      <c r="G273" s="43" t="s">
        <v>110</v>
      </c>
      <c r="H273" s="44">
        <v>58930</v>
      </c>
      <c r="I273" s="43" t="s">
        <v>108</v>
      </c>
      <c r="J273" s="43" t="s">
        <v>108</v>
      </c>
      <c r="K273" s="43" t="s">
        <v>108</v>
      </c>
      <c r="L273" s="45">
        <v>0.06</v>
      </c>
      <c r="M273" s="43" t="s">
        <v>104</v>
      </c>
      <c r="N273" s="17" t="str">
        <f t="shared" si="20"/>
        <v>Yes</v>
      </c>
      <c r="O273" s="17" t="str">
        <f t="shared" si="21"/>
        <v>No</v>
      </c>
      <c r="P273" s="18">
        <f t="shared" si="22"/>
        <v>0</v>
      </c>
      <c r="Q273" s="17" t="str">
        <f t="shared" si="23"/>
        <v>Maverick / non-preferred</v>
      </c>
      <c r="R273" s="20" t="str">
        <f t="shared" si="24"/>
        <v>Low</v>
      </c>
    </row>
    <row r="274" spans="1:18" ht="15">
      <c r="A274" s="41">
        <v>270</v>
      </c>
      <c r="B274" s="42">
        <v>45781</v>
      </c>
      <c r="C274" s="43" t="s">
        <v>129</v>
      </c>
      <c r="D274" s="43" t="s">
        <v>76</v>
      </c>
      <c r="E274" s="43" t="s">
        <v>72</v>
      </c>
      <c r="F274" s="43" t="s">
        <v>127</v>
      </c>
      <c r="G274" s="43" t="s">
        <v>120</v>
      </c>
      <c r="H274" s="44">
        <v>10380</v>
      </c>
      <c r="I274" s="43" t="s">
        <v>108</v>
      </c>
      <c r="J274" s="43" t="s">
        <v>108</v>
      </c>
      <c r="K274" s="43" t="s">
        <v>108</v>
      </c>
      <c r="L274" s="45">
        <v>0.09</v>
      </c>
      <c r="M274" s="43" t="s">
        <v>118</v>
      </c>
      <c r="N274" s="17" t="str">
        <f t="shared" si="20"/>
        <v>Yes</v>
      </c>
      <c r="O274" s="17" t="str">
        <f t="shared" si="21"/>
        <v>No</v>
      </c>
      <c r="P274" s="18">
        <f t="shared" si="22"/>
        <v>0</v>
      </c>
      <c r="Q274" s="17" t="str">
        <f t="shared" si="23"/>
        <v>Maverick / non-preferred</v>
      </c>
      <c r="R274" s="20" t="str">
        <f t="shared" si="24"/>
        <v>Low</v>
      </c>
    </row>
    <row r="275" spans="1:18" ht="15">
      <c r="A275" s="41">
        <v>271</v>
      </c>
      <c r="B275" s="42">
        <v>45903</v>
      </c>
      <c r="C275" s="43" t="s">
        <v>105</v>
      </c>
      <c r="D275" s="43" t="s">
        <v>25</v>
      </c>
      <c r="E275" s="43" t="s">
        <v>67</v>
      </c>
      <c r="F275" s="43" t="s">
        <v>101</v>
      </c>
      <c r="G275" s="43" t="s">
        <v>107</v>
      </c>
      <c r="H275" s="44">
        <v>13430</v>
      </c>
      <c r="I275" s="43" t="s">
        <v>103</v>
      </c>
      <c r="J275" s="43" t="s">
        <v>103</v>
      </c>
      <c r="K275" s="43" t="s">
        <v>103</v>
      </c>
      <c r="L275" s="45">
        <v>0.05</v>
      </c>
      <c r="M275" s="43" t="s">
        <v>104</v>
      </c>
      <c r="N275" s="17" t="str">
        <f t="shared" si="20"/>
        <v>No</v>
      </c>
      <c r="O275" s="17" t="str">
        <f t="shared" si="21"/>
        <v>No</v>
      </c>
      <c r="P275" s="18">
        <f t="shared" si="22"/>
        <v>671.5</v>
      </c>
      <c r="Q275" s="17" t="str">
        <f t="shared" si="23"/>
        <v>Category sourcing</v>
      </c>
      <c r="R275" s="20" t="str">
        <f t="shared" si="24"/>
        <v>Low</v>
      </c>
    </row>
    <row r="276" spans="1:18" ht="15">
      <c r="A276" s="41">
        <v>272</v>
      </c>
      <c r="B276" s="42">
        <v>45847</v>
      </c>
      <c r="C276" s="43" t="s">
        <v>135</v>
      </c>
      <c r="D276" s="43" t="s">
        <v>17</v>
      </c>
      <c r="E276" s="43" t="s">
        <v>67</v>
      </c>
      <c r="F276" s="43" t="s">
        <v>106</v>
      </c>
      <c r="G276" s="43" t="s">
        <v>107</v>
      </c>
      <c r="H276" s="44">
        <v>25310</v>
      </c>
      <c r="I276" s="43" t="s">
        <v>103</v>
      </c>
      <c r="J276" s="43" t="s">
        <v>108</v>
      </c>
      <c r="K276" s="43" t="s">
        <v>103</v>
      </c>
      <c r="L276" s="45">
        <v>0.08</v>
      </c>
      <c r="M276" s="43" t="s">
        <v>104</v>
      </c>
      <c r="N276" s="17" t="str">
        <f t="shared" si="20"/>
        <v>Yes</v>
      </c>
      <c r="O276" s="17" t="str">
        <f t="shared" si="21"/>
        <v>No</v>
      </c>
      <c r="P276" s="18">
        <f t="shared" si="22"/>
        <v>2024.8</v>
      </c>
      <c r="Q276" s="17" t="str">
        <f t="shared" si="23"/>
        <v>Maverick / non-preferred</v>
      </c>
      <c r="R276" s="20" t="str">
        <f t="shared" si="24"/>
        <v>Low</v>
      </c>
    </row>
    <row r="277" spans="1:18" ht="15">
      <c r="A277" s="41">
        <v>273</v>
      </c>
      <c r="B277" s="42">
        <v>45715</v>
      </c>
      <c r="C277" s="43" t="s">
        <v>130</v>
      </c>
      <c r="D277" s="43" t="s">
        <v>17</v>
      </c>
      <c r="E277" s="43" t="s">
        <v>67</v>
      </c>
      <c r="F277" s="43" t="s">
        <v>127</v>
      </c>
      <c r="G277" s="43" t="s">
        <v>110</v>
      </c>
      <c r="H277" s="44">
        <v>24840</v>
      </c>
      <c r="I277" s="43" t="s">
        <v>108</v>
      </c>
      <c r="J277" s="43" t="s">
        <v>108</v>
      </c>
      <c r="K277" s="43" t="s">
        <v>103</v>
      </c>
      <c r="L277" s="45">
        <v>0.08</v>
      </c>
      <c r="M277" s="43" t="s">
        <v>104</v>
      </c>
      <c r="N277" s="17" t="str">
        <f t="shared" si="20"/>
        <v>Yes</v>
      </c>
      <c r="O277" s="17" t="str">
        <f t="shared" si="21"/>
        <v>No</v>
      </c>
      <c r="P277" s="18">
        <f t="shared" si="22"/>
        <v>1987.2</v>
      </c>
      <c r="Q277" s="17" t="str">
        <f t="shared" si="23"/>
        <v>Maverick / non-preferred</v>
      </c>
      <c r="R277" s="20" t="str">
        <f t="shared" si="24"/>
        <v>Low</v>
      </c>
    </row>
    <row r="278" spans="1:18" ht="15">
      <c r="A278" s="41">
        <v>274</v>
      </c>
      <c r="B278" s="42">
        <v>45798</v>
      </c>
      <c r="C278" s="43" t="s">
        <v>133</v>
      </c>
      <c r="D278" s="43" t="s">
        <v>17</v>
      </c>
      <c r="E278" s="43" t="s">
        <v>67</v>
      </c>
      <c r="F278" s="43" t="s">
        <v>101</v>
      </c>
      <c r="G278" s="43" t="s">
        <v>102</v>
      </c>
      <c r="H278" s="44">
        <v>14410</v>
      </c>
      <c r="I278" s="43" t="s">
        <v>103</v>
      </c>
      <c r="J278" s="43" t="s">
        <v>103</v>
      </c>
      <c r="K278" s="43" t="s">
        <v>103</v>
      </c>
      <c r="L278" s="45">
        <v>0.08</v>
      </c>
      <c r="M278" s="43" t="s">
        <v>104</v>
      </c>
      <c r="N278" s="17" t="str">
        <f t="shared" si="20"/>
        <v>No</v>
      </c>
      <c r="O278" s="17" t="str">
        <f t="shared" si="21"/>
        <v>No</v>
      </c>
      <c r="P278" s="18">
        <f t="shared" si="22"/>
        <v>1152.8</v>
      </c>
      <c r="Q278" s="17" t="str">
        <f t="shared" si="23"/>
        <v>Category sourcing</v>
      </c>
      <c r="R278" s="20" t="str">
        <f t="shared" si="24"/>
        <v>Low</v>
      </c>
    </row>
    <row r="279" spans="1:18" ht="15">
      <c r="A279" s="41">
        <v>275</v>
      </c>
      <c r="B279" s="42">
        <v>45939</v>
      </c>
      <c r="C279" s="43" t="s">
        <v>121</v>
      </c>
      <c r="D279" s="43" t="s">
        <v>25</v>
      </c>
      <c r="E279" s="43" t="s">
        <v>67</v>
      </c>
      <c r="F279" s="43" t="s">
        <v>115</v>
      </c>
      <c r="G279" s="43" t="s">
        <v>107</v>
      </c>
      <c r="H279" s="44">
        <v>83930</v>
      </c>
      <c r="I279" s="43" t="s">
        <v>108</v>
      </c>
      <c r="J279" s="43" t="s">
        <v>108</v>
      </c>
      <c r="K279" s="43" t="s">
        <v>108</v>
      </c>
      <c r="L279" s="45">
        <v>0.05</v>
      </c>
      <c r="M279" s="43" t="s">
        <v>104</v>
      </c>
      <c r="N279" s="17" t="str">
        <f t="shared" si="20"/>
        <v>Yes</v>
      </c>
      <c r="O279" s="17" t="str">
        <f t="shared" si="21"/>
        <v>No</v>
      </c>
      <c r="P279" s="18">
        <f t="shared" si="22"/>
        <v>0</v>
      </c>
      <c r="Q279" s="17" t="str">
        <f t="shared" si="23"/>
        <v>Maverick / non-preferred</v>
      </c>
      <c r="R279" s="20" t="str">
        <f t="shared" si="24"/>
        <v>Low</v>
      </c>
    </row>
    <row r="280" spans="1:18" ht="15">
      <c r="A280" s="41">
        <v>276</v>
      </c>
      <c r="B280" s="42">
        <v>45904</v>
      </c>
      <c r="C280" s="43" t="s">
        <v>142</v>
      </c>
      <c r="D280" s="43" t="s">
        <v>23</v>
      </c>
      <c r="E280" s="43" t="s">
        <v>72</v>
      </c>
      <c r="F280" s="43" t="s">
        <v>115</v>
      </c>
      <c r="G280" s="43" t="s">
        <v>110</v>
      </c>
      <c r="H280" s="44">
        <v>7840</v>
      </c>
      <c r="I280" s="43" t="s">
        <v>103</v>
      </c>
      <c r="J280" s="43" t="s">
        <v>103</v>
      </c>
      <c r="K280" s="43" t="s">
        <v>103</v>
      </c>
      <c r="L280" s="45">
        <v>0.15</v>
      </c>
      <c r="M280" s="43" t="s">
        <v>114</v>
      </c>
      <c r="N280" s="17" t="str">
        <f t="shared" si="20"/>
        <v>No</v>
      </c>
      <c r="O280" s="17" t="str">
        <f t="shared" si="21"/>
        <v>No</v>
      </c>
      <c r="P280" s="18">
        <f t="shared" si="22"/>
        <v>1176</v>
      </c>
      <c r="Q280" s="17" t="str">
        <f t="shared" si="23"/>
        <v>Category sourcing</v>
      </c>
      <c r="R280" s="20" t="str">
        <f t="shared" si="24"/>
        <v>Low</v>
      </c>
    </row>
    <row r="281" spans="1:18" ht="15">
      <c r="A281" s="41">
        <v>277</v>
      </c>
      <c r="B281" s="42">
        <v>45775</v>
      </c>
      <c r="C281" s="43" t="s">
        <v>121</v>
      </c>
      <c r="D281" s="43" t="s">
        <v>25</v>
      </c>
      <c r="E281" s="43" t="s">
        <v>67</v>
      </c>
      <c r="F281" s="43" t="s">
        <v>106</v>
      </c>
      <c r="G281" s="43" t="s">
        <v>110</v>
      </c>
      <c r="H281" s="44">
        <v>39800</v>
      </c>
      <c r="I281" s="43" t="s">
        <v>103</v>
      </c>
      <c r="J281" s="43" t="s">
        <v>108</v>
      </c>
      <c r="K281" s="43" t="s">
        <v>108</v>
      </c>
      <c r="L281" s="45">
        <v>0.05</v>
      </c>
      <c r="M281" s="43" t="s">
        <v>104</v>
      </c>
      <c r="N281" s="17" t="str">
        <f t="shared" si="20"/>
        <v>Yes</v>
      </c>
      <c r="O281" s="17" t="str">
        <f t="shared" si="21"/>
        <v>No</v>
      </c>
      <c r="P281" s="18">
        <f t="shared" si="22"/>
        <v>0</v>
      </c>
      <c r="Q281" s="17" t="str">
        <f t="shared" si="23"/>
        <v>Maverick / non-preferred</v>
      </c>
      <c r="R281" s="20" t="str">
        <f t="shared" si="24"/>
        <v>Low</v>
      </c>
    </row>
    <row r="282" spans="1:18" ht="15">
      <c r="A282" s="41">
        <v>278</v>
      </c>
      <c r="B282" s="42">
        <v>45868</v>
      </c>
      <c r="C282" s="43" t="s">
        <v>133</v>
      </c>
      <c r="D282" s="43" t="s">
        <v>17</v>
      </c>
      <c r="E282" s="43" t="s">
        <v>67</v>
      </c>
      <c r="F282" s="43" t="s">
        <v>115</v>
      </c>
      <c r="G282" s="43" t="s">
        <v>102</v>
      </c>
      <c r="H282" s="44">
        <v>15410</v>
      </c>
      <c r="I282" s="43" t="s">
        <v>108</v>
      </c>
      <c r="J282" s="43" t="s">
        <v>103</v>
      </c>
      <c r="K282" s="43" t="s">
        <v>103</v>
      </c>
      <c r="L282" s="45">
        <v>0.08</v>
      </c>
      <c r="M282" s="43" t="s">
        <v>104</v>
      </c>
      <c r="N282" s="17" t="str">
        <f t="shared" si="20"/>
        <v>Yes</v>
      </c>
      <c r="O282" s="17" t="str">
        <f t="shared" si="21"/>
        <v>No</v>
      </c>
      <c r="P282" s="18">
        <f t="shared" si="22"/>
        <v>1232.8</v>
      </c>
      <c r="Q282" s="17" t="str">
        <f t="shared" si="23"/>
        <v>Maverick / non-preferred</v>
      </c>
      <c r="R282" s="20" t="str">
        <f t="shared" si="24"/>
        <v>Low</v>
      </c>
    </row>
    <row r="283" spans="1:18" ht="15">
      <c r="A283" s="41">
        <v>279</v>
      </c>
      <c r="B283" s="42">
        <v>45895</v>
      </c>
      <c r="C283" s="43" t="s">
        <v>135</v>
      </c>
      <c r="D283" s="43" t="s">
        <v>17</v>
      </c>
      <c r="E283" s="43" t="s">
        <v>67</v>
      </c>
      <c r="F283" s="43" t="s">
        <v>106</v>
      </c>
      <c r="G283" s="43" t="s">
        <v>110</v>
      </c>
      <c r="H283" s="44">
        <v>16710</v>
      </c>
      <c r="I283" s="43" t="s">
        <v>108</v>
      </c>
      <c r="J283" s="43" t="s">
        <v>108</v>
      </c>
      <c r="K283" s="43" t="s">
        <v>103</v>
      </c>
      <c r="L283" s="45">
        <v>0.08</v>
      </c>
      <c r="M283" s="43" t="s">
        <v>104</v>
      </c>
      <c r="N283" s="17" t="str">
        <f t="shared" si="20"/>
        <v>Yes</v>
      </c>
      <c r="O283" s="17" t="str">
        <f t="shared" si="21"/>
        <v>No</v>
      </c>
      <c r="P283" s="18">
        <f t="shared" si="22"/>
        <v>1336.8</v>
      </c>
      <c r="Q283" s="17" t="str">
        <f t="shared" si="23"/>
        <v>Maverick / non-preferred</v>
      </c>
      <c r="R283" s="20" t="str">
        <f t="shared" si="24"/>
        <v>Low</v>
      </c>
    </row>
    <row r="284" spans="1:18" ht="15">
      <c r="A284" s="41">
        <v>280</v>
      </c>
      <c r="B284" s="42">
        <v>45843</v>
      </c>
      <c r="C284" s="43" t="s">
        <v>147</v>
      </c>
      <c r="D284" s="43" t="s">
        <v>25</v>
      </c>
      <c r="E284" s="43" t="s">
        <v>67</v>
      </c>
      <c r="F284" s="43" t="s">
        <v>115</v>
      </c>
      <c r="G284" s="43" t="s">
        <v>107</v>
      </c>
      <c r="H284" s="44">
        <v>103790</v>
      </c>
      <c r="I284" s="43" t="s">
        <v>108</v>
      </c>
      <c r="J284" s="43" t="s">
        <v>108</v>
      </c>
      <c r="K284" s="43" t="s">
        <v>108</v>
      </c>
      <c r="L284" s="45">
        <v>0.05</v>
      </c>
      <c r="M284" s="43" t="s">
        <v>104</v>
      </c>
      <c r="N284" s="17" t="str">
        <f t="shared" si="20"/>
        <v>Yes</v>
      </c>
      <c r="O284" s="17" t="str">
        <f t="shared" si="21"/>
        <v>Yes</v>
      </c>
      <c r="P284" s="18">
        <f t="shared" si="22"/>
        <v>0</v>
      </c>
      <c r="Q284" s="17" t="str">
        <f t="shared" si="23"/>
        <v>Maverick / non-preferred</v>
      </c>
      <c r="R284" s="20" t="str">
        <f t="shared" si="24"/>
        <v>Low</v>
      </c>
    </row>
    <row r="285" spans="1:18" ht="15">
      <c r="A285" s="41">
        <v>281</v>
      </c>
      <c r="B285" s="42">
        <v>45682</v>
      </c>
      <c r="C285" s="43" t="s">
        <v>152</v>
      </c>
      <c r="D285" s="43" t="s">
        <v>19</v>
      </c>
      <c r="E285" s="43" t="s">
        <v>72</v>
      </c>
      <c r="F285" s="43" t="s">
        <v>127</v>
      </c>
      <c r="G285" s="43" t="s">
        <v>102</v>
      </c>
      <c r="H285" s="44">
        <v>10000</v>
      </c>
      <c r="I285" s="43" t="s">
        <v>103</v>
      </c>
      <c r="J285" s="43" t="s">
        <v>103</v>
      </c>
      <c r="K285" s="43" t="s">
        <v>103</v>
      </c>
      <c r="L285" s="45">
        <v>0.12</v>
      </c>
      <c r="M285" s="43" t="s">
        <v>114</v>
      </c>
      <c r="N285" s="17" t="str">
        <f t="shared" si="20"/>
        <v>No</v>
      </c>
      <c r="O285" s="17" t="str">
        <f t="shared" si="21"/>
        <v>No</v>
      </c>
      <c r="P285" s="18">
        <f t="shared" si="22"/>
        <v>1200</v>
      </c>
      <c r="Q285" s="17" t="str">
        <f t="shared" si="23"/>
        <v>Category sourcing</v>
      </c>
      <c r="R285" s="20" t="str">
        <f t="shared" si="24"/>
        <v>Low</v>
      </c>
    </row>
    <row r="286" spans="1:18" ht="15">
      <c r="A286" s="41">
        <v>282</v>
      </c>
      <c r="B286" s="42">
        <v>45731</v>
      </c>
      <c r="C286" s="43" t="s">
        <v>159</v>
      </c>
      <c r="D286" s="43" t="s">
        <v>26</v>
      </c>
      <c r="E286" s="43" t="s">
        <v>72</v>
      </c>
      <c r="F286" s="43" t="s">
        <v>127</v>
      </c>
      <c r="G286" s="43" t="s">
        <v>107</v>
      </c>
      <c r="H286" s="44">
        <v>7640</v>
      </c>
      <c r="I286" s="43" t="s">
        <v>108</v>
      </c>
      <c r="J286" s="43" t="s">
        <v>108</v>
      </c>
      <c r="K286" s="43" t="s">
        <v>103</v>
      </c>
      <c r="L286" s="45">
        <v>0.1</v>
      </c>
      <c r="M286" s="43" t="s">
        <v>104</v>
      </c>
      <c r="N286" s="17" t="str">
        <f t="shared" si="20"/>
        <v>Yes</v>
      </c>
      <c r="O286" s="17" t="str">
        <f t="shared" si="21"/>
        <v>Yes</v>
      </c>
      <c r="P286" s="18">
        <f t="shared" si="22"/>
        <v>764</v>
      </c>
      <c r="Q286" s="17" t="str">
        <f t="shared" si="23"/>
        <v>Maverick / non-preferred</v>
      </c>
      <c r="R286" s="20" t="str">
        <f t="shared" si="24"/>
        <v>Low</v>
      </c>
    </row>
    <row r="287" spans="1:18" ht="15">
      <c r="A287" s="41">
        <v>283</v>
      </c>
      <c r="B287" s="42">
        <v>45982</v>
      </c>
      <c r="C287" s="43" t="s">
        <v>112</v>
      </c>
      <c r="D287" s="43" t="s">
        <v>23</v>
      </c>
      <c r="E287" s="43" t="s">
        <v>72</v>
      </c>
      <c r="F287" s="43" t="s">
        <v>115</v>
      </c>
      <c r="G287" s="43" t="s">
        <v>102</v>
      </c>
      <c r="H287" s="44">
        <v>1950</v>
      </c>
      <c r="I287" s="43" t="s">
        <v>108</v>
      </c>
      <c r="J287" s="43" t="s">
        <v>108</v>
      </c>
      <c r="K287" s="43" t="s">
        <v>103</v>
      </c>
      <c r="L287" s="45">
        <v>0.15</v>
      </c>
      <c r="M287" s="43" t="s">
        <v>114</v>
      </c>
      <c r="N287" s="17" t="str">
        <f t="shared" si="20"/>
        <v>Yes</v>
      </c>
      <c r="O287" s="17" t="str">
        <f t="shared" si="21"/>
        <v>No</v>
      </c>
      <c r="P287" s="18">
        <f t="shared" si="22"/>
        <v>292.5</v>
      </c>
      <c r="Q287" s="17" t="str">
        <f t="shared" si="23"/>
        <v>Maverick / non-preferred</v>
      </c>
      <c r="R287" s="20" t="str">
        <f t="shared" si="24"/>
        <v>Low</v>
      </c>
    </row>
    <row r="288" spans="1:18" ht="15">
      <c r="A288" s="41">
        <v>284</v>
      </c>
      <c r="B288" s="42">
        <v>45698</v>
      </c>
      <c r="C288" s="43" t="s">
        <v>153</v>
      </c>
      <c r="D288" s="43" t="s">
        <v>76</v>
      </c>
      <c r="E288" s="43" t="s">
        <v>72</v>
      </c>
      <c r="F288" s="43" t="s">
        <v>127</v>
      </c>
      <c r="G288" s="43" t="s">
        <v>102</v>
      </c>
      <c r="H288" s="44">
        <v>13790</v>
      </c>
      <c r="I288" s="43" t="s">
        <v>103</v>
      </c>
      <c r="J288" s="43" t="s">
        <v>103</v>
      </c>
      <c r="K288" s="43" t="s">
        <v>108</v>
      </c>
      <c r="L288" s="45">
        <v>0.09</v>
      </c>
      <c r="M288" s="43" t="s">
        <v>118</v>
      </c>
      <c r="N288" s="17" t="str">
        <f t="shared" si="20"/>
        <v>No</v>
      </c>
      <c r="O288" s="17" t="str">
        <f t="shared" si="21"/>
        <v>No</v>
      </c>
      <c r="P288" s="18">
        <f t="shared" si="22"/>
        <v>0</v>
      </c>
      <c r="Q288" s="17" t="str">
        <f t="shared" si="23"/>
        <v>Non-addressable</v>
      </c>
      <c r="R288" s="20" t="str">
        <f t="shared" si="24"/>
        <v>Low</v>
      </c>
    </row>
    <row r="289" spans="1:18" ht="15">
      <c r="A289" s="41">
        <v>285</v>
      </c>
      <c r="B289" s="42">
        <v>45763</v>
      </c>
      <c r="C289" s="43" t="s">
        <v>126</v>
      </c>
      <c r="D289" s="43" t="s">
        <v>23</v>
      </c>
      <c r="E289" s="43" t="s">
        <v>72</v>
      </c>
      <c r="F289" s="43" t="s">
        <v>106</v>
      </c>
      <c r="G289" s="43" t="s">
        <v>120</v>
      </c>
      <c r="H289" s="44">
        <v>8290</v>
      </c>
      <c r="I289" s="43" t="s">
        <v>108</v>
      </c>
      <c r="J289" s="43" t="s">
        <v>108</v>
      </c>
      <c r="K289" s="43" t="s">
        <v>103</v>
      </c>
      <c r="L289" s="45">
        <v>0.15</v>
      </c>
      <c r="M289" s="43" t="s">
        <v>114</v>
      </c>
      <c r="N289" s="17" t="str">
        <f t="shared" si="20"/>
        <v>Yes</v>
      </c>
      <c r="O289" s="17" t="str">
        <f t="shared" si="21"/>
        <v>No</v>
      </c>
      <c r="P289" s="18">
        <f t="shared" si="22"/>
        <v>1243.5</v>
      </c>
      <c r="Q289" s="17" t="str">
        <f t="shared" si="23"/>
        <v>Maverick / non-preferred</v>
      </c>
      <c r="R289" s="20" t="str">
        <f t="shared" si="24"/>
        <v>Low</v>
      </c>
    </row>
    <row r="290" spans="1:18" ht="15">
      <c r="A290" s="41">
        <v>286</v>
      </c>
      <c r="B290" s="42">
        <v>45958</v>
      </c>
      <c r="C290" s="43" t="s">
        <v>137</v>
      </c>
      <c r="D290" s="43" t="s">
        <v>19</v>
      </c>
      <c r="E290" s="43" t="s">
        <v>72</v>
      </c>
      <c r="F290" s="43" t="s">
        <v>106</v>
      </c>
      <c r="G290" s="43" t="s">
        <v>107</v>
      </c>
      <c r="H290" s="44">
        <v>13760</v>
      </c>
      <c r="I290" s="43" t="s">
        <v>108</v>
      </c>
      <c r="J290" s="43" t="s">
        <v>108</v>
      </c>
      <c r="K290" s="43" t="s">
        <v>103</v>
      </c>
      <c r="L290" s="45">
        <v>0.12</v>
      </c>
      <c r="M290" s="43" t="s">
        <v>114</v>
      </c>
      <c r="N290" s="17" t="str">
        <f t="shared" si="20"/>
        <v>Yes</v>
      </c>
      <c r="O290" s="17" t="str">
        <f t="shared" si="21"/>
        <v>No</v>
      </c>
      <c r="P290" s="18">
        <f t="shared" si="22"/>
        <v>1651.2</v>
      </c>
      <c r="Q290" s="17" t="str">
        <f t="shared" si="23"/>
        <v>Maverick / non-preferred</v>
      </c>
      <c r="R290" s="20" t="str">
        <f t="shared" si="24"/>
        <v>Low</v>
      </c>
    </row>
    <row r="291" spans="1:18" ht="15">
      <c r="A291" s="41">
        <v>287</v>
      </c>
      <c r="B291" s="42">
        <v>45902</v>
      </c>
      <c r="C291" s="43" t="s">
        <v>141</v>
      </c>
      <c r="D291" s="43" t="s">
        <v>76</v>
      </c>
      <c r="E291" s="43" t="s">
        <v>72</v>
      </c>
      <c r="F291" s="43" t="s">
        <v>106</v>
      </c>
      <c r="G291" s="43" t="s">
        <v>102</v>
      </c>
      <c r="H291" s="44">
        <v>23370</v>
      </c>
      <c r="I291" s="43" t="s">
        <v>103</v>
      </c>
      <c r="J291" s="43" t="s">
        <v>108</v>
      </c>
      <c r="K291" s="43" t="s">
        <v>108</v>
      </c>
      <c r="L291" s="45">
        <v>0.09</v>
      </c>
      <c r="M291" s="43" t="s">
        <v>118</v>
      </c>
      <c r="N291" s="17" t="str">
        <f t="shared" si="20"/>
        <v>Yes</v>
      </c>
      <c r="O291" s="17" t="str">
        <f t="shared" si="21"/>
        <v>No</v>
      </c>
      <c r="P291" s="18">
        <f t="shared" si="22"/>
        <v>0</v>
      </c>
      <c r="Q291" s="17" t="str">
        <f t="shared" si="23"/>
        <v>Maverick / non-preferred</v>
      </c>
      <c r="R291" s="20" t="str">
        <f t="shared" si="24"/>
        <v>Low</v>
      </c>
    </row>
    <row r="292" spans="1:18" ht="15">
      <c r="A292" s="41">
        <v>288</v>
      </c>
      <c r="B292" s="42">
        <v>45935</v>
      </c>
      <c r="C292" s="43" t="s">
        <v>160</v>
      </c>
      <c r="D292" s="43" t="s">
        <v>76</v>
      </c>
      <c r="E292" s="43" t="s">
        <v>72</v>
      </c>
      <c r="F292" s="43" t="s">
        <v>115</v>
      </c>
      <c r="G292" s="43" t="s">
        <v>102</v>
      </c>
      <c r="H292" s="44">
        <v>13470</v>
      </c>
      <c r="I292" s="43" t="s">
        <v>108</v>
      </c>
      <c r="J292" s="43" t="s">
        <v>108</v>
      </c>
      <c r="K292" s="43" t="s">
        <v>108</v>
      </c>
      <c r="L292" s="45">
        <v>0.09</v>
      </c>
      <c r="M292" s="43" t="s">
        <v>118</v>
      </c>
      <c r="N292" s="17" t="str">
        <f t="shared" si="20"/>
        <v>Yes</v>
      </c>
      <c r="O292" s="17" t="str">
        <f t="shared" si="21"/>
        <v>No</v>
      </c>
      <c r="P292" s="18">
        <f t="shared" si="22"/>
        <v>0</v>
      </c>
      <c r="Q292" s="17" t="str">
        <f t="shared" si="23"/>
        <v>Maverick / non-preferred</v>
      </c>
      <c r="R292" s="20" t="str">
        <f t="shared" si="24"/>
        <v>Low</v>
      </c>
    </row>
    <row r="293" spans="1:18" ht="15">
      <c r="A293" s="41">
        <v>289</v>
      </c>
      <c r="B293" s="42">
        <v>45971</v>
      </c>
      <c r="C293" s="43" t="s">
        <v>142</v>
      </c>
      <c r="D293" s="43" t="s">
        <v>23</v>
      </c>
      <c r="E293" s="43" t="s">
        <v>72</v>
      </c>
      <c r="F293" s="43" t="s">
        <v>127</v>
      </c>
      <c r="G293" s="43" t="s">
        <v>107</v>
      </c>
      <c r="H293" s="44">
        <v>13240</v>
      </c>
      <c r="I293" s="43" t="s">
        <v>103</v>
      </c>
      <c r="J293" s="43" t="s">
        <v>103</v>
      </c>
      <c r="K293" s="43" t="s">
        <v>103</v>
      </c>
      <c r="L293" s="45">
        <v>0.15</v>
      </c>
      <c r="M293" s="43" t="s">
        <v>114</v>
      </c>
      <c r="N293" s="17" t="str">
        <f t="shared" si="20"/>
        <v>No</v>
      </c>
      <c r="O293" s="17" t="str">
        <f t="shared" si="21"/>
        <v>No</v>
      </c>
      <c r="P293" s="18">
        <f t="shared" si="22"/>
        <v>1986</v>
      </c>
      <c r="Q293" s="17" t="str">
        <f t="shared" si="23"/>
        <v>Category sourcing</v>
      </c>
      <c r="R293" s="20" t="str">
        <f t="shared" si="24"/>
        <v>Low</v>
      </c>
    </row>
    <row r="294" spans="1:18" ht="15">
      <c r="A294" s="41">
        <v>290</v>
      </c>
      <c r="B294" s="42">
        <v>45712</v>
      </c>
      <c r="C294" s="43" t="s">
        <v>160</v>
      </c>
      <c r="D294" s="43" t="s">
        <v>76</v>
      </c>
      <c r="E294" s="43" t="s">
        <v>72</v>
      </c>
      <c r="F294" s="43" t="s">
        <v>115</v>
      </c>
      <c r="G294" s="43" t="s">
        <v>110</v>
      </c>
      <c r="H294" s="44">
        <v>66670</v>
      </c>
      <c r="I294" s="43" t="s">
        <v>108</v>
      </c>
      <c r="J294" s="43" t="s">
        <v>108</v>
      </c>
      <c r="K294" s="43" t="s">
        <v>108</v>
      </c>
      <c r="L294" s="45">
        <v>0.09</v>
      </c>
      <c r="M294" s="43" t="s">
        <v>118</v>
      </c>
      <c r="N294" s="17" t="str">
        <f t="shared" si="20"/>
        <v>Yes</v>
      </c>
      <c r="O294" s="17" t="str">
        <f t="shared" si="21"/>
        <v>No</v>
      </c>
      <c r="P294" s="18">
        <f t="shared" si="22"/>
        <v>0</v>
      </c>
      <c r="Q294" s="17" t="str">
        <f t="shared" si="23"/>
        <v>Maverick / non-preferred</v>
      </c>
      <c r="R294" s="20" t="str">
        <f t="shared" si="24"/>
        <v>Low</v>
      </c>
    </row>
    <row r="295" spans="1:18" ht="15">
      <c r="A295" s="41">
        <v>291</v>
      </c>
      <c r="B295" s="42">
        <v>45975</v>
      </c>
      <c r="C295" s="43" t="s">
        <v>105</v>
      </c>
      <c r="D295" s="43" t="s">
        <v>25</v>
      </c>
      <c r="E295" s="43" t="s">
        <v>67</v>
      </c>
      <c r="F295" s="43" t="s">
        <v>101</v>
      </c>
      <c r="G295" s="43" t="s">
        <v>110</v>
      </c>
      <c r="H295" s="44">
        <v>90160</v>
      </c>
      <c r="I295" s="43" t="s">
        <v>103</v>
      </c>
      <c r="J295" s="43" t="s">
        <v>103</v>
      </c>
      <c r="K295" s="43" t="s">
        <v>103</v>
      </c>
      <c r="L295" s="45">
        <v>0.05</v>
      </c>
      <c r="M295" s="43" t="s">
        <v>104</v>
      </c>
      <c r="N295" s="17" t="str">
        <f t="shared" si="20"/>
        <v>No</v>
      </c>
      <c r="O295" s="17" t="str">
        <f t="shared" si="21"/>
        <v>No</v>
      </c>
      <c r="P295" s="18">
        <f t="shared" si="22"/>
        <v>4508</v>
      </c>
      <c r="Q295" s="17" t="str">
        <f t="shared" si="23"/>
        <v>Category sourcing</v>
      </c>
      <c r="R295" s="20" t="str">
        <f t="shared" si="24"/>
        <v>Medium</v>
      </c>
    </row>
    <row r="296" spans="1:18" ht="15">
      <c r="A296" s="41">
        <v>292</v>
      </c>
      <c r="B296" s="42">
        <v>45854</v>
      </c>
      <c r="C296" s="43" t="s">
        <v>159</v>
      </c>
      <c r="D296" s="43" t="s">
        <v>26</v>
      </c>
      <c r="E296" s="43" t="s">
        <v>72</v>
      </c>
      <c r="F296" s="43" t="s">
        <v>115</v>
      </c>
      <c r="G296" s="43" t="s">
        <v>102</v>
      </c>
      <c r="H296" s="44">
        <v>6920</v>
      </c>
      <c r="I296" s="43" t="s">
        <v>108</v>
      </c>
      <c r="J296" s="43" t="s">
        <v>108</v>
      </c>
      <c r="K296" s="43" t="s">
        <v>103</v>
      </c>
      <c r="L296" s="45">
        <v>0.1</v>
      </c>
      <c r="M296" s="43" t="s">
        <v>104</v>
      </c>
      <c r="N296" s="17" t="str">
        <f t="shared" si="20"/>
        <v>Yes</v>
      </c>
      <c r="O296" s="17" t="str">
        <f t="shared" si="21"/>
        <v>Yes</v>
      </c>
      <c r="P296" s="18">
        <f t="shared" si="22"/>
        <v>692</v>
      </c>
      <c r="Q296" s="17" t="str">
        <f t="shared" si="23"/>
        <v>Maverick / non-preferred</v>
      </c>
      <c r="R296" s="20" t="str">
        <f t="shared" si="24"/>
        <v>Low</v>
      </c>
    </row>
    <row r="297" spans="1:18" ht="15">
      <c r="A297" s="41">
        <v>293</v>
      </c>
      <c r="B297" s="42">
        <v>45874</v>
      </c>
      <c r="C297" s="43" t="s">
        <v>125</v>
      </c>
      <c r="D297" s="43" t="s">
        <v>81</v>
      </c>
      <c r="E297" s="43" t="s">
        <v>72</v>
      </c>
      <c r="F297" s="43" t="s">
        <v>101</v>
      </c>
      <c r="G297" s="43" t="s">
        <v>107</v>
      </c>
      <c r="H297" s="44">
        <v>510</v>
      </c>
      <c r="I297" s="43" t="s">
        <v>108</v>
      </c>
      <c r="J297" s="43" t="s">
        <v>108</v>
      </c>
      <c r="K297" s="43" t="s">
        <v>103</v>
      </c>
      <c r="L297" s="45">
        <v>0.18</v>
      </c>
      <c r="M297" s="43" t="s">
        <v>118</v>
      </c>
      <c r="N297" s="17" t="str">
        <f t="shared" si="20"/>
        <v>Yes</v>
      </c>
      <c r="O297" s="17" t="str">
        <f t="shared" si="21"/>
        <v>No</v>
      </c>
      <c r="P297" s="18">
        <f t="shared" si="22"/>
        <v>91.8</v>
      </c>
      <c r="Q297" s="17" t="str">
        <f t="shared" si="23"/>
        <v>Maverick / non-preferred</v>
      </c>
      <c r="R297" s="20" t="str">
        <f t="shared" si="24"/>
        <v>Low</v>
      </c>
    </row>
    <row r="298" spans="1:18" ht="15">
      <c r="A298" s="41">
        <v>294</v>
      </c>
      <c r="B298" s="42">
        <v>45888</v>
      </c>
      <c r="C298" s="43" t="s">
        <v>156</v>
      </c>
      <c r="D298" s="43" t="s">
        <v>19</v>
      </c>
      <c r="E298" s="43" t="s">
        <v>72</v>
      </c>
      <c r="F298" s="43" t="s">
        <v>101</v>
      </c>
      <c r="G298" s="43" t="s">
        <v>102</v>
      </c>
      <c r="H298" s="44">
        <v>80750</v>
      </c>
      <c r="I298" s="43" t="s">
        <v>108</v>
      </c>
      <c r="J298" s="43" t="s">
        <v>108</v>
      </c>
      <c r="K298" s="43" t="s">
        <v>103</v>
      </c>
      <c r="L298" s="45">
        <v>0.12</v>
      </c>
      <c r="M298" s="43" t="s">
        <v>114</v>
      </c>
      <c r="N298" s="17" t="str">
        <f t="shared" si="20"/>
        <v>Yes</v>
      </c>
      <c r="O298" s="17" t="str">
        <f t="shared" si="21"/>
        <v>Yes</v>
      </c>
      <c r="P298" s="18">
        <f t="shared" si="22"/>
        <v>9690</v>
      </c>
      <c r="Q298" s="17" t="str">
        <f t="shared" si="23"/>
        <v>Maverick / non-preferred</v>
      </c>
      <c r="R298" s="20" t="str">
        <f t="shared" si="24"/>
        <v>Medium</v>
      </c>
    </row>
    <row r="299" spans="1:18" ht="15">
      <c r="A299" s="41">
        <v>295</v>
      </c>
      <c r="B299" s="42">
        <v>45876</v>
      </c>
      <c r="C299" s="43" t="s">
        <v>116</v>
      </c>
      <c r="D299" s="43" t="s">
        <v>26</v>
      </c>
      <c r="E299" s="43" t="s">
        <v>72</v>
      </c>
      <c r="F299" s="43" t="s">
        <v>101</v>
      </c>
      <c r="G299" s="43" t="s">
        <v>110</v>
      </c>
      <c r="H299" s="44">
        <v>13770</v>
      </c>
      <c r="I299" s="43" t="s">
        <v>108</v>
      </c>
      <c r="J299" s="43" t="s">
        <v>103</v>
      </c>
      <c r="K299" s="43" t="s">
        <v>103</v>
      </c>
      <c r="L299" s="45">
        <v>0.1</v>
      </c>
      <c r="M299" s="43" t="s">
        <v>104</v>
      </c>
      <c r="N299" s="17" t="str">
        <f t="shared" si="20"/>
        <v>Yes</v>
      </c>
      <c r="O299" s="17" t="str">
        <f t="shared" si="21"/>
        <v>No</v>
      </c>
      <c r="P299" s="18">
        <f t="shared" si="22"/>
        <v>1377</v>
      </c>
      <c r="Q299" s="17" t="str">
        <f t="shared" si="23"/>
        <v>Maverick / non-preferred</v>
      </c>
      <c r="R299" s="20" t="str">
        <f t="shared" si="24"/>
        <v>Low</v>
      </c>
    </row>
    <row r="300" spans="1:18" ht="15">
      <c r="A300" s="41">
        <v>296</v>
      </c>
      <c r="B300" s="42">
        <v>45899</v>
      </c>
      <c r="C300" s="43" t="s">
        <v>123</v>
      </c>
      <c r="D300" s="43" t="s">
        <v>79</v>
      </c>
      <c r="E300" s="43" t="s">
        <v>72</v>
      </c>
      <c r="F300" s="43" t="s">
        <v>115</v>
      </c>
      <c r="G300" s="43" t="s">
        <v>107</v>
      </c>
      <c r="H300" s="44">
        <v>16590</v>
      </c>
      <c r="I300" s="43" t="s">
        <v>103</v>
      </c>
      <c r="J300" s="43" t="s">
        <v>108</v>
      </c>
      <c r="K300" s="43" t="s">
        <v>108</v>
      </c>
      <c r="L300" s="45">
        <v>7.0000000000000007E-2</v>
      </c>
      <c r="M300" s="43" t="s">
        <v>124</v>
      </c>
      <c r="N300" s="17" t="str">
        <f t="shared" si="20"/>
        <v>Yes</v>
      </c>
      <c r="O300" s="17" t="str">
        <f t="shared" si="21"/>
        <v>No</v>
      </c>
      <c r="P300" s="18">
        <f t="shared" si="22"/>
        <v>0</v>
      </c>
      <c r="Q300" s="17" t="str">
        <f t="shared" si="23"/>
        <v>Maverick / non-preferred</v>
      </c>
      <c r="R300" s="20" t="str">
        <f t="shared" si="24"/>
        <v>Low</v>
      </c>
    </row>
    <row r="301" spans="1:18" ht="15">
      <c r="A301" s="41">
        <v>297</v>
      </c>
      <c r="B301" s="42">
        <v>45723</v>
      </c>
      <c r="C301" s="43" t="s">
        <v>117</v>
      </c>
      <c r="D301" s="43" t="s">
        <v>81</v>
      </c>
      <c r="E301" s="43" t="s">
        <v>72</v>
      </c>
      <c r="F301" s="43" t="s">
        <v>127</v>
      </c>
      <c r="G301" s="43" t="s">
        <v>110</v>
      </c>
      <c r="H301" s="44">
        <v>5280</v>
      </c>
      <c r="I301" s="43" t="s">
        <v>108</v>
      </c>
      <c r="J301" s="43" t="s">
        <v>108</v>
      </c>
      <c r="K301" s="43" t="s">
        <v>103</v>
      </c>
      <c r="L301" s="45">
        <v>0.18</v>
      </c>
      <c r="M301" s="43" t="s">
        <v>118</v>
      </c>
      <c r="N301" s="17" t="str">
        <f t="shared" si="20"/>
        <v>Yes</v>
      </c>
      <c r="O301" s="17" t="str">
        <f t="shared" si="21"/>
        <v>No</v>
      </c>
      <c r="P301" s="18">
        <f t="shared" si="22"/>
        <v>950.4</v>
      </c>
      <c r="Q301" s="17" t="str">
        <f t="shared" si="23"/>
        <v>Maverick / non-preferred</v>
      </c>
      <c r="R301" s="20" t="str">
        <f t="shared" si="24"/>
        <v>Low</v>
      </c>
    </row>
    <row r="302" spans="1:18" ht="15">
      <c r="A302" s="41">
        <v>298</v>
      </c>
      <c r="B302" s="42">
        <v>45845</v>
      </c>
      <c r="C302" s="43" t="s">
        <v>144</v>
      </c>
      <c r="D302" s="43" t="s">
        <v>83</v>
      </c>
      <c r="E302" s="43" t="s">
        <v>67</v>
      </c>
      <c r="F302" s="43" t="s">
        <v>101</v>
      </c>
      <c r="G302" s="43" t="s">
        <v>120</v>
      </c>
      <c r="H302" s="44">
        <v>6130</v>
      </c>
      <c r="I302" s="43" t="s">
        <v>103</v>
      </c>
      <c r="J302" s="43" t="s">
        <v>103</v>
      </c>
      <c r="K302" s="43" t="s">
        <v>108</v>
      </c>
      <c r="L302" s="45">
        <v>0.06</v>
      </c>
      <c r="M302" s="43" t="s">
        <v>104</v>
      </c>
      <c r="N302" s="17" t="str">
        <f t="shared" si="20"/>
        <v>No</v>
      </c>
      <c r="O302" s="17" t="str">
        <f t="shared" si="21"/>
        <v>No</v>
      </c>
      <c r="P302" s="18">
        <f t="shared" si="22"/>
        <v>0</v>
      </c>
      <c r="Q302" s="17" t="str">
        <f t="shared" si="23"/>
        <v>Non-addressable</v>
      </c>
      <c r="R302" s="20" t="str">
        <f t="shared" si="24"/>
        <v>Low</v>
      </c>
    </row>
    <row r="303" spans="1:18" ht="15">
      <c r="A303" s="41">
        <v>299</v>
      </c>
      <c r="B303" s="42">
        <v>45845</v>
      </c>
      <c r="C303" s="43" t="s">
        <v>138</v>
      </c>
      <c r="D303" s="43" t="s">
        <v>26</v>
      </c>
      <c r="E303" s="43" t="s">
        <v>72</v>
      </c>
      <c r="F303" s="43" t="s">
        <v>115</v>
      </c>
      <c r="G303" s="43" t="s">
        <v>107</v>
      </c>
      <c r="H303" s="44">
        <v>9530</v>
      </c>
      <c r="I303" s="43" t="s">
        <v>108</v>
      </c>
      <c r="J303" s="43" t="s">
        <v>108</v>
      </c>
      <c r="K303" s="43" t="s">
        <v>103</v>
      </c>
      <c r="L303" s="45">
        <v>0.1</v>
      </c>
      <c r="M303" s="43" t="s">
        <v>104</v>
      </c>
      <c r="N303" s="17" t="str">
        <f t="shared" si="20"/>
        <v>Yes</v>
      </c>
      <c r="O303" s="17" t="str">
        <f t="shared" si="21"/>
        <v>No</v>
      </c>
      <c r="P303" s="18">
        <f t="shared" si="22"/>
        <v>953</v>
      </c>
      <c r="Q303" s="17" t="str">
        <f t="shared" si="23"/>
        <v>Maverick / non-preferred</v>
      </c>
      <c r="R303" s="20" t="str">
        <f t="shared" si="24"/>
        <v>Low</v>
      </c>
    </row>
    <row r="304" spans="1:18" ht="15">
      <c r="A304" s="46">
        <v>300</v>
      </c>
      <c r="B304" s="47">
        <v>45968</v>
      </c>
      <c r="C304" s="48" t="s">
        <v>154</v>
      </c>
      <c r="D304" s="48" t="s">
        <v>21</v>
      </c>
      <c r="E304" s="48" t="s">
        <v>67</v>
      </c>
      <c r="F304" s="48" t="s">
        <v>106</v>
      </c>
      <c r="G304" s="48" t="s">
        <v>102</v>
      </c>
      <c r="H304" s="49">
        <v>48550</v>
      </c>
      <c r="I304" s="48" t="s">
        <v>108</v>
      </c>
      <c r="J304" s="48" t="s">
        <v>108</v>
      </c>
      <c r="K304" s="48" t="s">
        <v>103</v>
      </c>
      <c r="L304" s="50">
        <v>0.06</v>
      </c>
      <c r="M304" s="48" t="s">
        <v>104</v>
      </c>
      <c r="N304" s="22" t="str">
        <f t="shared" si="20"/>
        <v>Yes</v>
      </c>
      <c r="O304" s="22" t="str">
        <f t="shared" si="21"/>
        <v>No</v>
      </c>
      <c r="P304" s="23">
        <f t="shared" si="22"/>
        <v>2913</v>
      </c>
      <c r="Q304" s="22" t="str">
        <f t="shared" si="23"/>
        <v>Maverick / non-preferred</v>
      </c>
      <c r="R304" s="25" t="str">
        <f t="shared" si="24"/>
        <v>Low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4"/>
  <sheetViews>
    <sheetView showGridLines="0" workbookViewId="0">
      <selection activeCell="D22" sqref="D22"/>
    </sheetView>
  </sheetViews>
  <sheetFormatPr baseColWidth="10" defaultColWidth="8.83203125" defaultRowHeight="14"/>
  <cols>
    <col min="1" max="1" width="24" customWidth="1"/>
    <col min="2" max="2" width="16" customWidth="1"/>
    <col min="3" max="4" width="18" customWidth="1"/>
    <col min="5" max="5" width="14" customWidth="1"/>
    <col min="6" max="6" width="17" customWidth="1"/>
    <col min="7" max="8" width="14" customWidth="1"/>
    <col min="10" max="10" width="22" customWidth="1"/>
    <col min="11" max="11" width="14" customWidth="1"/>
    <col min="12" max="13" width="16" customWidth="1"/>
    <col min="14" max="14" width="17" customWidth="1"/>
    <col min="15" max="15" width="12" customWidth="1"/>
    <col min="16" max="16" width="22" customWidth="1"/>
  </cols>
  <sheetData>
    <row r="1" spans="1:26" ht="45.25" customHeight="1">
      <c r="A1" s="55" t="s">
        <v>162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57" t="s">
        <v>163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.25" customHeight="1">
      <c r="A4" s="59" t="s">
        <v>164</v>
      </c>
      <c r="B4" s="60"/>
      <c r="C4" s="60"/>
      <c r="D4" s="60"/>
      <c r="E4" s="60"/>
      <c r="F4" s="60"/>
      <c r="G4" s="60"/>
      <c r="H4" s="60"/>
      <c r="I4" s="60"/>
      <c r="J4" s="59" t="s">
        <v>165</v>
      </c>
      <c r="K4" s="60"/>
    </row>
    <row r="5" spans="1:26">
      <c r="A5" s="3" t="s">
        <v>10</v>
      </c>
      <c r="B5" s="4" t="s">
        <v>3</v>
      </c>
      <c r="C5" s="4" t="s">
        <v>4</v>
      </c>
      <c r="D5" s="4" t="s">
        <v>11</v>
      </c>
      <c r="E5" s="4" t="s">
        <v>166</v>
      </c>
      <c r="F5" s="4" t="s">
        <v>12</v>
      </c>
      <c r="G5" s="4" t="s">
        <v>167</v>
      </c>
      <c r="H5" s="5" t="s">
        <v>168</v>
      </c>
      <c r="J5" s="3" t="s">
        <v>89</v>
      </c>
      <c r="K5" s="4" t="s">
        <v>3</v>
      </c>
      <c r="L5" s="4" t="s">
        <v>4</v>
      </c>
      <c r="M5" s="4" t="s">
        <v>11</v>
      </c>
      <c r="N5" s="4" t="s">
        <v>12</v>
      </c>
      <c r="O5" s="4" t="s">
        <v>169</v>
      </c>
      <c r="P5" s="5" t="s">
        <v>170</v>
      </c>
    </row>
    <row r="6" spans="1:26">
      <c r="A6" s="6" t="s">
        <v>17</v>
      </c>
      <c r="B6" s="9">
        <f>SUMIFS(Spend_Data!$H:$H,Spend_Data!$D:$D,A6)</f>
        <v>1347530</v>
      </c>
      <c r="C6" s="9">
        <f>SUMIFS(Spend_Data!$H:$H,Spend_Data!$D:$D,A6,Spend_Data!$K:$K,"Yes")</f>
        <v>1347530</v>
      </c>
      <c r="D6" s="9">
        <f>SUMIFS(Spend_Data!$H:$H,Spend_Data!$D:$D,A6,Spend_Data!$N:$N,"Yes")</f>
        <v>860720</v>
      </c>
      <c r="E6" s="12">
        <v>5</v>
      </c>
      <c r="F6" s="9">
        <f>SUMIFS(Spend_Data!$P:$P,Spend_Data!$D:$D,A6)</f>
        <v>107802.40000000001</v>
      </c>
      <c r="G6" s="8">
        <f t="shared" ref="G6:G15" si="0">B6/SUM($B$6:$B$15)</f>
        <v>0.1931732169684737</v>
      </c>
      <c r="H6" s="26">
        <f t="shared" ref="H6:H15" si="1">IFERROR(F6/C6,0)</f>
        <v>0.08</v>
      </c>
      <c r="J6" s="6" t="s">
        <v>105</v>
      </c>
      <c r="K6" s="9">
        <f>SUMIFS(Spend_Data!$H:$H,Spend_Data!$C:$C,J6)</f>
        <v>715090</v>
      </c>
      <c r="L6" s="9">
        <f>SUMIFS(Spend_Data!$H:$H,Spend_Data!$C:$C,J6,Spend_Data!$K:$K,"Yes")</f>
        <v>301130</v>
      </c>
      <c r="M6" s="9">
        <f>SUMIFS(Spend_Data!$H:$H,Spend_Data!$C:$C,J6,Spend_Data!$N:$N,"Yes")</f>
        <v>0</v>
      </c>
      <c r="N6" s="9">
        <f>SUMIFS(Spend_Data!$P:$P,Spend_Data!$C:$C,J6)</f>
        <v>15056.5</v>
      </c>
      <c r="O6" s="12" t="str">
        <f>IF(COUNTIFS(Spend_Data!$C:$C,J6,Spend_Data!$J:$J,"Yes")&gt;0,"Yes","No")</f>
        <v>Yes</v>
      </c>
      <c r="P6" s="7" t="str">
        <f>INDEX(Spend_Data!$D:$D,MATCH(J6,Spend_Data!$C:$C,0))</f>
        <v>Raw Materials</v>
      </c>
    </row>
    <row r="7" spans="1:26">
      <c r="A7" s="6" t="s">
        <v>25</v>
      </c>
      <c r="B7" s="9">
        <f>SUMIFS(Spend_Data!$H:$H,Spend_Data!$D:$D,A7)</f>
        <v>1824420</v>
      </c>
      <c r="C7" s="9">
        <f>SUMIFS(Spend_Data!$H:$H,Spend_Data!$D:$D,A7,Spend_Data!$K:$K,"Yes")</f>
        <v>561930</v>
      </c>
      <c r="D7" s="9">
        <f>SUMIFS(Spend_Data!$H:$H,Spend_Data!$D:$D,A7,Spend_Data!$N:$N,"Yes")</f>
        <v>666330</v>
      </c>
      <c r="E7" s="12">
        <v>5</v>
      </c>
      <c r="F7" s="9">
        <f>SUMIFS(Spend_Data!$P:$P,Spend_Data!$D:$D,A7)</f>
        <v>28096.5</v>
      </c>
      <c r="G7" s="8">
        <f t="shared" si="0"/>
        <v>0.26153709416608367</v>
      </c>
      <c r="H7" s="26">
        <f t="shared" si="1"/>
        <v>0.05</v>
      </c>
      <c r="J7" s="6" t="s">
        <v>129</v>
      </c>
      <c r="K7" s="9">
        <f>SUMIFS(Spend_Data!$H:$H,Spend_Data!$C:$C,J7)</f>
        <v>490700</v>
      </c>
      <c r="L7" s="9">
        <f>SUMIFS(Spend_Data!$H:$H,Spend_Data!$C:$C,J7,Spend_Data!$K:$K,"Yes")</f>
        <v>0</v>
      </c>
      <c r="M7" s="9">
        <f>SUMIFS(Spend_Data!$H:$H,Spend_Data!$C:$C,J7,Spend_Data!$N:$N,"Yes")</f>
        <v>490700</v>
      </c>
      <c r="N7" s="9">
        <f>SUMIFS(Spend_Data!$P:$P,Spend_Data!$C:$C,J7)</f>
        <v>0</v>
      </c>
      <c r="O7" s="12" t="str">
        <f>IF(COUNTIFS(Spend_Data!$C:$C,J7,Spend_Data!$J:$J,"Yes")&gt;0,"Yes","No")</f>
        <v>No</v>
      </c>
      <c r="P7" s="7" t="str">
        <f>INDEX(Spend_Data!$D:$D,MATCH(J7,Spend_Data!$C:$C,0))</f>
        <v>Professional Services</v>
      </c>
    </row>
    <row r="8" spans="1:26">
      <c r="A8" s="6" t="s">
        <v>21</v>
      </c>
      <c r="B8" s="9">
        <f>SUMIFS(Spend_Data!$H:$H,Spend_Data!$D:$D,A8)</f>
        <v>556150</v>
      </c>
      <c r="C8" s="9">
        <f>SUMIFS(Spend_Data!$H:$H,Spend_Data!$D:$D,A8,Spend_Data!$K:$K,"Yes")</f>
        <v>556150</v>
      </c>
      <c r="D8" s="9">
        <f>SUMIFS(Spend_Data!$H:$H,Spend_Data!$D:$D,A8,Spend_Data!$N:$N,"Yes")</f>
        <v>317290</v>
      </c>
      <c r="E8" s="12">
        <v>5</v>
      </c>
      <c r="F8" s="9">
        <f>SUMIFS(Spend_Data!$P:$P,Spend_Data!$D:$D,A8)</f>
        <v>33369</v>
      </c>
      <c r="G8" s="8">
        <f t="shared" si="0"/>
        <v>7.9726080025688956E-2</v>
      </c>
      <c r="H8" s="26">
        <f t="shared" si="1"/>
        <v>0.06</v>
      </c>
      <c r="J8" s="6" t="s">
        <v>145</v>
      </c>
      <c r="K8" s="9">
        <f>SUMIFS(Spend_Data!$H:$H,Spend_Data!$C:$C,J8)</f>
        <v>443000</v>
      </c>
      <c r="L8" s="9">
        <f>SUMIFS(Spend_Data!$H:$H,Spend_Data!$C:$C,J8,Spend_Data!$K:$K,"Yes")</f>
        <v>89540</v>
      </c>
      <c r="M8" s="9">
        <f>SUMIFS(Spend_Data!$H:$H,Spend_Data!$C:$C,J8,Spend_Data!$N:$N,"Yes")</f>
        <v>0</v>
      </c>
      <c r="N8" s="9">
        <f>SUMIFS(Spend_Data!$P:$P,Spend_Data!$C:$C,J8)</f>
        <v>4477</v>
      </c>
      <c r="O8" s="12" t="str">
        <f>IF(COUNTIFS(Spend_Data!$C:$C,J8,Spend_Data!$J:$J,"Yes")&gt;0,"Yes","No")</f>
        <v>Yes</v>
      </c>
      <c r="P8" s="7" t="str">
        <f>INDEX(Spend_Data!$D:$D,MATCH(J8,Spend_Data!$C:$C,0))</f>
        <v>Raw Materials</v>
      </c>
    </row>
    <row r="9" spans="1:26">
      <c r="A9" s="6" t="s">
        <v>19</v>
      </c>
      <c r="B9" s="9">
        <f>SUMIFS(Spend_Data!$H:$H,Spend_Data!$D:$D,A9)</f>
        <v>421720</v>
      </c>
      <c r="C9" s="9">
        <f>SUMIFS(Spend_Data!$H:$H,Spend_Data!$D:$D,A9,Spend_Data!$K:$K,"Yes")</f>
        <v>421720</v>
      </c>
      <c r="D9" s="9">
        <f>SUMIFS(Spend_Data!$H:$H,Spend_Data!$D:$D,A9,Spend_Data!$N:$N,"Yes")</f>
        <v>277970</v>
      </c>
      <c r="E9" s="12">
        <v>5</v>
      </c>
      <c r="F9" s="9">
        <f>SUMIFS(Spend_Data!$P:$P,Spend_Data!$D:$D,A9)</f>
        <v>50606.400000000001</v>
      </c>
      <c r="G9" s="8">
        <f t="shared" si="0"/>
        <v>6.0455061527346123E-2</v>
      </c>
      <c r="H9" s="26">
        <f t="shared" si="1"/>
        <v>0.12000000000000001</v>
      </c>
      <c r="J9" s="6" t="s">
        <v>133</v>
      </c>
      <c r="K9" s="9">
        <f>SUMIFS(Spend_Data!$H:$H,Spend_Data!$C:$C,J9)</f>
        <v>332940</v>
      </c>
      <c r="L9" s="9">
        <f>SUMIFS(Spend_Data!$H:$H,Spend_Data!$C:$C,J9,Spend_Data!$K:$K,"Yes")</f>
        <v>332940</v>
      </c>
      <c r="M9" s="9">
        <f>SUMIFS(Spend_Data!$H:$H,Spend_Data!$C:$C,J9,Spend_Data!$N:$N,"Yes")</f>
        <v>27550</v>
      </c>
      <c r="N9" s="9">
        <f>SUMIFS(Spend_Data!$P:$P,Spend_Data!$C:$C,J9)</f>
        <v>26635.200000000001</v>
      </c>
      <c r="O9" s="12" t="str">
        <f>IF(COUNTIFS(Spend_Data!$C:$C,J9,Spend_Data!$J:$J,"Yes")&gt;0,"Yes","No")</f>
        <v>Yes</v>
      </c>
      <c r="P9" s="7" t="str">
        <f>INDEX(Spend_Data!$D:$D,MATCH(J9,Spend_Data!$C:$C,0))</f>
        <v>Freight &amp; Logistics</v>
      </c>
    </row>
    <row r="10" spans="1:26">
      <c r="A10" s="6" t="s">
        <v>23</v>
      </c>
      <c r="B10" s="9">
        <f>SUMIFS(Spend_Data!$H:$H,Spend_Data!$D:$D,A10)</f>
        <v>189390</v>
      </c>
      <c r="C10" s="9">
        <f>SUMIFS(Spend_Data!$H:$H,Spend_Data!$D:$D,A10,Spend_Data!$K:$K,"Yes")</f>
        <v>189390</v>
      </c>
      <c r="D10" s="9">
        <f>SUMIFS(Spend_Data!$H:$H,Spend_Data!$D:$D,A10,Spend_Data!$N:$N,"Yes")</f>
        <v>128200</v>
      </c>
      <c r="E10" s="12">
        <v>4</v>
      </c>
      <c r="F10" s="9">
        <f>SUMIFS(Spend_Data!$P:$P,Spend_Data!$D:$D,A10)</f>
        <v>28408.5</v>
      </c>
      <c r="G10" s="8">
        <f t="shared" si="0"/>
        <v>2.7149729921900984E-2</v>
      </c>
      <c r="H10" s="26">
        <f t="shared" si="1"/>
        <v>0.15</v>
      </c>
      <c r="J10" s="6" t="s">
        <v>149</v>
      </c>
      <c r="K10" s="9">
        <f>SUMIFS(Spend_Data!$H:$H,Spend_Data!$C:$C,J10)</f>
        <v>307200</v>
      </c>
      <c r="L10" s="9">
        <f>SUMIFS(Spend_Data!$H:$H,Spend_Data!$C:$C,J10,Spend_Data!$K:$K,"Yes")</f>
        <v>0</v>
      </c>
      <c r="M10" s="9">
        <f>SUMIFS(Spend_Data!$H:$H,Spend_Data!$C:$C,J10,Spend_Data!$N:$N,"Yes")</f>
        <v>0</v>
      </c>
      <c r="N10" s="9">
        <f>SUMIFS(Spend_Data!$P:$P,Spend_Data!$C:$C,J10)</f>
        <v>0</v>
      </c>
      <c r="O10" s="12" t="str">
        <f>IF(COUNTIFS(Spend_Data!$C:$C,J10,Spend_Data!$J:$J,"Yes")&gt;0,"Yes","No")</f>
        <v>Yes</v>
      </c>
      <c r="P10" s="7" t="str">
        <f>INDEX(Spend_Data!$D:$D,MATCH(J10,Spend_Data!$C:$C,0))</f>
        <v>Temp Labor</v>
      </c>
    </row>
    <row r="11" spans="1:26">
      <c r="A11" s="6" t="s">
        <v>26</v>
      </c>
      <c r="B11" s="9">
        <f>SUMIFS(Spend_Data!$H:$H,Spend_Data!$D:$D,A11)</f>
        <v>275820</v>
      </c>
      <c r="C11" s="9">
        <f>SUMIFS(Spend_Data!$H:$H,Spend_Data!$D:$D,A11,Spend_Data!$K:$K,"Yes")</f>
        <v>275820</v>
      </c>
      <c r="D11" s="9">
        <f>SUMIFS(Spend_Data!$H:$H,Spend_Data!$D:$D,A11,Spend_Data!$N:$N,"Yes")</f>
        <v>183980</v>
      </c>
      <c r="E11" s="12">
        <v>5</v>
      </c>
      <c r="F11" s="9">
        <f>SUMIFS(Spend_Data!$P:$P,Spend_Data!$D:$D,A11)</f>
        <v>27582</v>
      </c>
      <c r="G11" s="8">
        <f t="shared" si="0"/>
        <v>3.9539777744647175E-2</v>
      </c>
      <c r="H11" s="26">
        <f t="shared" si="1"/>
        <v>0.1</v>
      </c>
      <c r="J11" s="6" t="s">
        <v>109</v>
      </c>
      <c r="K11" s="9">
        <f>SUMIFS(Spend_Data!$H:$H,Spend_Data!$C:$C,J11)</f>
        <v>274550</v>
      </c>
      <c r="L11" s="9">
        <f>SUMIFS(Spend_Data!$H:$H,Spend_Data!$C:$C,J11,Spend_Data!$K:$K,"Yes")</f>
        <v>274550</v>
      </c>
      <c r="M11" s="9">
        <f>SUMIFS(Spend_Data!$H:$H,Spend_Data!$C:$C,J11,Spend_Data!$N:$N,"Yes")</f>
        <v>274550</v>
      </c>
      <c r="N11" s="9">
        <f>SUMIFS(Spend_Data!$P:$P,Spend_Data!$C:$C,J11)</f>
        <v>21964</v>
      </c>
      <c r="O11" s="12" t="str">
        <f>IF(COUNTIFS(Spend_Data!$C:$C,J11,Spend_Data!$J:$J,"Yes")&gt;0,"Yes","No")</f>
        <v>No</v>
      </c>
      <c r="P11" s="7" t="str">
        <f>INDEX(Spend_Data!$D:$D,MATCH(J11,Spend_Data!$C:$C,0))</f>
        <v>Freight &amp; Logistics</v>
      </c>
    </row>
    <row r="12" spans="1:26">
      <c r="A12" s="6" t="s">
        <v>76</v>
      </c>
      <c r="B12" s="9">
        <f>SUMIFS(Spend_Data!$H:$H,Spend_Data!$D:$D,A12)</f>
        <v>1118320</v>
      </c>
      <c r="C12" s="9">
        <f>SUMIFS(Spend_Data!$H:$H,Spend_Data!$D:$D,A12,Spend_Data!$K:$K,"Yes")</f>
        <v>0</v>
      </c>
      <c r="D12" s="9">
        <f>SUMIFS(Spend_Data!$H:$H,Spend_Data!$D:$D,A12,Spend_Data!$N:$N,"Yes")</f>
        <v>1013850</v>
      </c>
      <c r="E12" s="12">
        <v>5</v>
      </c>
      <c r="F12" s="9">
        <f>SUMIFS(Spend_Data!$P:$P,Spend_Data!$D:$D,A12)</f>
        <v>0</v>
      </c>
      <c r="G12" s="8">
        <f t="shared" si="0"/>
        <v>0.16031514845694234</v>
      </c>
      <c r="H12" s="26">
        <f t="shared" si="1"/>
        <v>0</v>
      </c>
      <c r="J12" s="6" t="s">
        <v>135</v>
      </c>
      <c r="K12" s="9">
        <f>SUMIFS(Spend_Data!$H:$H,Spend_Data!$C:$C,J12)</f>
        <v>271350</v>
      </c>
      <c r="L12" s="9">
        <f>SUMIFS(Spend_Data!$H:$H,Spend_Data!$C:$C,J12,Spend_Data!$K:$K,"Yes")</f>
        <v>271350</v>
      </c>
      <c r="M12" s="9">
        <f>SUMIFS(Spend_Data!$H:$H,Spend_Data!$C:$C,J12,Spend_Data!$N:$N,"Yes")</f>
        <v>271350</v>
      </c>
      <c r="N12" s="9">
        <f>SUMIFS(Spend_Data!$P:$P,Spend_Data!$C:$C,J12)</f>
        <v>21708</v>
      </c>
      <c r="O12" s="12" t="str">
        <f>IF(COUNTIFS(Spend_Data!$C:$C,J12,Spend_Data!$J:$J,"Yes")&gt;0,"Yes","No")</f>
        <v>No</v>
      </c>
      <c r="P12" s="7" t="str">
        <f>INDEX(Spend_Data!$D:$D,MATCH(J12,Spend_Data!$C:$C,0))</f>
        <v>Freight &amp; Logistics</v>
      </c>
    </row>
    <row r="13" spans="1:26">
      <c r="A13" s="6" t="s">
        <v>79</v>
      </c>
      <c r="B13" s="9">
        <f>SUMIFS(Spend_Data!$H:$H,Spend_Data!$D:$D,A13)</f>
        <v>724250</v>
      </c>
      <c r="C13" s="9">
        <f>SUMIFS(Spend_Data!$H:$H,Spend_Data!$D:$D,A13,Spend_Data!$K:$K,"Yes")</f>
        <v>0</v>
      </c>
      <c r="D13" s="9">
        <f>SUMIFS(Spend_Data!$H:$H,Spend_Data!$D:$D,A13,Spend_Data!$N:$N,"Yes")</f>
        <v>417050</v>
      </c>
      <c r="E13" s="12">
        <v>4</v>
      </c>
      <c r="F13" s="9">
        <f>SUMIFS(Spend_Data!$P:$P,Spend_Data!$D:$D,A13)</f>
        <v>0</v>
      </c>
      <c r="G13" s="8">
        <f t="shared" si="0"/>
        <v>0.10382381274585135</v>
      </c>
      <c r="H13" s="26">
        <f t="shared" si="1"/>
        <v>0</v>
      </c>
      <c r="J13" s="6" t="s">
        <v>121</v>
      </c>
      <c r="K13" s="9">
        <f>SUMIFS(Spend_Data!$H:$H,Spend_Data!$C:$C,J13)</f>
        <v>269790</v>
      </c>
      <c r="L13" s="9">
        <f>SUMIFS(Spend_Data!$H:$H,Spend_Data!$C:$C,J13,Spend_Data!$K:$K,"Yes")</f>
        <v>32470</v>
      </c>
      <c r="M13" s="9">
        <f>SUMIFS(Spend_Data!$H:$H,Spend_Data!$C:$C,J13,Spend_Data!$N:$N,"Yes")</f>
        <v>269790</v>
      </c>
      <c r="N13" s="9">
        <f>SUMIFS(Spend_Data!$P:$P,Spend_Data!$C:$C,J13)</f>
        <v>1623.5</v>
      </c>
      <c r="O13" s="12" t="str">
        <f>IF(COUNTIFS(Spend_Data!$C:$C,J13,Spend_Data!$J:$J,"Yes")&gt;0,"Yes","No")</f>
        <v>No</v>
      </c>
      <c r="P13" s="7" t="str">
        <f>INDEX(Spend_Data!$D:$D,MATCH(J13,Spend_Data!$C:$C,0))</f>
        <v>Raw Materials</v>
      </c>
    </row>
    <row r="14" spans="1:26">
      <c r="A14" s="6" t="s">
        <v>81</v>
      </c>
      <c r="B14" s="9">
        <f>SUMIFS(Spend_Data!$H:$H,Spend_Data!$D:$D,A14)</f>
        <v>149790</v>
      </c>
      <c r="C14" s="9">
        <f>SUMIFS(Spend_Data!$H:$H,Spend_Data!$D:$D,A14,Spend_Data!$K:$K,"Yes")</f>
        <v>149790</v>
      </c>
      <c r="D14" s="9">
        <f>SUMIFS(Spend_Data!$H:$H,Spend_Data!$D:$D,A14,Spend_Data!$N:$N,"Yes")</f>
        <v>109430</v>
      </c>
      <c r="E14" s="12">
        <v>4</v>
      </c>
      <c r="F14" s="9">
        <f>SUMIFS(Spend_Data!$P:$P,Spend_Data!$D:$D,A14)</f>
        <v>26962.199999999997</v>
      </c>
      <c r="G14" s="8">
        <f t="shared" si="0"/>
        <v>2.1472929114533756E-2</v>
      </c>
      <c r="H14" s="26">
        <f t="shared" si="1"/>
        <v>0.18</v>
      </c>
      <c r="J14" s="6" t="s">
        <v>131</v>
      </c>
      <c r="K14" s="9">
        <f>SUMIFS(Spend_Data!$H:$H,Spend_Data!$C:$C,J14)</f>
        <v>266530</v>
      </c>
      <c r="L14" s="9">
        <f>SUMIFS(Spend_Data!$H:$H,Spend_Data!$C:$C,J14,Spend_Data!$K:$K,"Yes")</f>
        <v>0</v>
      </c>
      <c r="M14" s="9">
        <f>SUMIFS(Spend_Data!$H:$H,Spend_Data!$C:$C,J14,Spend_Data!$N:$N,"Yes")</f>
        <v>266530</v>
      </c>
      <c r="N14" s="9">
        <f>SUMIFS(Spend_Data!$P:$P,Spend_Data!$C:$C,J14)</f>
        <v>0</v>
      </c>
      <c r="O14" s="12" t="str">
        <f>IF(COUNTIFS(Spend_Data!$C:$C,J14,Spend_Data!$J:$J,"Yes")&gt;0,"Yes","No")</f>
        <v>No</v>
      </c>
      <c r="P14" s="7" t="str">
        <f>INDEX(Spend_Data!$D:$D,MATCH(J14,Spend_Data!$C:$C,0))</f>
        <v>Temp Labor</v>
      </c>
    </row>
    <row r="15" spans="1:26">
      <c r="A15" s="10" t="s">
        <v>83</v>
      </c>
      <c r="B15" s="15">
        <f>SUMIFS(Spend_Data!$H:$H,Spend_Data!$D:$D,A15)</f>
        <v>368370</v>
      </c>
      <c r="C15" s="15">
        <f>SUMIFS(Spend_Data!$H:$H,Spend_Data!$D:$D,A15,Spend_Data!$K:$K,"Yes")</f>
        <v>0</v>
      </c>
      <c r="D15" s="15">
        <f>SUMIFS(Spend_Data!$H:$H,Spend_Data!$D:$D,A15,Spend_Data!$N:$N,"Yes")</f>
        <v>172190</v>
      </c>
      <c r="E15" s="13">
        <v>5</v>
      </c>
      <c r="F15" s="15">
        <f>SUMIFS(Spend_Data!$P:$P,Spend_Data!$D:$D,A15)</f>
        <v>0</v>
      </c>
      <c r="G15" s="14">
        <f t="shared" si="0"/>
        <v>5.2807149328531942E-2</v>
      </c>
      <c r="H15" s="27">
        <f t="shared" si="1"/>
        <v>0</v>
      </c>
      <c r="J15" s="6" t="s">
        <v>130</v>
      </c>
      <c r="K15" s="9">
        <f>SUMIFS(Spend_Data!$H:$H,Spend_Data!$C:$C,J15)</f>
        <v>254010</v>
      </c>
      <c r="L15" s="9">
        <f>SUMIFS(Spend_Data!$H:$H,Spend_Data!$C:$C,J15,Spend_Data!$K:$K,"Yes")</f>
        <v>254010</v>
      </c>
      <c r="M15" s="9">
        <f>SUMIFS(Spend_Data!$H:$H,Spend_Data!$C:$C,J15,Spend_Data!$N:$N,"Yes")</f>
        <v>254010</v>
      </c>
      <c r="N15" s="9">
        <f>SUMIFS(Spend_Data!$P:$P,Spend_Data!$C:$C,J15)</f>
        <v>20320.8</v>
      </c>
      <c r="O15" s="12" t="str">
        <f>IF(COUNTIFS(Spend_Data!$C:$C,J15,Spend_Data!$J:$J,"Yes")&gt;0,"Yes","No")</f>
        <v>No</v>
      </c>
      <c r="P15" s="7" t="str">
        <f>INDEX(Spend_Data!$D:$D,MATCH(J15,Spend_Data!$C:$C,0))</f>
        <v>Freight &amp; Logistics</v>
      </c>
    </row>
    <row r="16" spans="1:26">
      <c r="J16" s="6" t="s">
        <v>160</v>
      </c>
      <c r="K16" s="9">
        <f>SUMIFS(Spend_Data!$H:$H,Spend_Data!$C:$C,J16)</f>
        <v>244360</v>
      </c>
      <c r="L16" s="9">
        <f>SUMIFS(Spend_Data!$H:$H,Spend_Data!$C:$C,J16,Spend_Data!$K:$K,"Yes")</f>
        <v>0</v>
      </c>
      <c r="M16" s="9">
        <f>SUMIFS(Spend_Data!$H:$H,Spend_Data!$C:$C,J16,Spend_Data!$N:$N,"Yes")</f>
        <v>244360</v>
      </c>
      <c r="N16" s="9">
        <f>SUMIFS(Spend_Data!$P:$P,Spend_Data!$C:$C,J16)</f>
        <v>0</v>
      </c>
      <c r="O16" s="12" t="str">
        <f>IF(COUNTIFS(Spend_Data!$C:$C,J16,Spend_Data!$J:$J,"Yes")&gt;0,"Yes","No")</f>
        <v>No</v>
      </c>
      <c r="P16" s="7" t="str">
        <f>INDEX(Spend_Data!$D:$D,MATCH(J16,Spend_Data!$C:$C,0))</f>
        <v>Professional Services</v>
      </c>
    </row>
    <row r="17" spans="1:16">
      <c r="J17" s="6" t="s">
        <v>151</v>
      </c>
      <c r="K17" s="9">
        <f>SUMIFS(Spend_Data!$H:$H,Spend_Data!$C:$C,J17)</f>
        <v>225350</v>
      </c>
      <c r="L17" s="9">
        <f>SUMIFS(Spend_Data!$H:$H,Spend_Data!$C:$C,J17,Spend_Data!$K:$K,"Yes")</f>
        <v>104540</v>
      </c>
      <c r="M17" s="9">
        <f>SUMIFS(Spend_Data!$H:$H,Spend_Data!$C:$C,J17,Spend_Data!$N:$N,"Yes")</f>
        <v>225350</v>
      </c>
      <c r="N17" s="9">
        <f>SUMIFS(Spend_Data!$P:$P,Spend_Data!$C:$C,J17)</f>
        <v>5227</v>
      </c>
      <c r="O17" s="12" t="str">
        <f>IF(COUNTIFS(Spend_Data!$C:$C,J17,Spend_Data!$J:$J,"Yes")&gt;0,"Yes","No")</f>
        <v>No</v>
      </c>
      <c r="P17" s="7" t="str">
        <f>INDEX(Spend_Data!$D:$D,MATCH(J17,Spend_Data!$C:$C,0))</f>
        <v>Raw Materials</v>
      </c>
    </row>
    <row r="18" spans="1:16" ht="29.25" customHeight="1">
      <c r="A18" s="59" t="s">
        <v>171</v>
      </c>
      <c r="B18" s="60"/>
      <c r="C18" s="60"/>
      <c r="D18" s="60"/>
      <c r="E18" s="60"/>
      <c r="F18" s="60"/>
      <c r="G18" s="60"/>
      <c r="H18" s="60"/>
      <c r="I18" s="60"/>
      <c r="J18" s="69" t="s">
        <v>119</v>
      </c>
      <c r="K18" s="70">
        <f>SUMIFS(Spend_Data!$H:$H,Spend_Data!$C:$C,J18)</f>
        <v>214680</v>
      </c>
      <c r="L18" s="9">
        <f>SUMIFS(Spend_Data!$H:$H,Spend_Data!$C:$C,J18,Spend_Data!$K:$K,"Yes")</f>
        <v>214680</v>
      </c>
      <c r="M18" s="9">
        <f>SUMIFS(Spend_Data!$H:$H,Spend_Data!$C:$C,J18,Spend_Data!$N:$N,"Yes")</f>
        <v>33260</v>
      </c>
      <c r="N18" s="9">
        <f>SUMIFS(Spend_Data!$P:$P,Spend_Data!$C:$C,J18)</f>
        <v>17174.400000000001</v>
      </c>
      <c r="O18" s="12" t="str">
        <f>IF(COUNTIFS(Spend_Data!$C:$C,J18,Spend_Data!$J:$J,"Yes")&gt;0,"Yes","No")</f>
        <v>Yes</v>
      </c>
      <c r="P18" s="7" t="str">
        <f>INDEX(Spend_Data!$D:$D,MATCH(J18,Spend_Data!$C:$C,0))</f>
        <v>Freight &amp; Logistics</v>
      </c>
    </row>
    <row r="19" spans="1:16" ht="26">
      <c r="A19" s="3" t="s">
        <v>90</v>
      </c>
      <c r="B19" s="4" t="s">
        <v>3</v>
      </c>
      <c r="C19" s="4" t="s">
        <v>4</v>
      </c>
      <c r="D19" s="4" t="s">
        <v>11</v>
      </c>
      <c r="E19" s="4" t="s">
        <v>12</v>
      </c>
      <c r="F19" s="5" t="s">
        <v>167</v>
      </c>
      <c r="J19" s="6" t="s">
        <v>147</v>
      </c>
      <c r="K19" s="9">
        <f>SUMIFS(Spend_Data!$H:$H,Spend_Data!$C:$C,J19)</f>
        <v>171190</v>
      </c>
      <c r="L19" s="9">
        <f>SUMIFS(Spend_Data!$H:$H,Spend_Data!$C:$C,J19,Spend_Data!$K:$K,"Yes")</f>
        <v>34250</v>
      </c>
      <c r="M19" s="9">
        <f>SUMIFS(Spend_Data!$H:$H,Spend_Data!$C:$C,J19,Spend_Data!$N:$N,"Yes")</f>
        <v>171190</v>
      </c>
      <c r="N19" s="9">
        <f>SUMIFS(Spend_Data!$P:$P,Spend_Data!$C:$C,J19)</f>
        <v>1712.5</v>
      </c>
      <c r="O19" s="12" t="str">
        <f>IF(COUNTIFS(Spend_Data!$C:$C,J19,Spend_Data!$J:$J,"Yes")&gt;0,"Yes","No")</f>
        <v>No</v>
      </c>
      <c r="P19" s="7" t="str">
        <f>INDEX(Spend_Data!$D:$D,MATCH(J19,Spend_Data!$C:$C,0))</f>
        <v>Raw Materials</v>
      </c>
    </row>
    <row r="20" spans="1:16">
      <c r="A20" s="6" t="s">
        <v>101</v>
      </c>
      <c r="B20" s="9">
        <f>SUMIFS(Spend_Data!$H:$H,Spend_Data!$F:$F,A20)</f>
        <v>1639390</v>
      </c>
      <c r="C20" s="9">
        <f>SUMIFS(Spend_Data!$H:$H,Spend_Data!$F:$F,A20,Spend_Data!$K:$K,"Yes")</f>
        <v>663290</v>
      </c>
      <c r="D20" s="9">
        <f>SUMIFS(Spend_Data!$H:$H,Spend_Data!$F:$F,A20,Spend_Data!$N:$N,"Yes")</f>
        <v>757400</v>
      </c>
      <c r="E20" s="9">
        <f>SUMIFS(Spend_Data!$P:$P,Spend_Data!$F:$F,A20)</f>
        <v>58079.4</v>
      </c>
      <c r="F20" s="26">
        <f>B20/SUM($B$20:$B$24)</f>
        <v>0.23501238574721608</v>
      </c>
      <c r="J20" s="10" t="s">
        <v>100</v>
      </c>
      <c r="K20" s="15">
        <f>SUMIFS(Spend_Data!$H:$H,Spend_Data!$C:$C,J20)</f>
        <v>163280</v>
      </c>
      <c r="L20" s="15">
        <f>SUMIFS(Spend_Data!$H:$H,Spend_Data!$C:$C,J20,Spend_Data!$K:$K,"Yes")</f>
        <v>163280</v>
      </c>
      <c r="M20" s="15">
        <f>SUMIFS(Spend_Data!$H:$H,Spend_Data!$C:$C,J20,Spend_Data!$N:$N,"Yes")</f>
        <v>0</v>
      </c>
      <c r="N20" s="15">
        <f>SUMIFS(Spend_Data!$P:$P,Spend_Data!$C:$C,J20)</f>
        <v>9796.8000000000011</v>
      </c>
      <c r="O20" s="13" t="str">
        <f>IF(COUNTIFS(Spend_Data!$C:$C,J20,Spend_Data!$J:$J,"Yes")&gt;0,"Yes","No")</f>
        <v>Yes</v>
      </c>
      <c r="P20" s="11" t="str">
        <f>INDEX(Spend_Data!$D:$D,MATCH(J20,Spend_Data!$C:$C,0))</f>
        <v>Packaging</v>
      </c>
    </row>
    <row r="21" spans="1:16">
      <c r="A21" s="6" t="s">
        <v>113</v>
      </c>
      <c r="B21" s="9">
        <f>SUMIFS(Spend_Data!$H:$H,Spend_Data!$F:$F,A21)</f>
        <v>1105350</v>
      </c>
      <c r="C21" s="9">
        <f>SUMIFS(Spend_Data!$H:$H,Spend_Data!$F:$F,A21,Spend_Data!$K:$K,"Yes")</f>
        <v>514430</v>
      </c>
      <c r="D21" s="9">
        <f>SUMIFS(Spend_Data!$H:$H,Spend_Data!$F:$F,A21,Spend_Data!$N:$N,"Yes")</f>
        <v>706780</v>
      </c>
      <c r="E21" s="9">
        <f>SUMIFS(Spend_Data!$P:$P,Spend_Data!$F:$F,A21)</f>
        <v>48824.900000000009</v>
      </c>
      <c r="F21" s="26">
        <f>B21/SUM($B$20:$B$24)</f>
        <v>0.15845585283897382</v>
      </c>
    </row>
    <row r="22" spans="1:16">
      <c r="A22" s="6" t="s">
        <v>106</v>
      </c>
      <c r="B22" s="9">
        <f>SUMIFS(Spend_Data!$H:$H,Spend_Data!$F:$F,A22)</f>
        <v>1363050</v>
      </c>
      <c r="C22" s="9">
        <f>SUMIFS(Spend_Data!$H:$H,Spend_Data!$F:$F,A22,Spend_Data!$K:$K,"Yes")</f>
        <v>978550</v>
      </c>
      <c r="D22" s="9">
        <f>SUMIFS(Spend_Data!$H:$H,Spend_Data!$F:$F,A22,Spend_Data!$N:$N,"Yes")</f>
        <v>1040740</v>
      </c>
      <c r="E22" s="9">
        <f>SUMIFS(Spend_Data!$P:$P,Spend_Data!$F:$F,A22)</f>
        <v>79474.200000000012</v>
      </c>
      <c r="F22" s="26">
        <f>B22/SUM($B$20:$B$24)</f>
        <v>0.19539806415358327</v>
      </c>
    </row>
    <row r="23" spans="1:16">
      <c r="A23" s="6" t="s">
        <v>127</v>
      </c>
      <c r="B23" s="9">
        <f>SUMIFS(Spend_Data!$H:$H,Spend_Data!$F:$F,A23)</f>
        <v>1272650</v>
      </c>
      <c r="C23" s="9">
        <f>SUMIFS(Spend_Data!$H:$H,Spend_Data!$F:$F,A23,Spend_Data!$K:$K,"Yes")</f>
        <v>596600</v>
      </c>
      <c r="D23" s="9">
        <f>SUMIFS(Spend_Data!$H:$H,Spend_Data!$F:$F,A23,Spend_Data!$N:$N,"Yes")</f>
        <v>708510</v>
      </c>
      <c r="E23" s="9">
        <f>SUMIFS(Spend_Data!$P:$P,Spend_Data!$F:$F,A23)</f>
        <v>57118.2</v>
      </c>
      <c r="F23" s="26">
        <f>B23/SUM($B$20:$B$24)</f>
        <v>0.18243890271454294</v>
      </c>
    </row>
    <row r="24" spans="1:16">
      <c r="A24" s="10" t="s">
        <v>115</v>
      </c>
      <c r="B24" s="15">
        <f>SUMIFS(Spend_Data!$H:$H,Spend_Data!$F:$F,A24)</f>
        <v>1595320</v>
      </c>
      <c r="C24" s="15">
        <f>SUMIFS(Spend_Data!$H:$H,Spend_Data!$F:$F,A24,Spend_Data!$K:$K,"Yes")</f>
        <v>749460</v>
      </c>
      <c r="D24" s="15">
        <f>SUMIFS(Spend_Data!$H:$H,Spend_Data!$F:$F,A24,Spend_Data!$N:$N,"Yes")</f>
        <v>933580</v>
      </c>
      <c r="E24" s="15">
        <f>SUMIFS(Spend_Data!$P:$P,Spend_Data!$F:$F,A24)</f>
        <v>59330.3</v>
      </c>
      <c r="F24" s="27">
        <f>B24/SUM($B$20:$B$24)</f>
        <v>0.22869479454568392</v>
      </c>
    </row>
  </sheetData>
  <mergeCells count="4">
    <mergeCell ref="A1:K1"/>
    <mergeCell ref="A2:K2"/>
    <mergeCell ref="A4:K4"/>
    <mergeCell ref="A18:K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"/>
  <sheetViews>
    <sheetView showGridLines="0" workbookViewId="0">
      <selection activeCell="I18" sqref="I18"/>
    </sheetView>
  </sheetViews>
  <sheetFormatPr baseColWidth="10" defaultColWidth="8.83203125" defaultRowHeight="14"/>
  <cols>
    <col min="1" max="1" width="22" customWidth="1"/>
    <col min="2" max="2" width="13" customWidth="1"/>
    <col min="3" max="3" width="14" customWidth="1"/>
    <col min="4" max="4" width="12" customWidth="1"/>
    <col min="5" max="5" width="14" customWidth="1"/>
    <col min="6" max="6" width="15" customWidth="1"/>
    <col min="7" max="8" width="18" customWidth="1"/>
    <col min="9" max="9" width="18.83203125" customWidth="1"/>
    <col min="10" max="10" width="13.5" customWidth="1"/>
    <col min="11" max="11" width="34" customWidth="1"/>
  </cols>
  <sheetData>
    <row r="1" spans="1:26" ht="45.25" customHeight="1">
      <c r="A1" s="55" t="s">
        <v>172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57" t="s">
        <v>173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">
      <c r="A4" s="3" t="s">
        <v>10</v>
      </c>
      <c r="B4" s="4" t="s">
        <v>174</v>
      </c>
      <c r="C4" s="4" t="s">
        <v>175</v>
      </c>
      <c r="D4" s="4" t="s">
        <v>176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181</v>
      </c>
      <c r="J4" s="4" t="s">
        <v>13</v>
      </c>
      <c r="K4" s="5" t="s">
        <v>182</v>
      </c>
    </row>
    <row r="5" spans="1:26" ht="15">
      <c r="A5" s="16" t="s">
        <v>17</v>
      </c>
      <c r="B5" s="17">
        <v>5</v>
      </c>
      <c r="C5" s="17">
        <v>2</v>
      </c>
      <c r="D5" s="17">
        <v>3</v>
      </c>
      <c r="E5" s="18">
        <f>SUMIFS(Spend_Data!$H:$H,Spend_Data!$D:$D,A5,Spend_Data!$O:$O,"Yes")</f>
        <v>0</v>
      </c>
      <c r="F5" s="18">
        <f>SUMIFS(Spend_Data!$H:$H,Spend_Data!$D:$D,A5,Spend_Data!$J:$J,"Yes")</f>
        <v>547620</v>
      </c>
      <c r="G5" s="18">
        <f>SUMIFS(Spend_Data!$H:$H,Spend_Data!$D:$D,A5,Spend_Data!$J:$J,"No")</f>
        <v>799910</v>
      </c>
      <c r="H5" s="19">
        <f>Inputs!$B$8</f>
        <v>0.6</v>
      </c>
      <c r="I5" s="18">
        <f>E5*H5*_xlfn.XLOOKUP(A5,Inputs!$A$14:$A$23,Inputs!$C$14:$C$23,0)</f>
        <v>0</v>
      </c>
      <c r="J5" s="17" t="str">
        <f t="shared" ref="J5:J14" si="0">IF(I5&gt;=50000,"High",IF(I5&gt;=15000,"Medium","Low"))</f>
        <v>Low</v>
      </c>
      <c r="K5" s="20" t="str">
        <f t="shared" ref="K5:K14" si="1">IF(J5="High","Rebid / migrate to preferred panel",IF(J5="Medium","Consolidate tail vendors","Monitor / negotiate at renewal"))</f>
        <v>Monitor / negotiate at renewal</v>
      </c>
    </row>
    <row r="6" spans="1:26" ht="15">
      <c r="A6" s="16" t="s">
        <v>25</v>
      </c>
      <c r="B6" s="17">
        <v>5</v>
      </c>
      <c r="C6" s="17">
        <v>2</v>
      </c>
      <c r="D6" s="17">
        <v>3</v>
      </c>
      <c r="E6" s="18">
        <f>SUMIFS(Spend_Data!$H:$H,Spend_Data!$D:$D,A6,Spend_Data!$O:$O,"Yes")</f>
        <v>396540</v>
      </c>
      <c r="F6" s="18">
        <f>SUMIFS(Spend_Data!$H:$H,Spend_Data!$D:$D,A6,Spend_Data!$J:$J,"Yes")</f>
        <v>1158090</v>
      </c>
      <c r="G6" s="18">
        <f>SUMIFS(Spend_Data!$H:$H,Spend_Data!$D:$D,A6,Spend_Data!$J:$J,"No")</f>
        <v>666330</v>
      </c>
      <c r="H6" s="19">
        <f>Inputs!$B$8</f>
        <v>0.6</v>
      </c>
      <c r="I6" s="18">
        <f>E6*H6*_xlfn.XLOOKUP(A6,Inputs!$A$14:$A$23,Inputs!$C$14:$C$23,0)</f>
        <v>11896.2</v>
      </c>
      <c r="J6" s="17" t="str">
        <f t="shared" si="0"/>
        <v>Low</v>
      </c>
      <c r="K6" s="20" t="str">
        <f t="shared" si="1"/>
        <v>Monitor / negotiate at renewal</v>
      </c>
    </row>
    <row r="7" spans="1:26" ht="15">
      <c r="A7" s="16" t="s">
        <v>21</v>
      </c>
      <c r="B7" s="17">
        <v>5</v>
      </c>
      <c r="C7" s="17">
        <v>2</v>
      </c>
      <c r="D7" s="17">
        <v>3</v>
      </c>
      <c r="E7" s="18">
        <f>SUMIFS(Spend_Data!$H:$H,Spend_Data!$D:$D,A7,Spend_Data!$O:$O,"Yes")</f>
        <v>139930</v>
      </c>
      <c r="F7" s="18">
        <f>SUMIFS(Spend_Data!$H:$H,Spend_Data!$D:$D,A7,Spend_Data!$J:$J,"Yes")</f>
        <v>255720</v>
      </c>
      <c r="G7" s="18">
        <f>SUMIFS(Spend_Data!$H:$H,Spend_Data!$D:$D,A7,Spend_Data!$J:$J,"No")</f>
        <v>300430</v>
      </c>
      <c r="H7" s="19">
        <f>Inputs!$B$8</f>
        <v>0.6</v>
      </c>
      <c r="I7" s="18">
        <f>E7*H7*_xlfn.XLOOKUP(A7,Inputs!$A$14:$A$23,Inputs!$C$14:$C$23,0)</f>
        <v>5037.4799999999996</v>
      </c>
      <c r="J7" s="17" t="str">
        <f t="shared" si="0"/>
        <v>Low</v>
      </c>
      <c r="K7" s="20" t="str">
        <f t="shared" si="1"/>
        <v>Monitor / negotiate at renewal</v>
      </c>
    </row>
    <row r="8" spans="1:26" ht="15">
      <c r="A8" s="16" t="s">
        <v>19</v>
      </c>
      <c r="B8" s="17">
        <v>5</v>
      </c>
      <c r="C8" s="17">
        <v>2</v>
      </c>
      <c r="D8" s="17">
        <v>3</v>
      </c>
      <c r="E8" s="18">
        <f>SUMIFS(Spend_Data!$H:$H,Spend_Data!$D:$D,A8,Spend_Data!$O:$O,"Yes")</f>
        <v>105640</v>
      </c>
      <c r="F8" s="18">
        <f>SUMIFS(Spend_Data!$H:$H,Spend_Data!$D:$D,A8,Spend_Data!$J:$J,"Yes")</f>
        <v>152230</v>
      </c>
      <c r="G8" s="18">
        <f>SUMIFS(Spend_Data!$H:$H,Spend_Data!$D:$D,A8,Spend_Data!$J:$J,"No")</f>
        <v>269490</v>
      </c>
      <c r="H8" s="19">
        <f>Inputs!$B$8</f>
        <v>0.6</v>
      </c>
      <c r="I8" s="18">
        <f>E8*H8*_xlfn.XLOOKUP(A8,Inputs!$A$14:$A$23,Inputs!$C$14:$C$23,0)</f>
        <v>7606.08</v>
      </c>
      <c r="J8" s="17" t="str">
        <f t="shared" si="0"/>
        <v>Low</v>
      </c>
      <c r="K8" s="20" t="str">
        <f t="shared" si="1"/>
        <v>Monitor / negotiate at renewal</v>
      </c>
    </row>
    <row r="9" spans="1:26" ht="15">
      <c r="A9" s="16" t="s">
        <v>23</v>
      </c>
      <c r="B9" s="17">
        <v>4</v>
      </c>
      <c r="C9" s="17">
        <v>1</v>
      </c>
      <c r="D9" s="17">
        <v>3</v>
      </c>
      <c r="E9" s="18">
        <f>SUMIFS(Spend_Data!$H:$H,Spend_Data!$D:$D,A9,Spend_Data!$O:$O,"Yes")</f>
        <v>34030</v>
      </c>
      <c r="F9" s="18">
        <f>SUMIFS(Spend_Data!$H:$H,Spend_Data!$D:$D,A9,Spend_Data!$J:$J,"Yes")</f>
        <v>61190</v>
      </c>
      <c r="G9" s="18">
        <f>SUMIFS(Spend_Data!$H:$H,Spend_Data!$D:$D,A9,Spend_Data!$J:$J,"No")</f>
        <v>128200</v>
      </c>
      <c r="H9" s="19">
        <f>Inputs!$B$8</f>
        <v>0.6</v>
      </c>
      <c r="I9" s="18">
        <f>E9*H9*_xlfn.XLOOKUP(A9,Inputs!$A$14:$A$23,Inputs!$C$14:$C$23,0)</f>
        <v>3062.7</v>
      </c>
      <c r="J9" s="17" t="str">
        <f t="shared" si="0"/>
        <v>Low</v>
      </c>
      <c r="K9" s="20" t="str">
        <f t="shared" si="1"/>
        <v>Monitor / negotiate at renewal</v>
      </c>
    </row>
    <row r="10" spans="1:26" ht="15">
      <c r="A10" s="16" t="s">
        <v>26</v>
      </c>
      <c r="B10" s="17">
        <v>5</v>
      </c>
      <c r="C10" s="17">
        <v>2</v>
      </c>
      <c r="D10" s="17">
        <v>3</v>
      </c>
      <c r="E10" s="18">
        <f>SUMIFS(Spend_Data!$H:$H,Spend_Data!$D:$D,A10,Spend_Data!$O:$O,"Yes")</f>
        <v>116400</v>
      </c>
      <c r="F10" s="18">
        <f>SUMIFS(Spend_Data!$H:$H,Spend_Data!$D:$D,A10,Spend_Data!$J:$J,"Yes")</f>
        <v>105610</v>
      </c>
      <c r="G10" s="18">
        <f>SUMIFS(Spend_Data!$H:$H,Spend_Data!$D:$D,A10,Spend_Data!$J:$J,"No")</f>
        <v>170210</v>
      </c>
      <c r="H10" s="19">
        <f>Inputs!$B$8</f>
        <v>0.6</v>
      </c>
      <c r="I10" s="18">
        <f>E10*H10*_xlfn.XLOOKUP(A10,Inputs!$A$14:$A$23,Inputs!$C$14:$C$23,0)</f>
        <v>6984</v>
      </c>
      <c r="J10" s="17" t="str">
        <f t="shared" si="0"/>
        <v>Low</v>
      </c>
      <c r="K10" s="20" t="str">
        <f t="shared" si="1"/>
        <v>Monitor / negotiate at renewal</v>
      </c>
    </row>
    <row r="11" spans="1:26" ht="15">
      <c r="A11" s="16" t="s">
        <v>76</v>
      </c>
      <c r="B11" s="17">
        <v>5</v>
      </c>
      <c r="C11" s="17">
        <v>1</v>
      </c>
      <c r="D11" s="17">
        <v>4</v>
      </c>
      <c r="E11" s="18">
        <f>SUMIFS(Spend_Data!$H:$H,Spend_Data!$D:$D,A11,Spend_Data!$O:$O,"Yes")</f>
        <v>162990</v>
      </c>
      <c r="F11" s="18">
        <f>SUMIFS(Spend_Data!$H:$H,Spend_Data!$D:$D,A11,Spend_Data!$J:$J,"Yes")</f>
        <v>104470</v>
      </c>
      <c r="G11" s="18">
        <f>SUMIFS(Spend_Data!$H:$H,Spend_Data!$D:$D,A11,Spend_Data!$J:$J,"No")</f>
        <v>1013850</v>
      </c>
      <c r="H11" s="19">
        <f>Inputs!$B$8</f>
        <v>0.6</v>
      </c>
      <c r="I11" s="18">
        <f>E11*H11*_xlfn.XLOOKUP(A11,Inputs!$A$14:$A$23,Inputs!$C$14:$C$23,0)</f>
        <v>8801.4599999999991</v>
      </c>
      <c r="J11" s="17" t="str">
        <f t="shared" si="0"/>
        <v>Low</v>
      </c>
      <c r="K11" s="20" t="str">
        <f t="shared" si="1"/>
        <v>Monitor / negotiate at renewal</v>
      </c>
    </row>
    <row r="12" spans="1:26" ht="15">
      <c r="A12" s="16" t="s">
        <v>79</v>
      </c>
      <c r="B12" s="17">
        <v>4</v>
      </c>
      <c r="C12" s="17">
        <v>1</v>
      </c>
      <c r="D12" s="17">
        <v>3</v>
      </c>
      <c r="E12" s="18">
        <f>SUMIFS(Spend_Data!$H:$H,Spend_Data!$D:$D,A12,Spend_Data!$O:$O,"Yes")</f>
        <v>26390</v>
      </c>
      <c r="F12" s="18">
        <f>SUMIFS(Spend_Data!$H:$H,Spend_Data!$D:$D,A12,Spend_Data!$J:$J,"Yes")</f>
        <v>307200</v>
      </c>
      <c r="G12" s="18">
        <f>SUMIFS(Spend_Data!$H:$H,Spend_Data!$D:$D,A12,Spend_Data!$J:$J,"No")</f>
        <v>417050</v>
      </c>
      <c r="H12" s="19">
        <f>Inputs!$B$8</f>
        <v>0.6</v>
      </c>
      <c r="I12" s="18">
        <f>E12*H12*_xlfn.XLOOKUP(A12,Inputs!$A$14:$A$23,Inputs!$C$14:$C$23,0)</f>
        <v>1108.3800000000001</v>
      </c>
      <c r="J12" s="17" t="str">
        <f t="shared" si="0"/>
        <v>Low</v>
      </c>
      <c r="K12" s="20" t="str">
        <f t="shared" si="1"/>
        <v>Monitor / negotiate at renewal</v>
      </c>
    </row>
    <row r="13" spans="1:26" ht="15">
      <c r="A13" s="16" t="s">
        <v>81</v>
      </c>
      <c r="B13" s="17">
        <v>4</v>
      </c>
      <c r="C13" s="17">
        <v>1</v>
      </c>
      <c r="D13" s="17">
        <v>3</v>
      </c>
      <c r="E13" s="18">
        <f>SUMIFS(Spend_Data!$H:$H,Spend_Data!$D:$D,A13,Spend_Data!$O:$O,"Yes")</f>
        <v>17750</v>
      </c>
      <c r="F13" s="18">
        <f>SUMIFS(Spend_Data!$H:$H,Spend_Data!$D:$D,A13,Spend_Data!$J:$J,"Yes")</f>
        <v>41680</v>
      </c>
      <c r="G13" s="18">
        <f>SUMIFS(Spend_Data!$H:$H,Spend_Data!$D:$D,A13,Spend_Data!$J:$J,"No")</f>
        <v>108110</v>
      </c>
      <c r="H13" s="19">
        <f>Inputs!$B$8</f>
        <v>0.6</v>
      </c>
      <c r="I13" s="18">
        <f>E13*H13*_xlfn.XLOOKUP(A13,Inputs!$A$14:$A$23,Inputs!$C$14:$C$23,0)</f>
        <v>1917</v>
      </c>
      <c r="J13" s="17" t="str">
        <f t="shared" si="0"/>
        <v>Low</v>
      </c>
      <c r="K13" s="20" t="str">
        <f t="shared" si="1"/>
        <v>Monitor / negotiate at renewal</v>
      </c>
    </row>
    <row r="14" spans="1:26" ht="15">
      <c r="A14" s="21" t="s">
        <v>83</v>
      </c>
      <c r="B14" s="22">
        <v>5</v>
      </c>
      <c r="C14" s="22">
        <v>2</v>
      </c>
      <c r="D14" s="22">
        <v>3</v>
      </c>
      <c r="E14" s="23">
        <f>SUMIFS(Spend_Data!$H:$H,Spend_Data!$D:$D,A14,Spend_Data!$O:$O,"Yes")</f>
        <v>4930</v>
      </c>
      <c r="F14" s="23">
        <f>SUMIFS(Spend_Data!$H:$H,Spend_Data!$D:$D,A14,Spend_Data!$J:$J,"Yes")</f>
        <v>211360</v>
      </c>
      <c r="G14" s="23">
        <f>SUMIFS(Spend_Data!$H:$H,Spend_Data!$D:$D,A14,Spend_Data!$J:$J,"No")</f>
        <v>157010</v>
      </c>
      <c r="H14" s="24">
        <f>Inputs!$B$8</f>
        <v>0.6</v>
      </c>
      <c r="I14" s="18">
        <f>E14*H14*_xlfn.XLOOKUP(A14,Inputs!$A$14:$A$23,Inputs!$C$14:$C$23,0)</f>
        <v>177.48</v>
      </c>
      <c r="J14" s="22" t="str">
        <f t="shared" si="0"/>
        <v>Low</v>
      </c>
      <c r="K14" s="25" t="str">
        <f t="shared" si="1"/>
        <v>Monitor / negotiate at renewal</v>
      </c>
    </row>
  </sheetData>
  <mergeCells count="2">
    <mergeCell ref="A1:K1"/>
    <mergeCell ref="A2:K2"/>
  </mergeCells>
  <conditionalFormatting sqref="I5:I14">
    <cfRule type="dataBar" priority="1">
      <dataBar>
        <cfvo type="min"/>
        <cfvo type="max"/>
        <color rgb="FFB8862F"/>
      </dataBar>
    </cfRule>
    <cfRule type="dataBar" priority="3">
      <dataBar>
        <cfvo type="min"/>
        <cfvo type="max"/>
        <color rgb="FFB8862F"/>
      </dataBar>
      <extLst>
        <ext xmlns:x14="http://schemas.microsoft.com/office/spreadsheetml/2009/9/main" uri="{B025F937-C7B1-47D3-B67F-A62EFF666E3E}">
          <x14:id>{116FC022-A23D-B89D-0EDB-A412C9A18703}</x14:id>
        </ext>
      </extLst>
    </cfRule>
  </conditionalFormatting>
  <conditionalFormatting sqref="J5:J14">
    <cfRule type="expression" dxfId="5" priority="2">
      <formula>J5="High"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6FC022-A23D-B89D-0EDB-A412C9A18703}">
            <x14:dataBar gradient="0">
              <x14:cfvo type="min"/>
              <x14:cfvo type="max"/>
              <x14:negativeFillColor auto="1"/>
              <x14:axisColor auto="1"/>
            </x14:dataBar>
          </x14:cfRule>
          <xm:sqref>I5:I14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2"/>
  <sheetViews>
    <sheetView showGridLines="0" workbookViewId="0">
      <selection activeCell="K9" sqref="K9"/>
    </sheetView>
  </sheetViews>
  <sheetFormatPr baseColWidth="10" defaultColWidth="8.83203125" defaultRowHeight="14"/>
  <cols>
    <col min="1" max="1" width="8" customWidth="1"/>
    <col min="2" max="2" width="30" customWidth="1"/>
    <col min="3" max="3" width="22" customWidth="1"/>
    <col min="4" max="4" width="12" customWidth="1"/>
    <col min="5" max="5" width="24" customWidth="1"/>
    <col min="6" max="6" width="15" customWidth="1"/>
    <col min="7" max="7" width="12" customWidth="1"/>
    <col min="8" max="8" width="14" customWidth="1"/>
    <col min="9" max="9" width="13" customWidth="1"/>
    <col min="10" max="10" width="16" customWidth="1"/>
    <col min="11" max="12" width="13" customWidth="1"/>
  </cols>
  <sheetData>
    <row r="1" spans="1:26" ht="45.25" customHeight="1">
      <c r="A1" s="55" t="s">
        <v>183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57" t="s">
        <v>184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185</v>
      </c>
      <c r="B4" s="4" t="s">
        <v>186</v>
      </c>
      <c r="C4" s="4" t="s">
        <v>10</v>
      </c>
      <c r="D4" s="4" t="s">
        <v>96</v>
      </c>
      <c r="E4" s="4" t="s">
        <v>187</v>
      </c>
      <c r="F4" s="4" t="s">
        <v>188</v>
      </c>
      <c r="G4" s="4" t="s">
        <v>189</v>
      </c>
      <c r="H4" s="4" t="s">
        <v>15</v>
      </c>
      <c r="I4" s="4" t="s">
        <v>190</v>
      </c>
      <c r="J4" s="4" t="s">
        <v>16</v>
      </c>
      <c r="K4" s="4" t="s">
        <v>14</v>
      </c>
      <c r="L4" s="5" t="s">
        <v>191</v>
      </c>
    </row>
    <row r="5" spans="1:26" ht="15">
      <c r="A5" s="34">
        <v>1</v>
      </c>
      <c r="B5" s="34" t="s">
        <v>192</v>
      </c>
      <c r="C5" s="34" t="s">
        <v>17</v>
      </c>
      <c r="D5" s="34" t="s">
        <v>104</v>
      </c>
      <c r="E5" s="34" t="s">
        <v>193</v>
      </c>
      <c r="F5" s="51">
        <f>SUMIFS(Spend_Data!$H:$H,Spend_Data!$D:$D,C5,Spend_Data!$K:$K,"Yes")</f>
        <v>1347530</v>
      </c>
      <c r="G5" s="52">
        <v>7.4999999999999997E-2</v>
      </c>
      <c r="H5" s="51">
        <f t="shared" ref="H5:H12" si="0">F5*G5</f>
        <v>101064.75</v>
      </c>
      <c r="I5" s="52">
        <f>Inputs!$B$6</f>
        <v>0.8</v>
      </c>
      <c r="J5" s="51">
        <f t="shared" ref="J5:J12" si="1">H5*I5</f>
        <v>80851.8</v>
      </c>
      <c r="K5" s="34" t="s">
        <v>20</v>
      </c>
      <c r="L5" s="53">
        <v>46203</v>
      </c>
    </row>
    <row r="6" spans="1:26" ht="15">
      <c r="A6" s="34">
        <v>2</v>
      </c>
      <c r="B6" s="34" t="s">
        <v>194</v>
      </c>
      <c r="C6" s="34" t="s">
        <v>19</v>
      </c>
      <c r="D6" s="34" t="s">
        <v>114</v>
      </c>
      <c r="E6" s="34" t="s">
        <v>195</v>
      </c>
      <c r="F6" s="51">
        <f>SUMIFS(Spend_Data!$H:$H,Spend_Data!$D:$D,C6,Spend_Data!$K:$K,"Yes")</f>
        <v>421720</v>
      </c>
      <c r="G6" s="52">
        <v>0.12</v>
      </c>
      <c r="H6" s="51">
        <f t="shared" si="0"/>
        <v>50606.400000000001</v>
      </c>
      <c r="I6" s="52">
        <f>Inputs!$B$6</f>
        <v>0.8</v>
      </c>
      <c r="J6" s="51">
        <f t="shared" si="1"/>
        <v>40485.120000000003</v>
      </c>
      <c r="K6" s="34" t="s">
        <v>18</v>
      </c>
      <c r="L6" s="53">
        <v>46234</v>
      </c>
    </row>
    <row r="7" spans="1:26" ht="15">
      <c r="A7" s="34">
        <v>3</v>
      </c>
      <c r="B7" s="34" t="s">
        <v>196</v>
      </c>
      <c r="C7" s="34" t="s">
        <v>81</v>
      </c>
      <c r="D7" s="34" t="s">
        <v>118</v>
      </c>
      <c r="E7" s="34" t="s">
        <v>197</v>
      </c>
      <c r="F7" s="51">
        <f>SUMIFS(Spend_Data!$H:$H,Spend_Data!$D:$D,C7,Spend_Data!$K:$K,"Yes")</f>
        <v>149790</v>
      </c>
      <c r="G7" s="52">
        <v>0.18</v>
      </c>
      <c r="H7" s="51">
        <f t="shared" si="0"/>
        <v>26962.2</v>
      </c>
      <c r="I7" s="52">
        <f>Inputs!$B$6</f>
        <v>0.8</v>
      </c>
      <c r="J7" s="51">
        <f t="shared" si="1"/>
        <v>21569.760000000002</v>
      </c>
      <c r="K7" s="34" t="s">
        <v>20</v>
      </c>
      <c r="L7" s="53">
        <v>46188</v>
      </c>
    </row>
    <row r="8" spans="1:26" ht="15">
      <c r="A8" s="34">
        <v>4</v>
      </c>
      <c r="B8" s="34" t="s">
        <v>198</v>
      </c>
      <c r="C8" s="34" t="s">
        <v>26</v>
      </c>
      <c r="D8" s="34" t="s">
        <v>104</v>
      </c>
      <c r="E8" s="34" t="s">
        <v>199</v>
      </c>
      <c r="F8" s="51">
        <f>SUMIFS(Spend_Data!$H:$H,Spend_Data!$D:$D,C8,Spend_Data!$K:$K,"Yes")</f>
        <v>275820</v>
      </c>
      <c r="G8" s="52">
        <v>0.09</v>
      </c>
      <c r="H8" s="51">
        <f t="shared" si="0"/>
        <v>24823.8</v>
      </c>
      <c r="I8" s="52">
        <f>Inputs!$B$6</f>
        <v>0.8</v>
      </c>
      <c r="J8" s="51">
        <f t="shared" si="1"/>
        <v>19859.04</v>
      </c>
      <c r="K8" s="34" t="s">
        <v>18</v>
      </c>
      <c r="L8" s="53">
        <v>46265</v>
      </c>
    </row>
    <row r="9" spans="1:26" ht="15">
      <c r="A9" s="34">
        <v>5</v>
      </c>
      <c r="B9" s="34" t="s">
        <v>200</v>
      </c>
      <c r="C9" s="34" t="s">
        <v>23</v>
      </c>
      <c r="D9" s="34" t="s">
        <v>114</v>
      </c>
      <c r="E9" s="34" t="s">
        <v>201</v>
      </c>
      <c r="F9" s="51">
        <f>SUMIFS(Spend_Data!$H:$H,Spend_Data!$D:$D,C9,Spend_Data!$K:$K,"Yes")</f>
        <v>189390</v>
      </c>
      <c r="G9" s="52">
        <v>0.15</v>
      </c>
      <c r="H9" s="51">
        <f t="shared" si="0"/>
        <v>28408.5</v>
      </c>
      <c r="I9" s="52">
        <f>Inputs!$B$6</f>
        <v>0.8</v>
      </c>
      <c r="J9" s="51">
        <f t="shared" si="1"/>
        <v>22726.800000000003</v>
      </c>
      <c r="K9" s="34" t="s">
        <v>24</v>
      </c>
      <c r="L9" s="53">
        <v>46173</v>
      </c>
    </row>
    <row r="10" spans="1:26" ht="15">
      <c r="A10" s="34">
        <v>6</v>
      </c>
      <c r="B10" s="34" t="s">
        <v>202</v>
      </c>
      <c r="C10" s="34" t="s">
        <v>21</v>
      </c>
      <c r="D10" s="34" t="s">
        <v>104</v>
      </c>
      <c r="E10" s="34" t="s">
        <v>203</v>
      </c>
      <c r="F10" s="51">
        <f>SUMIFS(Spend_Data!$H:$H,Spend_Data!$D:$D,C10,Spend_Data!$K:$K,"Yes")</f>
        <v>556150</v>
      </c>
      <c r="G10" s="52">
        <v>0.06</v>
      </c>
      <c r="H10" s="51">
        <f t="shared" si="0"/>
        <v>33369</v>
      </c>
      <c r="I10" s="52">
        <f>Inputs!$B$6</f>
        <v>0.8</v>
      </c>
      <c r="J10" s="51">
        <f t="shared" si="1"/>
        <v>26695.200000000001</v>
      </c>
      <c r="K10" s="34" t="s">
        <v>20</v>
      </c>
      <c r="L10" s="53">
        <v>46295</v>
      </c>
    </row>
    <row r="11" spans="1:26" ht="30">
      <c r="A11" s="34">
        <v>7</v>
      </c>
      <c r="B11" s="34" t="s">
        <v>204</v>
      </c>
      <c r="C11" s="34" t="s">
        <v>76</v>
      </c>
      <c r="D11" s="34" t="s">
        <v>118</v>
      </c>
      <c r="E11" s="34" t="s">
        <v>205</v>
      </c>
      <c r="F11" s="51">
        <f>SUMIFS(Spend_Data!$H:$H,Spend_Data!$D:$D,C11,Spend_Data!$K:$K,"Yes")</f>
        <v>0</v>
      </c>
      <c r="G11" s="52">
        <v>7.0000000000000007E-2</v>
      </c>
      <c r="H11" s="51">
        <f t="shared" si="0"/>
        <v>0</v>
      </c>
      <c r="I11" s="52">
        <f>Inputs!$B$6</f>
        <v>0.8</v>
      </c>
      <c r="J11" s="51">
        <f t="shared" si="1"/>
        <v>0</v>
      </c>
      <c r="K11" s="34" t="s">
        <v>22</v>
      </c>
      <c r="L11" s="53">
        <v>46326</v>
      </c>
    </row>
    <row r="12" spans="1:26" ht="15">
      <c r="A12" s="34">
        <v>8</v>
      </c>
      <c r="B12" s="34" t="s">
        <v>206</v>
      </c>
      <c r="C12" s="34" t="s">
        <v>79</v>
      </c>
      <c r="D12" s="34" t="s">
        <v>124</v>
      </c>
      <c r="E12" s="34" t="s">
        <v>207</v>
      </c>
      <c r="F12" s="51">
        <f>SUMIFS(Spend_Data!$H:$H,Spend_Data!$D:$D,C12,Spend_Data!$K:$K,"Yes")</f>
        <v>0</v>
      </c>
      <c r="G12" s="52">
        <v>6.5000000000000002E-2</v>
      </c>
      <c r="H12" s="51">
        <f t="shared" si="0"/>
        <v>0</v>
      </c>
      <c r="I12" s="52">
        <f>Inputs!$B$6</f>
        <v>0.8</v>
      </c>
      <c r="J12" s="51">
        <f t="shared" si="1"/>
        <v>0</v>
      </c>
      <c r="K12" s="34" t="s">
        <v>18</v>
      </c>
      <c r="L12" s="53">
        <v>46280</v>
      </c>
    </row>
  </sheetData>
  <mergeCells count="2">
    <mergeCell ref="A1:L1"/>
    <mergeCell ref="A2:L2"/>
  </mergeCells>
  <conditionalFormatting sqref="K5:K12">
    <cfRule type="expression" dxfId="4" priority="1">
      <formula>K5="At Risk"</formula>
    </cfRule>
    <cfRule type="expression" dxfId="3" priority="2">
      <formula>K5="Complete"</formula>
    </cfRule>
  </conditionalFormatting>
  <dataValidations count="1">
    <dataValidation type="list" sqref="K5:K50" xr:uid="{00000000-0002-0000-0600-000000000000}">
      <formula1>"Not Started,In Progress,At Risk,Complete"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2"/>
  <sheetViews>
    <sheetView showGridLines="0" workbookViewId="0">
      <selection activeCell="F7" sqref="F7"/>
    </sheetView>
  </sheetViews>
  <sheetFormatPr baseColWidth="10" defaultColWidth="8.83203125" defaultRowHeight="14"/>
  <cols>
    <col min="1" max="1" width="28" customWidth="1"/>
    <col min="2" max="2" width="34" customWidth="1"/>
    <col min="3" max="3" width="18" customWidth="1"/>
    <col min="5" max="5" width="28" customWidth="1"/>
    <col min="6" max="6" width="18" customWidth="1"/>
  </cols>
  <sheetData>
    <row r="1" spans="1:26" ht="45.25" customHeight="1">
      <c r="A1" s="55" t="s">
        <v>208</v>
      </c>
      <c r="B1" s="56"/>
      <c r="C1" s="56"/>
      <c r="D1" s="56"/>
      <c r="E1" s="56"/>
      <c r="F1" s="56"/>
      <c r="G1" s="56"/>
      <c r="H1" s="56"/>
      <c r="I1" s="56"/>
      <c r="J1" s="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" customHeight="1">
      <c r="A2" s="57" t="s">
        <v>209</v>
      </c>
      <c r="B2" s="58"/>
      <c r="C2" s="58"/>
      <c r="D2" s="58"/>
      <c r="E2" s="58"/>
      <c r="F2" s="58"/>
      <c r="G2" s="58"/>
      <c r="H2" s="58"/>
      <c r="I2" s="58"/>
      <c r="J2" s="5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.25" customHeight="1">
      <c r="A4" s="59" t="s">
        <v>210</v>
      </c>
      <c r="B4" s="60"/>
      <c r="C4" s="60"/>
      <c r="D4" s="60"/>
      <c r="E4" s="59" t="s">
        <v>211</v>
      </c>
      <c r="F4" s="60"/>
      <c r="G4" s="60"/>
      <c r="H4" s="60"/>
      <c r="I4" s="60"/>
      <c r="J4" s="60"/>
      <c r="K4" s="54"/>
      <c r="L4" s="5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212</v>
      </c>
      <c r="B5" s="4" t="s">
        <v>213</v>
      </c>
      <c r="C5" s="5" t="s">
        <v>49</v>
      </c>
      <c r="E5" s="3" t="s">
        <v>214</v>
      </c>
      <c r="F5" s="5" t="s">
        <v>215</v>
      </c>
    </row>
    <row r="6" spans="1:26">
      <c r="A6" s="30" t="s">
        <v>216</v>
      </c>
      <c r="B6" s="30" t="s">
        <v>217</v>
      </c>
      <c r="C6" s="31">
        <f>SUM(Spend_Data!$H:$H)</f>
        <v>6975760</v>
      </c>
      <c r="E6" s="30" t="s">
        <v>218</v>
      </c>
      <c r="F6" s="31">
        <f>C9</f>
        <v>265234.65000000002</v>
      </c>
    </row>
    <row r="7" spans="1:26">
      <c r="A7" s="30" t="s">
        <v>4</v>
      </c>
      <c r="B7" s="30" t="s">
        <v>219</v>
      </c>
      <c r="C7" s="31">
        <f>SUMIFS(Spend_Data!$H:$H,Spend_Data!$K:$K,"Yes")</f>
        <v>3502330</v>
      </c>
      <c r="E7" s="30" t="s">
        <v>220</v>
      </c>
      <c r="F7" s="31">
        <f>-(C9-C11)</f>
        <v>-53046.929999999993</v>
      </c>
      <c r="K7" s="33"/>
    </row>
    <row r="8" spans="1:26">
      <c r="A8" s="30" t="s">
        <v>218</v>
      </c>
      <c r="B8" s="30" t="s">
        <v>221</v>
      </c>
      <c r="C8" s="31">
        <f>SUM(Spend_Data!$P:$P)</f>
        <v>302826.99999999994</v>
      </c>
      <c r="E8" s="30" t="s">
        <v>222</v>
      </c>
      <c r="F8" s="31">
        <f>C11</f>
        <v>212187.72000000003</v>
      </c>
    </row>
    <row r="9" spans="1:26">
      <c r="A9" s="30" t="s">
        <v>223</v>
      </c>
      <c r="B9" s="30" t="s">
        <v>224</v>
      </c>
      <c r="C9" s="31">
        <f>SUM(Savings_Pipeline!$H$5:$H$12)</f>
        <v>265234.65000000002</v>
      </c>
      <c r="E9" s="30" t="s">
        <v>225</v>
      </c>
      <c r="F9" s="31">
        <f>C12</f>
        <v>2121877.2000000002</v>
      </c>
    </row>
    <row r="10" spans="1:26">
      <c r="A10" s="30" t="s">
        <v>226</v>
      </c>
      <c r="B10" s="30" t="s">
        <v>227</v>
      </c>
      <c r="C10" s="36">
        <f>Inputs!$B$6</f>
        <v>0.8</v>
      </c>
    </row>
    <row r="11" spans="1:26">
      <c r="A11" s="30" t="s">
        <v>222</v>
      </c>
      <c r="B11" s="30" t="s">
        <v>228</v>
      </c>
      <c r="C11" s="31">
        <f>SUM(Savings_Pipeline!$J$5:$J$12)</f>
        <v>212187.72000000003</v>
      </c>
    </row>
    <row r="12" spans="1:26">
      <c r="A12" s="30" t="s">
        <v>225</v>
      </c>
      <c r="B12" s="30" t="s">
        <v>229</v>
      </c>
      <c r="C12" s="31">
        <f>C11*Inputs!$B$5</f>
        <v>2121877.2000000002</v>
      </c>
    </row>
  </sheetData>
  <mergeCells count="3">
    <mergeCell ref="A1:J1"/>
    <mergeCell ref="A2:J2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Instructions</vt:lpstr>
      <vt:lpstr>Inputs</vt:lpstr>
      <vt:lpstr>Spend_Data</vt:lpstr>
      <vt:lpstr>Spend_Cube</vt:lpstr>
      <vt:lpstr>Vendor_Consolidation</vt:lpstr>
      <vt:lpstr>Savings_Pipeline</vt:lpstr>
      <vt:lpstr>EBITDA_Validation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Blake Henkel</cp:lastModifiedBy>
  <dcterms:created xsi:type="dcterms:W3CDTF">2026-05-04T00:40:57Z</dcterms:created>
  <dcterms:modified xsi:type="dcterms:W3CDTF">2026-05-04T00:43:13Z</dcterms:modified>
</cp:coreProperties>
</file>