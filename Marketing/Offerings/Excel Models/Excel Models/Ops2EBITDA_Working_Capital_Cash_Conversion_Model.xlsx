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9b8c79fb3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f383900d6c644b5"/>
    <x:sheet xmlns:r="http://schemas.openxmlformats.org/officeDocument/2006/relationships" name="Instructions" sheetId="2" r:id="R90a76db236114bdc"/>
    <x:sheet xmlns:r="http://schemas.openxmlformats.org/officeDocument/2006/relationships" name="Inputs" sheetId="3" r:id="R66de76de9c2a4cb6"/>
    <x:sheet xmlns:r="http://schemas.openxmlformats.org/officeDocument/2006/relationships" name="AR_Data" sheetId="4" r:id="R9ce116a68fff4f30"/>
    <x:sheet xmlns:r="http://schemas.openxmlformats.org/officeDocument/2006/relationships" name="Inventory_Data" sheetId="5" r:id="R92c63de8485443c7"/>
    <x:sheet xmlns:r="http://schemas.openxmlformats.org/officeDocument/2006/relationships" name="AP_Data" sheetId="6" r:id="R706be543a6b34d1c"/>
    <x:sheet xmlns:r="http://schemas.openxmlformats.org/officeDocument/2006/relationships" name="Working_Capital" sheetId="7" r:id="Re2547931706342f9"/>
    <x:sheet xmlns:r="http://schemas.openxmlformats.org/officeDocument/2006/relationships" name="Scenarios" sheetId="8" r:id="Rf6f98e10bfff461a"/>
    <x:sheet xmlns:r="http://schemas.openxmlformats.org/officeDocument/2006/relationships" name="Cash_Release" sheetId="9" r:id="R2057175266304331"/>
    <x:sheet xmlns:r="http://schemas.openxmlformats.org/officeDocument/2006/relationships" name="Sources" sheetId="10" r:id="R5379f16e75a1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-"/>
    <x:numFmt numFmtId="201" formatCode="0.0x;[Red](0.0x);-"/>
    <x:numFmt numFmtId="202" formatCode="0.0;[Red](0.0);-"/>
    <x:numFmt numFmtId="203" formatCode="0.0%;[Red](0.0%);-"/>
    <x:numFmt numFmtId="204" formatCode="yyyy-mm-dd"/>
    <x:numFmt numFmtId="205" formatCode="#,##0;[Red](#,##0);-"/>
  </x:numFmts>
  <x:fonts count="11">
    <x:font>
      <x:sz val="11"/>
      <x:name val="Carlito"/>
    </x:font>
    <x:font>
      <x:sz val="10"/>
      <x:color rgb="161413"/>
      <x:name val="Geist"/>
    </x:font>
    <x:font>
      <x:b/>
      <x:sz val="18"/>
      <x:color rgb="F4EFE6"/>
      <x:name val="Newsreader"/>
    </x:font>
    <x:font>
      <x:b/>
      <x:sz val="10"/>
      <x:color rgb="161413"/>
      <x:name val="Geist"/>
    </x:font>
    <x:font>
      <x:b/>
      <x:sz val="10"/>
      <x:color rgb="FFFFFF"/>
      <x:name val="Geist"/>
    </x:font>
    <x:font>
      <x:b/>
      <x:sz val="10"/>
      <x:color rgb="0000FF"/>
      <x:name val="Geist"/>
    </x:font>
    <x:font>
      <x:sz val="10"/>
      <x:color rgb="928B7E"/>
      <x:name val="Geist"/>
    </x:font>
    <x:font>
      <x:b/>
      <x:sz val="10"/>
      <x:color rgb="F4EFE6"/>
      <x:name val="Geist"/>
    </x:font>
    <x:font>
      <x:b/>
      <x:sz val="20"/>
      <x:color rgb="F4EFE6"/>
      <x:name val="Newsreader"/>
    </x:font>
    <x:font>
      <x:sz val="10"/>
      <x:color rgb="DEB870"/>
      <x:name val="Geist"/>
    </x:font>
    <x:font>
      <x:b/>
      <x:sz val="14"/>
      <x:color rgb="161413"/>
      <x:name val="Geist"/>
    </x:font>
  </x:fonts>
  <x:fills count="7">
    <x:fill>
      <x:patternFill patternType="none"/>
    </x:fill>
    <x:fill>
      <x:patternFill patternType="gray125"/>
    </x:fill>
    <x:fill>
      <x:patternFill patternType="solid">
        <x:fgColor rgb="FBF8F2"/>
      </x:patternFill>
    </x:fill>
    <x:fill>
      <x:patternFill patternType="solid">
        <x:fgColor rgb="161413"/>
      </x:patternFill>
    </x:fill>
    <x:fill>
      <x:patternFill patternType="solid">
        <x:fgColor rgb="F4EFE6"/>
      </x:patternFill>
    </x:fill>
    <x:fill>
      <x:patternFill patternType="solid">
        <x:fgColor rgb="B8862F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1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201" fontId="5" fillId="6" borderId="0" xfId="0" applyNumberFormat="1" applyFont="1" applyFill="1" applyBorder="1"/>
    <x:xf numFmtId="201" fontId="5" fillId="6" borderId="1" xfId="0" applyNumberFormat="1" applyFont="1" applyFill="1" applyBorder="1"/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203" fontId="5" fillId="6" borderId="0" xfId="0" applyNumberFormat="1" applyFont="1" applyFill="1" applyBorder="1"/>
    <x:xf numFmtId="203" fontId="5" fillId="6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204" fontId="7" fillId="3" borderId="0" xfId="0" applyNumberFormat="1" applyFont="1" applyFill="1" applyBorder="1" applyAlignment="1">
      <x:alignment wrapText="1"/>
    </x:xf>
    <x:xf numFmtId="204" fontId="7" fillId="3" borderId="1" xfId="0" applyNumberFormat="1" applyFont="1" applyFill="1" applyBorder="1" applyAlignment="1">
      <x:alignment wrapText="1"/>
    </x:xf>
    <x:xf numFmtId="200" fontId="7" fillId="3" borderId="0" xfId="0" applyNumberFormat="1" applyFont="1" applyFill="1" applyBorder="1" applyAlignment="1">
      <x:alignment wrapText="1"/>
    </x:xf>
    <x:xf numFmtId="200" fontId="7" fillId="3" borderId="1" xfId="0" applyNumberFormat="1" applyFont="1" applyFill="1" applyBorder="1" applyAlignment="1">
      <x:alignment wrapText="1"/>
    </x:xf>
    <x:xf numFmtId="205" fontId="7" fillId="3" borderId="0" xfId="0" applyNumberFormat="1" applyFont="1" applyFill="1" applyBorder="1" applyAlignment="1">
      <x:alignment wrapText="1"/>
    </x:xf>
    <x:xf numFmtId="205" fontId="7" fillId="3" borderId="1" xfId="0" applyNumberFormat="1" applyFont="1" applyFill="1" applyBorder="1" applyAlignment="1">
      <x:alignment wrapText="1"/>
    </x:xf>
    <x:xf numFmtId="202" fontId="7" fillId="3" borderId="0" xfId="0" applyNumberFormat="1" applyFont="1" applyFill="1" applyBorder="1" applyAlignment="1">
      <x:alignment wrapText="1"/>
    </x:xf>
    <x:xf numFmtId="202" fontId="7" fillId="3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2" fontId="1" fillId="2" borderId="0" xfId="0" applyNumberFormat="1" applyFont="1" applyFill="1" applyBorder="1"/>
    <x:xf numFmtId="202" fontId="1" fillId="2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 applyAlignment="1">
      <x:alignment horizontal="center"/>
    </x:xf>
    <x:xf numFmtId="202" fontId="3" fillId="4" borderId="1" xfId="0" applyNumberFormat="1" applyFont="1" applyFill="1" applyBorder="1" applyAlignment="1">
      <x:alignment horizontal="center"/>
    </x:xf>
    <x:xf numFmtId="202" fontId="10" fillId="4" borderId="0" xfId="0" applyNumberFormat="1" applyFont="1" applyFill="1" applyBorder="1" applyAlignment="1">
      <x:alignment horizontal="center"/>
    </x:xf>
    <x:xf numFmtId="202" fontId="10" fillId="4" borderId="1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8d4f6610b408e" /><Relationship Type="http://schemas.openxmlformats.org/officeDocument/2006/relationships/theme" Target="/xl/theme/theme1.xml" Id="R0a2feba6769f4fad" /><Relationship Type="http://schemas.openxmlformats.org/officeDocument/2006/relationships/sharedStrings" Target="/xl/sharedStrings.xml" Id="R3dbadbebd6284b7d" /><Relationship Type="http://schemas.openxmlformats.org/officeDocument/2006/relationships/worksheet" Target="/xl/worksheets/sheet1.xml" Id="Rbf383900d6c644b5" /><Relationship Type="http://schemas.openxmlformats.org/officeDocument/2006/relationships/worksheet" Target="/xl/worksheets/sheet2.xml" Id="R90a76db236114bdc" /><Relationship Type="http://schemas.openxmlformats.org/officeDocument/2006/relationships/worksheet" Target="/xl/worksheets/sheet3.xml" Id="R66de76de9c2a4cb6" /><Relationship Type="http://schemas.openxmlformats.org/officeDocument/2006/relationships/worksheet" Target="/xl/worksheets/sheet4.xml" Id="R9ce116a68fff4f30" /><Relationship Type="http://schemas.openxmlformats.org/officeDocument/2006/relationships/worksheet" Target="/xl/worksheets/sheet5.xml" Id="R92c63de8485443c7" /><Relationship Type="http://schemas.openxmlformats.org/officeDocument/2006/relationships/worksheet" Target="/xl/worksheets/sheet6.xml" Id="R706be543a6b34d1c" /><Relationship Type="http://schemas.openxmlformats.org/officeDocument/2006/relationships/worksheet" Target="/xl/worksheets/sheet7.xml" Id="Re2547931706342f9" /><Relationship Type="http://schemas.openxmlformats.org/officeDocument/2006/relationships/worksheet" Target="/xl/worksheets/sheet8.xml" Id="Rf6f98e10bfff461a" /><Relationship Type="http://schemas.openxmlformats.org/officeDocument/2006/relationships/worksheet" Target="/xl/worksheets/sheet9.xml" Id="R2057175266304331" /><Relationship Type="http://schemas.openxmlformats.org/officeDocument/2006/relationships/worksheet" Target="/xl/worksheets/sheet10.xml" Id="R5379f16e75a148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dc5e83be544f83" /><Relationship Type="http://schemas.openxmlformats.org/officeDocument/2006/relationships/chart" Target="/xl/drawings/charts/chart2.xml" Id="Rb8e012a1699e43b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Cash Release</c:v>
          </c:tx>
          <c:cat>
            <c:strRef>
              <c:f>'Dashboard'!$A$9:$A$11</c:f>
              <c:strCache>
                <c:ptCount val="0"/>
              </c:strCache>
            </c:strRef>
          </c:cat>
          <c:val>
            <c:numRef>
              <c:f>'Dashboard'!$E$9:$E$11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Cash Release</c:v>
          </c:tx>
          <c:cat>
            <c:strRef>
              <c:f>'Dashboard'!$I$16:$I$18</c:f>
              <c:strCache>
                <c:ptCount val="0"/>
              </c:strCache>
            </c:strRef>
          </c:cat>
          <c:val>
            <c:numRef>
              <c:f>'Dashboard'!$M$16:$M$18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22</xdr:row>
      <xdr:rowOff>0</xdr:rowOff>
    </xdr:from>
    <xdr:ext cx="4953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dc5e83be544f83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4953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e012a1699e43b6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ARTable" displayName="ARTable" ref="A1:O151" headerRowCount="1">
  <x:tableColumns count="15">
    <x:tableColumn id="1" name="Invoice ID"/>
    <x:tableColumn id="2" name="Customer"/>
    <x:tableColumn id="3" name="Segment"/>
    <x:tableColumn id="4" name="Site"/>
    <x:tableColumn id="5" name="Invoice Date"/>
    <x:tableColumn id="6" name="Terms"/>
    <x:tableColumn id="7" name="Due Date"/>
    <x:tableColumn id="8" name="Invoice Amount ($)"/>
    <x:tableColumn id="9" name="Open AR ($)"/>
    <x:tableColumn id="10" name="Disputed?"/>
    <x:tableColumn id="11" name="Collector"/>
    <x:tableColumn id="12" name="Days Outstanding"/>
    <x:tableColumn id="13" name="Aging Bucket"/>
    <x:tableColumn id="14" name="Priority"/>
    <x:tableColumn id="15" name="Potential Action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Table" displayName="InventoryTable" ref="A1:M131" headerRowCount="1">
  <x:tableColumns count="13">
    <x:tableColumn id="1" name="SKU"/>
    <x:tableColumn id="2" name="Category"/>
    <x:tableColumn id="3" name="Site"/>
    <x:tableColumn id="4" name="On Hand Units"/>
    <x:tableColumn id="5" name="Unit Cost ($)"/>
    <x:tableColumn id="6" name="Annual COGS ($)"/>
    <x:tableColumn id="7" name="Obsolete?"/>
    <x:tableColumn id="8" name="Excess?"/>
    <x:tableColumn id="9" name="Inventory Value ($)"/>
    <x:tableColumn id="10" name="DIO"/>
    <x:tableColumn id="11" name="Turns"/>
    <x:tableColumn id="12" name="Action"/>
    <x:tableColumn id="13" name="Cash Release Candidate ($)"/>
  </x:tableColumns>
  <x:tableStyleInfo name="TableStyleMedium2" showRowStripes="1"/>
</x:table>
</file>

<file path=xl/tables/table3.xml><?xml version="1.0" encoding="utf-8"?>
<x:table xmlns:x="http://schemas.openxmlformats.org/spreadsheetml/2006/main" id="3" name="APTable" displayName="APTable" ref="A1:P131" headerRowCount="1">
  <x:tableColumns count="16">
    <x:tableColumn id="1" name="Invoice ID"/>
    <x:tableColumn id="2" name="Vendor"/>
    <x:tableColumn id="3" name="Category"/>
    <x:tableColumn id="4" name="Site"/>
    <x:tableColumn id="5" name="Invoice Date"/>
    <x:tableColumn id="6" name="Current Terms"/>
    <x:tableColumn id="7" name="Due Date"/>
    <x:tableColumn id="8" name="Invoice Amount ($)"/>
    <x:tableColumn id="9" name="Open AP ($)"/>
    <x:tableColumn id="10" name="Critical Vendor?"/>
    <x:tableColumn id="11" name="Preferred Vendor?"/>
    <x:tableColumn id="12" name="Days Until Due"/>
    <x:tableColumn id="13" name="Target Terms"/>
    <x:tableColumn id="14" name="Extension Days"/>
    <x:tableColumn id="15" name="Cash Release Opportunity ($)"/>
    <x:tableColumn id="16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051103195547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c11e4c5f1aa4d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b57f611ce6146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1825d93c91f4ba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6" customHeight="1">
      <x:c r="A1" s="56" t="str">
        <x:v>Ops2EBITDA · Working Capital &amp; Cash Conversion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0" customHeight="1">
      <x:c r="A2" s="58" t="str">
        <x:v>DSO / DIO / DPO diagnostic, cash release scenarios, and EBITDA-adjacent value bridge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60" t="str">
        <x:v>Current CCC</x:v>
      </x:c>
      <x:c r="B4" s="60"/>
      <x:c r="C4" s="60" t="str">
        <x:v>Target CCC</x:v>
      </x:c>
      <x:c r="D4" s="60"/>
      <x:c r="E4" s="60" t="str">
        <x:v>Cash Release</x:v>
      </x:c>
      <x:c r="F4" s="60"/>
      <x:c r="G4" s="60" t="str">
        <x:v>Interest Savings</x:v>
      </x:c>
      <x:c r="H4" s="60"/>
      <x:c r="I4" s="60" t="str">
        <x:v>EBITDA-Adj. Benefit</x:v>
      </x:c>
      <x:c r="J4" s="60"/>
      <x:c r="K4" s="60" t="str">
        <x:v>EV Impact</x:v>
      </x:c>
      <x:c r="L4" s="60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64" t="n">
        <x:f>Working_Capital!B7</x:f>
        <x:v>316.0338571767816</x:v>
      </x:c>
      <x:c r="B5" s="60"/>
      <x:c r="C5" s="64" t="n">
        <x:f>Working_Capital!C7</x:f>
        <x:v>48</x:v>
      </x:c>
      <x:c r="D5" s="60"/>
      <x:c r="E5" s="66" t="n">
        <x:f>Working_Capital!E7</x:f>
        <x:v>107385600.28287673</x:v>
      </x:c>
      <x:c r="F5" s="60"/>
      <x:c r="G5" s="66" t="n">
        <x:f>Working_Capital!B11</x:f>
        <x:v>9127776.024044523</x:v>
      </x:c>
      <x:c r="H5" s="60"/>
      <x:c r="I5" s="66" t="n">
        <x:f>Working_Capital!B15</x:f>
        <x:v>28680244.61523631</x:v>
      </x:c>
      <x:c r="J5" s="60"/>
      <x:c r="K5" s="66" t="n">
        <x:f>Working_Capital!B16</x:f>
        <x:v>315482690.7675994</x:v>
      </x:c>
      <x:c r="L5" s="60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7" t="str">
        <x:v>Lever</x:v>
      </x:c>
      <x:c r="B8" s="17" t="str">
        <x:v>Current Days</x:v>
      </x:c>
      <x:c r="C8" s="17" t="str">
        <x:v>Target Days</x:v>
      </x:c>
      <x:c r="D8" s="17" t="str">
        <x:v>Gap</x:v>
      </x:c>
      <x:c r="E8" s="17" t="str">
        <x:v>Cash Release ($)</x:v>
      </x:c>
      <x:c r="F8" s="17" t="str">
        <x:v>Primary Action</x:v>
      </x:c>
      <x:c r="G8" s="17" t="str">
        <x:v>Owner</x:v>
      </x:c>
      <x:c r="H8" s="17" t="str">
        <x:v>Priority</x:v>
      </x:c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1" t="str">
        <x:f>Working_Capital!A4</x:f>
        <x:v>DSO</x:v>
      </x:c>
      <x:c r="B9" s="50" t="n">
        <x:f>Working_Capital!B4</x:f>
        <x:v>41.61705764</x:v>
      </x:c>
      <x:c r="C9" s="50" t="n">
        <x:f>Working_Capital!C4</x:f>
        <x:v>42</x:v>
      </x:c>
      <x:c r="D9" s="50" t="n">
        <x:f>Working_Capital!D4</x:f>
        <x:v>-0.38294236000000126</x:v>
      </x:c>
      <x:c r="E9" s="48" t="n">
        <x:f>Working_Capital!E4</x:f>
        <x:v>-262289.28767123376</x:v>
      </x:c>
      <x:c r="F9" s="3" t="str">
        <x:f>Working_Capital!I4</x:f>
        <x:v>Reduce aged AR and billing disputes</x:v>
      </x:c>
      <x:c r="G9" s="3" t="str">
        <x:f>Working_Capital!G4</x:f>
        <x:v>Controller</x:v>
      </x:c>
      <x:c r="H9" s="3" t="str">
        <x:f>Working_Capital!H4</x:f>
        <x:v>High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1" t="str">
        <x:f>Working_Capital!A5</x:f>
        <x:v>DIO</x:v>
      </x:c>
      <x:c r="B10" s="50" t="n">
        <x:f>Working_Capital!B5</x:f>
        <x:v>341.2585499534483</x:v>
      </x:c>
      <x:c r="C10" s="50" t="n">
        <x:f>Working_Capital!C5</x:f>
        <x:v>58</x:v>
      </x:c>
      <x:c r="D10" s="50" t="n">
        <x:f>Working_Capital!D5</x:f>
        <x:v>283.2585499534483</x:v>
      </x:c>
      <x:c r="E10" s="48" t="n">
        <x:f>Working_Capital!E5</x:f>
        <x:v>112527369.15958907</x:v>
      </x:c>
      <x:c r="F10" s="3" t="str">
        <x:f>Working_Capital!I5</x:f>
        <x:v>Reduce excess, obsolete, and slow-moving inventory</x:v>
      </x:c>
      <x:c r="G10" s="3" t="str">
        <x:f>Working_Capital!G5</x:f>
        <x:v>COO / Supply Chain</x:v>
      </x:c>
      <x:c r="H10" s="3" t="str">
        <x:f>Working_Capital!H5</x:f>
        <x:v>High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1" t="str">
        <x:f>Working_Capital!A6</x:f>
        <x:v>DPO</x:v>
      </x:c>
      <x:c r="B11" s="50" t="n">
        <x:f>Working_Capital!B6</x:f>
        <x:v>66.84175041666667</x:v>
      </x:c>
      <x:c r="C11" s="50" t="n">
        <x:f>Working_Capital!C6</x:f>
        <x:v>52</x:v>
      </x:c>
      <x:c r="D11" s="50" t="n">
        <x:f>Working_Capital!D6</x:f>
        <x:v>-14.84175041666667</x:v>
      </x:c>
      <x:c r="E11" s="48" t="n">
        <x:f>Working_Capital!E6</x:f>
        <x:v>-4879479.589041097</x:v>
      </x:c>
      <x:c r="F11" s="3" t="str">
        <x:f>Working_Capital!I6</x:f>
        <x:v>Extend terms where vendor risk is low</x:v>
      </x:c>
      <x:c r="G11" s="3" t="str">
        <x:f>Working_Capital!G6</x:f>
        <x:v>CFO / Procurement</x:v>
      </x:c>
      <x:c r="H11" s="3" t="str">
        <x:f>Working_Capital!H6</x:f>
        <x:v>Medium</x:v>
      </x:c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1" t="str">
        <x:f>Working_Capital!A7</x:f>
        <x:v>Cash Conversion Cycle</x:v>
      </x:c>
      <x:c r="B12" s="50" t="n">
        <x:f>Working_Capital!B7</x:f>
        <x:v>316.0338571767816</x:v>
      </x:c>
      <x:c r="C12" s="50" t="n">
        <x:f>Working_Capital!C7</x:f>
        <x:v>48</x:v>
      </x:c>
      <x:c r="D12" s="50" t="n">
        <x:f>Working_Capital!D7</x:f>
        <x:v>268.0338571767816</x:v>
      </x:c>
      <x:c r="E12" s="48" t="n">
        <x:f>Working_Capital!E7</x:f>
        <x:v>107385600.28287673</x:v>
      </x:c>
      <x:c r="F12" s="3" t="str">
        <x:f>Working_Capital!I7</x:f>
        <x:v>Total CCC improvement and cash release</x:v>
      </x:c>
      <x:c r="G12" s="3" t="str">
        <x:f>Working_Capital!G7</x:f>
        <x:v>CFO</x:v>
      </x:c>
      <x:c r="H12" s="3" t="str">
        <x:f>Working_Capital!H7</x:f>
        <x:v>High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4" t="str">
        <x:v>Top AR Priorities</x:v>
      </x:c>
      <x:c r="B15" s="34" t="str">
        <x:v>Customer</x:v>
      </x:c>
      <x:c r="C15" s="34" t="str">
        <x:v>Open AR ($)</x:v>
      </x:c>
      <x:c r="D15" s="34" t="str">
        <x:v>Aging Bucket</x:v>
      </x:c>
      <x:c r="E15" s="34" t="str">
        <x:v>Disputed?</x:v>
      </x:c>
      <x:c r="F15" s="34" t="str">
        <x:v>Action</x:v>
      </x:c>
      <x:c r="G15" s="3"/>
      <x:c r="H15" s="34" t="str">
        <x:v>Scenario View</x:v>
      </x:c>
      <x:c r="I15" s="34" t="str">
        <x:v>Scenario</x:v>
      </x:c>
      <x:c r="J15" s="34" t="str">
        <x:v>DSO</x:v>
      </x:c>
      <x:c r="K15" s="34" t="str">
        <x:v>DIO</x:v>
      </x:c>
      <x:c r="L15" s="34" t="str">
        <x:v>DPO</x:v>
      </x:c>
      <x:c r="M15" s="34" t="str">
        <x:v>Cash Release ($)</x:v>
      </x:c>
      <x:c r="N15" s="34" t="str">
        <x:v>EV Impact ($)</x:v>
      </x:c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 t="str"/>
      <x:c r="B16" s="3" t="str">
        <x:v>Northstar Medical</x:v>
      </x:c>
      <x:c r="C16" s="48" t="n">
        <x:v>434871</x:v>
      </x:c>
      <x:c r="D16" s="3" t="str">
        <x:v>31-60</x:v>
      </x:c>
      <x:c r="E16" s="3" t="str">
        <x:v>No</x:v>
      </x:c>
      <x:c r="F16" s="3" t="str">
        <x:v>Standard follow-up</x:v>
      </x:c>
      <x:c r="G16" s="3"/>
      <x:c r="H16" s="3"/>
      <x:c r="I16" s="3" t="str">
        <x:f>Scenarios!A4</x:f>
        <x:v>Conservative</x:v>
      </x:c>
      <x:c r="J16" s="50" t="n">
        <x:f>Scenarios!B4</x:f>
        <x:v>48</x:v>
      </x:c>
      <x:c r="K16" s="50" t="n">
        <x:f>Scenarios!C4</x:f>
        <x:v>65</x:v>
      </x:c>
      <x:c r="L16" s="50" t="n">
        <x:f>Scenarios!D4</x:f>
        <x:v>45</x:v>
      </x:c>
      <x:c r="M16" s="48" t="n">
        <x:f>Scenarios!H4</x:f>
        <x:v>98193819.46095893</x:v>
      </x:c>
      <x:c r="N16" s="48" t="n">
        <x:f>Scenarios!K4</x:f>
        <x:v>292341252.411435</x:v>
      </x:c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 t="str"/>
      <x:c r="B17" s="3" t="str">
        <x:v>Metro Facilities</x:v>
      </x:c>
      <x:c r="C17" s="48" t="n">
        <x:v>434075</x:v>
      </x:c>
      <x:c r="D17" s="3" t="str">
        <x:v>31-60</x:v>
      </x:c>
      <x:c r="E17" s="3" t="str">
        <x:v>No</x:v>
      </x:c>
      <x:c r="F17" s="3" t="str">
        <x:v>Standard follow-up</x:v>
      </x:c>
      <x:c r="G17" s="3"/>
      <x:c r="H17" s="3"/>
      <x:c r="I17" s="3" t="str">
        <x:f>Scenarios!A5</x:f>
        <x:v>Base</x:v>
      </x:c>
      <x:c r="J17" s="50" t="n">
        <x:f>Scenarios!B5</x:f>
        <x:v>42</x:v>
      </x:c>
      <x:c r="K17" s="50" t="n">
        <x:f>Scenarios!C5</x:f>
        <x:v>58</x:v>
      </x:c>
      <x:c r="L17" s="50" t="n">
        <x:f>Scenarios!D5</x:f>
        <x:v>52</x:v>
      </x:c>
      <x:c r="M17" s="48" t="n">
        <x:f>Scenarios!H5</x:f>
        <x:v>107385600.28287673</x:v>
      </x:c>
      <x:c r="N17" s="48" t="n">
        <x:f>Scenarios!K5</x:f>
        <x:v>315482690.7675994</x:v>
      </x:c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 t="str"/>
      <x:c r="B18" s="3" t="str">
        <x:v>Prairie Logistics</x:v>
      </x:c>
      <x:c r="C18" s="48" t="n">
        <x:v>433649</x:v>
      </x:c>
      <x:c r="D18" s="3" t="str">
        <x:v>90+</x:v>
      </x:c>
      <x:c r="E18" s="3" t="str">
        <x:v>No</x:v>
      </x:c>
      <x:c r="F18" s="3" t="str">
        <x:v>Escalate collections</x:v>
      </x:c>
      <x:c r="G18" s="3"/>
      <x:c r="H18" s="3"/>
      <x:c r="I18" s="3" t="str">
        <x:f>Scenarios!A6</x:f>
        <x:v>Upside</x:v>
      </x:c>
      <x:c r="J18" s="50" t="n">
        <x:f>Scenarios!B6</x:f>
        <x:v>36</x:v>
      </x:c>
      <x:c r="K18" s="50" t="n">
        <x:f>Scenarios!C6</x:f>
        <x:v>50</x:v>
      </x:c>
      <x:c r="L18" s="50" t="n">
        <x:f>Scenarios!D6</x:f>
        <x:v>60</x:v>
      </x:c>
      <x:c r="M18" s="48" t="n">
        <x:f>Scenarios!H6</x:f>
        <x:v>117303408.50205483</x:v>
      </x:c>
      <x:c r="N18" s="48" t="n">
        <x:f>Scenarios!K6</x:f>
        <x:v>340089540.0826679</x:v>
      </x:c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 t="str"/>
      <x:c r="B19" s="3" t="str">
        <x:v>Vantage Components</x:v>
      </x:c>
      <x:c r="C19" s="48" t="n">
        <x:v>431371</x:v>
      </x:c>
      <x:c r="D19" s="3" t="str">
        <x:v>90+</x:v>
      </x:c>
      <x:c r="E19" s="3" t="str">
        <x:v>No</x:v>
      </x:c>
      <x:c r="F19" s="3" t="str">
        <x:v>Escalate collections</x:v>
      </x:c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 t="str"/>
      <x:c r="B20" s="3" t="str">
        <x:v>Harbor Health</x:v>
      </x:c>
      <x:c r="C20" s="48" t="n">
        <x:v>431070</x:v>
      </x:c>
      <x:c r="D20" s="3" t="str">
        <x:v>Current</x:v>
      </x:c>
      <x:c r="E20" s="3" t="str">
        <x:v>No</x:v>
      </x:c>
      <x:c r="F20" s="3" t="str">
        <x:v>Standard follow-up</x:v>
      </x:c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N1"/>
    <x:mergeCell ref="A2:N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</x:mergeCells>
  <x:conditionalFormatting sqref="E9:E12">
    <x:cfRule type="dataBar" priority="1">
      <x:dataBar>
        <x:cfvo type="min"/>
        <x:cfvo type="max"/>
        <x:color rgb="B8862F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20511031955478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B8862F"/>
            </x14:dataBar>
          </x14:cfRule>
          <xm:sqref>E9:E12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5.37000274658203" hidden="0" customWidth="1"/>
    <x:col min="2" max="2" width="80" hidden="0" customWidth="1"/>
  </x:cols>
  <x:sheetData>
    <x:row r="1" ht="32" customHeight="1">
      <x:c r="A1" s="7" t="str">
        <x:v>Ops2EBITDA · Working Capital &amp; Cash Conversion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11" t="str">
        <x:v>Purpose</x:v>
      </x:c>
      <x:c r="B3" s="14" t="str">
        <x:v>Quantify cash trapped in receivables, inventory, and payables; identify operational actions to reduce the cash conversion cycle.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11" t="str">
        <x:v>How to use</x:v>
      </x:c>
      <x:c r="B4" s="14" t="str">
        <x:v>1) Update Inputs. 2) Replace AR, inventory, and AP sample data. 3) Review Working_Capital summary. 4) Use Scenarios and Cash_Release for board/management discussion.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1" t="str">
        <x:v>Blue font</x:v>
      </x:c>
      <x:c r="B5" s="14" t="str">
        <x:v>Hardcoded user assumptions / editable inputs.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1" t="str">
        <x:v>Black font</x:v>
      </x:c>
      <x:c r="B6" s="14" t="str">
        <x:v>Formulas and calculations.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1" t="str">
        <x:v>Green font</x:v>
      </x:c>
      <x:c r="B7" s="14" t="str">
        <x:v>Linked values from other worksheets.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1" t="str">
        <x:v>Key outputs</x:v>
      </x:c>
      <x:c r="B8" s="14" t="str">
        <x:v>DSO/DIO/DPO bridge, cash release by lever, CCC improvement, potential interest savings, and EBITDA-adjacent value implications.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1" t="str">
        <x:v>Model caveat</x:v>
      </x:c>
      <x:c r="B9" s="14" t="str">
        <x:v>Working capital release is generally cash flow / deleveraging impact, not direct EBITDA unless it reduces bad debt, carrying cost, financing cost, or operating leakage.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7" t="str">
        <x:v>Workbook Flow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1" t="str">
        <x:v>Inputs</x:v>
      </x:c>
      <x:c r="B12" s="14" t="str">
        <x:v>Set annual revenue, COGS, purchases, target DSO/DIO/DPO, financing rate, and EV assumptions.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1" t="str">
        <x:v>AR_Data</x:v>
      </x:c>
      <x:c r="B13" s="14" t="str">
        <x:v>Paste invoice-level AR aging data. Model calculates days outstanding and aging buckets.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11" t="str">
        <x:v>Inventory_Data</x:v>
      </x:c>
      <x:c r="B14" s="14" t="str">
        <x:v>Paste SKU/site inventory and annual COGS data. Model calculates inventory value, DIO, and action flags.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11" t="str">
        <x:v>AP_Data</x:v>
      </x:c>
      <x:c r="B15" s="14" t="str">
        <x:v>Paste vendor AP data and terms. Model identifies payable term extension opportunities.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11" t="str">
        <x:v>Working_Capital</x:v>
      </x:c>
      <x:c r="B16" s="14" t="str">
        <x:v>Summarizes current vs target DSO/DIO/DPO and quantifies cash release.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11" t="str">
        <x:v>Scenarios</x:v>
      </x:c>
      <x:c r="B17" s="14" t="str">
        <x:v>Compares conservative/base/upside target cases.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11" t="str">
        <x:v>Cash_Release</x:v>
      </x:c>
      <x:c r="B18" s="14" t="str">
        <x:v>Creates cash release bridge and enterprise-value / interest-savings context.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5" max="5" width="9.289999961853027" hidden="0" customWidth="1"/>
    <x:col min="6" max="6" width="8.079999923706055" hidden="0" customWidth="1"/>
    <x:col min="7" max="7" width="7.809999942779541" hidden="0" customWidth="1"/>
    <x:col min="8" max="8" width="8.210000038146973" hidden="0" customWidth="1"/>
  </x:cols>
  <x:sheetData>
    <x:row r="1" ht="32" customHeight="1">
      <x:c r="A1" s="7" t="str">
        <x:v>Inputs &amp; Assumptions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17" t="str">
        <x:v>Assumption</x:v>
      </x:c>
      <x:c r="B3" s="17" t="str">
        <x:v>Value</x:v>
      </x:c>
      <x:c r="C3" s="17" t="str">
        <x:v>Unit / Notes</x:v>
      </x:c>
      <x:c r="D3" s="3"/>
      <x:c r="E3" s="17" t="str">
        <x:v>Scenario</x:v>
      </x:c>
      <x:c r="F3" s="17" t="str">
        <x:v>Target DSO</x:v>
      </x:c>
      <x:c r="G3" s="17" t="str">
        <x:v>Target DIO</x:v>
      </x:c>
      <x:c r="H3" s="17" t="str">
        <x:v>Target DPO</x:v>
      </x:c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11" t="str">
        <x:v>Annual Revenue</x:v>
      </x:c>
      <x:c r="B4" s="24" t="n">
        <x:v>250000000</x:v>
      </x:c>
      <x:c r="C4" s="32" t="str">
        <x:v>$</x:v>
      </x:c>
      <x:c r="D4" s="3"/>
      <x:c r="E4" s="3" t="str">
        <x:v>Conservative</x:v>
      </x:c>
      <x:c r="F4" s="28" t="n">
        <x:v>48</x:v>
      </x:c>
      <x:c r="G4" s="28" t="n">
        <x:v>65</x:v>
      </x:c>
      <x:c r="H4" s="28" t="n">
        <x:v>45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1" t="str">
        <x:v>Annual COGS</x:v>
      </x:c>
      <x:c r="B5" s="24" t="n">
        <x:v>145000000</x:v>
      </x:c>
      <x:c r="C5" s="32" t="str">
        <x:v>$</x:v>
      </x:c>
      <x:c r="D5" s="3"/>
      <x:c r="E5" s="3" t="str">
        <x:v>Base</x:v>
      </x:c>
      <x:c r="F5" s="28" t="n">
        <x:v>42</x:v>
      </x:c>
      <x:c r="G5" s="28" t="n">
        <x:v>58</x:v>
      </x:c>
      <x:c r="H5" s="28" t="n">
        <x:v>52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1" t="str">
        <x:v>Annual External Purchases</x:v>
      </x:c>
      <x:c r="B6" s="24" t="n">
        <x:v>120000000</x:v>
      </x:c>
      <x:c r="C6" s="32" t="str">
        <x:v>$</x:v>
      </x:c>
      <x:c r="D6" s="3"/>
      <x:c r="E6" s="3" t="str">
        <x:v>Upside</x:v>
      </x:c>
      <x:c r="F6" s="28" t="n">
        <x:v>36</x:v>
      </x:c>
      <x:c r="G6" s="28" t="n">
        <x:v>50</x:v>
      </x:c>
      <x:c r="H6" s="28" t="n">
        <x:v>60</x:v>
      </x:c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1" t="str">
        <x:v>Current Debt Balance</x:v>
      </x:c>
      <x:c r="B7" s="26" t="n">
        <x:v>85000000</x:v>
      </x:c>
      <x:c r="C7" s="32" t="str">
        <x:v>$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11" t="str">
        <x:v>Interest Rate</x:v>
      </x:c>
      <x:c r="B8" s="28" t="n">
        <x:v>0.085</x:v>
      </x:c>
      <x:c r="C8" s="32" t="str">
        <x:v>%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1" t="str">
        <x:v>EBITDA Multiple</x:v>
      </x:c>
      <x:c r="B9" s="28" t="n">
        <x:v>11</x:v>
      </x:c>
      <x:c r="C9" s="32" t="str">
        <x:v>x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1" t="str">
        <x:v>Target DSO</x:v>
      </x:c>
      <x:c r="B10" s="28" t="n">
        <x:v>42</x:v>
      </x:c>
      <x:c r="C10" s="32" t="str">
        <x:v>days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11" t="str">
        <x:v>Target DIO</x:v>
      </x:c>
      <x:c r="B11" s="30" t="n">
        <x:v>58</x:v>
      </x:c>
      <x:c r="C11" s="32" t="str">
        <x:v>days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11" t="str">
        <x:v>Target DPO</x:v>
      </x:c>
      <x:c r="B12" s="30" t="n">
        <x:v>52</x:v>
      </x:c>
      <x:c r="C12" s="32" t="str">
        <x:v>days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11" t="str">
        <x:v>Inventory Carrying Cost Rate</x:v>
      </x:c>
      <x:c r="B13" s="24" t="n">
        <x:v>0.18</x:v>
      </x:c>
      <x:c r="C13" s="32" t="str">
        <x:v>% of inventory value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11" t="str">
        <x:v>Bad Debt Reduction Capture</x:v>
      </x:c>
      <x:c r="B14" s="21" t="n">
        <x:v>0.2</x:v>
      </x:c>
      <x:c r="C14" s="32" t="str">
        <x:v>% of AR cash release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11" t="str">
        <x:v>Implementation Cost</x:v>
      </x:c>
      <x:c r="B15" s="21" t="n">
        <x:v>650000</x:v>
      </x:c>
      <x:c r="C15" s="32" t="str">
        <x:v>$</x:v>
      </x:c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5" t="str">
        <x:v>Invoice ID</x:v>
      </x:c>
      <x:c r="B1" s="35" t="str">
        <x:v>Customer</x:v>
      </x:c>
      <x:c r="C1" s="35" t="str">
        <x:v>Segment</x:v>
      </x:c>
      <x:c r="D1" s="35" t="str">
        <x:v>Site</x:v>
      </x:c>
      <x:c r="E1" s="38" t="str">
        <x:v>Invoice Date</x:v>
      </x:c>
      <x:c r="F1" s="38" t="str">
        <x:v>Terms</x:v>
      </x:c>
      <x:c r="G1" s="38" t="str">
        <x:v>Due Date</x:v>
      </x:c>
      <x:c r="H1" s="40" t="str">
        <x:v>Invoice Amount ($)</x:v>
      </x:c>
      <x:c r="I1" s="40" t="str">
        <x:v>Open AR ($)</x:v>
      </x:c>
      <x:c r="J1" s="35" t="str">
        <x:v>Disputed?</x:v>
      </x:c>
      <x:c r="K1" s="35" t="str">
        <x:v>Collector</x:v>
      </x:c>
      <x:c r="L1" s="42" t="str">
        <x:v>Days Outstanding</x:v>
      </x:c>
      <x:c r="M1" s="35" t="str">
        <x:v>Aging Bucket</x:v>
      </x:c>
      <x:c r="N1" s="35" t="str">
        <x:v>Priority</x:v>
      </x:c>
      <x:c r="O1" s="35" t="str">
        <x:v>Potential Action</x:v>
      </x:c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3" t="str">
        <x:v>INV-10001</x:v>
      </x:c>
      <x:c r="B2" s="3" t="str">
        <x:v>Metro Facilities</x:v>
      </x:c>
      <x:c r="C2" s="3" t="str">
        <x:v>Enterprise</x:v>
      </x:c>
      <x:c r="D2" s="3" t="str">
        <x:v>Chicago</x:v>
      </x:c>
      <x:c r="E2" s="3" t="n">
        <x:v>46045</x:v>
      </x:c>
      <x:c r="F2" s="3" t="n">
        <x:v>45</x:v>
      </x:c>
      <x:c r="G2" s="3" t="n">
        <x:v>46090</x:v>
      </x:c>
      <x:c r="H2" s="3" t="n">
        <x:v>140393</x:v>
      </x:c>
      <x:c r="I2" s="3" t="n">
        <x:v>140393</x:v>
      </x:c>
      <x:c r="J2" s="3" t="str">
        <x:v>No</x:v>
      </x:c>
      <x:c r="K2" s="3" t="str">
        <x:v>A. Patel</x:v>
      </x:c>
      <x:c r="L2" s="3" t="n">
        <x:f>TODAY()-E2</x:f>
        <x:v>100</x:v>
      </x:c>
      <x:c r="M2" s="3" t="str">
        <x:f>IF(L2&lt;=30,"Current",IF(L2&lt;=60,"31-60",IF(L2&lt;=90,"61-90","90+")))</x:f>
        <x:v>90+</x:v>
      </x:c>
      <x:c r="N2" s="3" t="str">
        <x:f>IF(OR(M2="90+",I2&gt;150000,J2="Yes"),"High",IF(OR(M2="61-90",I2&gt;75000),"Medium","Low"))</x:f>
        <x:v>High</x:v>
      </x:c>
      <x:c r="O2" s="3" t="str">
        <x:f>IF(J2="Yes","Resolve dispute",IF(M2="90+","Escalate collections",IF(M2="61-90","Collector call","Standard follow-up")))</x:f>
        <x:v>Escalate collections</x:v>
      </x:c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 t="str">
        <x:v>INV-10002</x:v>
      </x:c>
      <x:c r="B3" s="3" t="str">
        <x:v>Metro Facilities</x:v>
      </x:c>
      <x:c r="C3" s="3" t="str">
        <x:v>Industrial</x:v>
      </x:c>
      <x:c r="D3" s="3" t="str">
        <x:v>Chicago</x:v>
      </x:c>
      <x:c r="E3" s="3" t="n">
        <x:v>46064</x:v>
      </x:c>
      <x:c r="F3" s="3" t="n">
        <x:v>45</x:v>
      </x:c>
      <x:c r="G3" s="3" t="n">
        <x:v>46109</x:v>
      </x:c>
      <x:c r="H3" s="3" t="n">
        <x:v>28663</x:v>
      </x:c>
      <x:c r="I3" s="3" t="n">
        <x:v>28663</x:v>
      </x:c>
      <x:c r="J3" s="3" t="str">
        <x:v>Yes</x:v>
      </x:c>
      <x:c r="K3" s="3" t="str">
        <x:v>M. Rivera</x:v>
      </x:c>
      <x:c r="L3" s="3" t="n">
        <x:f>TODAY()-E3</x:f>
        <x:v>81</x:v>
      </x:c>
      <x:c r="M3" s="3" t="str">
        <x:f>IF(L3&lt;=30,"Current",IF(L3&lt;=60,"31-60",IF(L3&lt;=90,"61-90","90+")))</x:f>
        <x:v>61-90</x:v>
      </x:c>
      <x:c r="N3" s="3" t="str">
        <x:f>IF(OR(M3="90+",I3&gt;150000,J3="Yes"),"High",IF(OR(M3="61-90",I3&gt;75000),"Medium","Low"))</x:f>
        <x:v>High</x:v>
      </x:c>
      <x:c r="O3" s="3" t="str">
        <x:f>IF(J3="Yes","Resolve dispute",IF(M3="90+","Escalate collections",IF(M3="61-90","Collector call","Standard follow-up")))</x:f>
        <x:v>Resolve dispute</x:v>
      </x:c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tr">
        <x:v>INV-10003</x:v>
      </x:c>
      <x:c r="B4" s="3" t="str">
        <x:v>Oakline Retail</x:v>
      </x:c>
      <x:c r="C4" s="3" t="str">
        <x:v>Industrial</x:v>
      </x:c>
      <x:c r="D4" s="3" t="str">
        <x:v>Chicago</x:v>
      </x:c>
      <x:c r="E4" s="3" t="n">
        <x:v>46068</x:v>
      </x:c>
      <x:c r="F4" s="3" t="n">
        <x:v>30</x:v>
      </x:c>
      <x:c r="G4" s="3" t="n">
        <x:v>46098</x:v>
      </x:c>
      <x:c r="H4" s="3" t="n">
        <x:v>387400</x:v>
      </x:c>
      <x:c r="I4" s="3" t="n">
        <x:v>96850</x:v>
      </x:c>
      <x:c r="J4" s="3" t="str">
        <x:v>No</x:v>
      </x:c>
      <x:c r="K4" s="3" t="str">
        <x:v>S. Brooks</x:v>
      </x:c>
      <x:c r="L4" s="3" t="n">
        <x:f>TODAY()-E4</x:f>
        <x:v>77</x:v>
      </x:c>
      <x:c r="M4" s="3" t="str">
        <x:f>IF(L4&lt;=30,"Current",IF(L4&lt;=60,"31-60",IF(L4&lt;=90,"61-90","90+")))</x:f>
        <x:v>61-90</x:v>
      </x:c>
      <x:c r="N4" s="3" t="str">
        <x:f>IF(OR(M4="90+",I4&gt;150000,J4="Yes"),"High",IF(OR(M4="61-90",I4&gt;75000),"Medium","Low"))</x:f>
        <x:v>Medium</x:v>
      </x:c>
      <x:c r="O4" s="3" t="str">
        <x:f>IF(J4="Yes","Resolve dispute",IF(M4="90+","Escalate collections",IF(M4="61-90","Collector call","Standard follow-up")))</x:f>
        <x:v>Collector call</x:v>
      </x:c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v>INV-10004</x:v>
      </x:c>
      <x:c r="B5" s="3" t="str">
        <x:v>Summit Foods</x:v>
      </x:c>
      <x:c r="C5" s="3" t="str">
        <x:v>Healthcare</x:v>
      </x:c>
      <x:c r="D5" s="3" t="str">
        <x:v>Columbus</x:v>
      </x:c>
      <x:c r="E5" s="3" t="n">
        <x:v>46104</x:v>
      </x:c>
      <x:c r="F5" s="3" t="n">
        <x:v>30</x:v>
      </x:c>
      <x:c r="G5" s="3" t="n">
        <x:v>46134</x:v>
      </x:c>
      <x:c r="H5" s="3" t="n">
        <x:v>409833</x:v>
      </x:c>
      <x:c r="I5" s="3" t="n">
        <x:v>409833</x:v>
      </x:c>
      <x:c r="J5" s="3" t="str">
        <x:v>No</x:v>
      </x:c>
      <x:c r="K5" s="3" t="str">
        <x:v>J. Chen</x:v>
      </x:c>
      <x:c r="L5" s="3" t="n">
        <x:f>TODAY()-E5</x:f>
        <x:v>41</x:v>
      </x:c>
      <x:c r="M5" s="3" t="str">
        <x:f>IF(L5&lt;=30,"Current",IF(L5&lt;=60,"31-60",IF(L5&lt;=90,"61-90","90+")))</x:f>
        <x:v>31-60</x:v>
      </x:c>
      <x:c r="N5" s="3" t="str">
        <x:f>IF(OR(M5="90+",I5&gt;150000,J5="Yes"),"High",IF(OR(M5="61-90",I5&gt;75000),"Medium","Low"))</x:f>
        <x:v>High</x:v>
      </x:c>
      <x:c r="O5" s="3" t="str">
        <x:f>IF(J5="Yes","Resolve dispute",IF(M5="90+","Escalate collections",IF(M5="61-90","Collector call","Standard follow-up")))</x:f>
        <x:v>Standard follow-up</x:v>
      </x:c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v>INV-10005</x:v>
      </x:c>
      <x:c r="B6" s="3" t="str">
        <x:v>Keystone Services</x:v>
      </x:c>
      <x:c r="C6" s="3" t="str">
        <x:v>Mid-Market</x:v>
      </x:c>
      <x:c r="D6" s="3" t="str">
        <x:v>Dallas</x:v>
      </x:c>
      <x:c r="E6" s="3" t="n">
        <x:v>46042</x:v>
      </x:c>
      <x:c r="F6" s="3" t="n">
        <x:v>45</x:v>
      </x:c>
      <x:c r="G6" s="3" t="n">
        <x:v>46087</x:v>
      </x:c>
      <x:c r="H6" s="3" t="n">
        <x:v>65587</x:v>
      </x:c>
      <x:c r="I6" s="3" t="n">
        <x:v>65587</x:v>
      </x:c>
      <x:c r="J6" s="3" t="str">
        <x:v>No</x:v>
      </x:c>
      <x:c r="K6" s="3" t="str">
        <x:v>J. Chen</x:v>
      </x:c>
      <x:c r="L6" s="3" t="n">
        <x:f>TODAY()-E6</x:f>
        <x:v>103</x:v>
      </x:c>
      <x:c r="M6" s="3" t="str">
        <x:f>IF(L6&lt;=30,"Current",IF(L6&lt;=60,"31-60",IF(L6&lt;=90,"61-90","90+")))</x:f>
        <x:v>90+</x:v>
      </x:c>
      <x:c r="N6" s="3" t="str">
        <x:f>IF(OR(M6="90+",I6&gt;150000,J6="Yes"),"High",IF(OR(M6="61-90",I6&gt;75000),"Medium","Low"))</x:f>
        <x:v>High</x:v>
      </x:c>
      <x:c r="O6" s="3" t="str">
        <x:f>IF(J6="Yes","Resolve dispute",IF(M6="90+","Escalate collections",IF(M6="61-90","Collector call","Standard follow-up")))</x:f>
        <x:v>Escalate collections</x:v>
      </x:c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 t="str">
        <x:v>INV-10006</x:v>
      </x:c>
      <x:c r="B7" s="3" t="str">
        <x:v>BrightPath Clinics</x:v>
      </x:c>
      <x:c r="C7" s="3" t="str">
        <x:v>SMB</x:v>
      </x:c>
      <x:c r="D7" s="3" t="str">
        <x:v>Columbus</x:v>
      </x:c>
      <x:c r="E7" s="3" t="n">
        <x:v>46106</x:v>
      </x:c>
      <x:c r="F7" s="3" t="n">
        <x:v>30</x:v>
      </x:c>
      <x:c r="G7" s="3" t="n">
        <x:v>46136</x:v>
      </x:c>
      <x:c r="H7" s="3" t="n">
        <x:v>394589</x:v>
      </x:c>
      <x:c r="I7" s="3" t="n">
        <x:v>295942</x:v>
      </x:c>
      <x:c r="J7" s="3" t="str">
        <x:v>No</x:v>
      </x:c>
      <x:c r="K7" s="3" t="str">
        <x:v>S. Brooks</x:v>
      </x:c>
      <x:c r="L7" s="3" t="n">
        <x:f>TODAY()-E7</x:f>
        <x:v>39</x:v>
      </x:c>
      <x:c r="M7" s="3" t="str">
        <x:f>IF(L7&lt;=30,"Current",IF(L7&lt;=60,"31-60",IF(L7&lt;=90,"61-90","90+")))</x:f>
        <x:v>31-60</x:v>
      </x:c>
      <x:c r="N7" s="3" t="str">
        <x:f>IF(OR(M7="90+",I7&gt;150000,J7="Yes"),"High",IF(OR(M7="61-90",I7&gt;75000),"Medium","Low"))</x:f>
        <x:v>High</x:v>
      </x:c>
      <x:c r="O7" s="3" t="str">
        <x:f>IF(J7="Yes","Resolve dispute",IF(M7="90+","Escalate collections",IF(M7="61-90","Collector call","Standard follow-up")))</x:f>
        <x:v>Standard follow-up</x:v>
      </x:c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 t="str">
        <x:v>INV-10007</x:v>
      </x:c>
      <x:c r="B8" s="3" t="str">
        <x:v>Northstar Medical</x:v>
      </x:c>
      <x:c r="C8" s="3" t="str">
        <x:v>Industrial</x:v>
      </x:c>
      <x:c r="D8" s="3" t="str">
        <x:v>Atlanta</x:v>
      </x:c>
      <x:c r="E8" s="3" t="n">
        <x:v>46033</x:v>
      </x:c>
      <x:c r="F8" s="3" t="n">
        <x:v>60</x:v>
      </x:c>
      <x:c r="G8" s="3" t="n">
        <x:v>46093</x:v>
      </x:c>
      <x:c r="H8" s="3" t="n">
        <x:v>201600</x:v>
      </x:c>
      <x:c r="I8" s="3" t="n">
        <x:v>100800</x:v>
      </x:c>
      <x:c r="J8" s="3" t="str">
        <x:v>No</x:v>
      </x:c>
      <x:c r="K8" s="3" t="str">
        <x:v>A. Patel</x:v>
      </x:c>
      <x:c r="L8" s="3" t="n">
        <x:f>TODAY()-E8</x:f>
        <x:v>112</x:v>
      </x:c>
      <x:c r="M8" s="3" t="str">
        <x:f>IF(L8&lt;=30,"Current",IF(L8&lt;=60,"31-60",IF(L8&lt;=90,"61-90","90+")))</x:f>
        <x:v>90+</x:v>
      </x:c>
      <x:c r="N8" s="3" t="str">
        <x:f>IF(OR(M8="90+",I8&gt;150000,J8="Yes"),"High",IF(OR(M8="61-90",I8&gt;75000),"Medium","Low"))</x:f>
        <x:v>High</x:v>
      </x:c>
      <x:c r="O8" s="3" t="str">
        <x:f>IF(J8="Yes","Resolve dispute",IF(M8="90+","Escalate collections",IF(M8="61-90","Collector call","Standard follow-up")))</x:f>
        <x:v>Escalate collections</x:v>
      </x:c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 t="str">
        <x:v>INV-10008</x:v>
      </x:c>
      <x:c r="B9" s="3" t="str">
        <x:v>Apex Industrial</x:v>
      </x:c>
      <x:c r="C9" s="3" t="str">
        <x:v>Mid-Market</x:v>
      </x:c>
      <x:c r="D9" s="3" t="str">
        <x:v>Atlanta</x:v>
      </x:c>
      <x:c r="E9" s="3" t="n">
        <x:v>46129</x:v>
      </x:c>
      <x:c r="F9" s="3" t="n">
        <x:v>30</x:v>
      </x:c>
      <x:c r="G9" s="3" t="n">
        <x:v>46159</x:v>
      </x:c>
      <x:c r="H9" s="3" t="n">
        <x:v>64953</x:v>
      </x:c>
      <x:c r="I9" s="3" t="n">
        <x:v>48715</x:v>
      </x:c>
      <x:c r="J9" s="3" t="str">
        <x:v>No</x:v>
      </x:c>
      <x:c r="K9" s="3" t="str">
        <x:v>J. Chen</x:v>
      </x:c>
      <x:c r="L9" s="3" t="n">
        <x:f>TODAY()-E9</x:f>
        <x:v>16</x:v>
      </x:c>
      <x:c r="M9" s="3" t="str">
        <x:f>IF(L9&lt;=30,"Current",IF(L9&lt;=60,"31-60",IF(L9&lt;=90,"61-90","90+")))</x:f>
        <x:v>Current</x:v>
      </x:c>
      <x:c r="N9" s="3" t="str">
        <x:f>IF(OR(M9="90+",I9&gt;150000,J9="Yes"),"High",IF(OR(M9="61-90",I9&gt;75000),"Medium","Low"))</x:f>
        <x:v>Low</x:v>
      </x:c>
      <x:c r="O9" s="3" t="str">
        <x:f>IF(J9="Yes","Resolve dispute",IF(M9="90+","Escalate collections",IF(M9="61-90","Collector call","Standard follow-up")))</x:f>
        <x:v>Standard follow-up</x:v>
      </x:c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 t="str">
        <x:v>INV-10009</x:v>
      </x:c>
      <x:c r="B10" s="3" t="str">
        <x:v>Riverbend Supply</x:v>
      </x:c>
      <x:c r="C10" s="3" t="str">
        <x:v>SMB</x:v>
      </x:c>
      <x:c r="D10" s="3" t="str">
        <x:v>Atlanta</x:v>
      </x:c>
      <x:c r="E10" s="3" t="n">
        <x:v>46113</x:v>
      </x:c>
      <x:c r="F10" s="3" t="n">
        <x:v>45</x:v>
      </x:c>
      <x:c r="G10" s="3" t="n">
        <x:v>46158</x:v>
      </x:c>
      <x:c r="H10" s="3" t="n">
        <x:v>379955</x:v>
      </x:c>
      <x:c r="I10" s="3" t="n">
        <x:v>94989</x:v>
      </x:c>
      <x:c r="J10" s="3" t="str">
        <x:v>No</x:v>
      </x:c>
      <x:c r="K10" s="3" t="str">
        <x:v>M. Rivera</x:v>
      </x:c>
      <x:c r="L10" s="3" t="n">
        <x:f>TODAY()-E10</x:f>
        <x:v>32</x:v>
      </x:c>
      <x:c r="M10" s="3" t="str">
        <x:f>IF(L10&lt;=30,"Current",IF(L10&lt;=60,"31-60",IF(L10&lt;=90,"61-90","90+")))</x:f>
        <x:v>31-60</x:v>
      </x:c>
      <x:c r="N10" s="3" t="str">
        <x:f>IF(OR(M10="90+",I10&gt;150000,J10="Yes"),"High",IF(OR(M10="61-90",I10&gt;75000),"Medium","Low"))</x:f>
        <x:v>Medium</x:v>
      </x:c>
      <x:c r="O10" s="3" t="str">
        <x:f>IF(J10="Yes","Resolve dispute",IF(M10="90+","Escalate collections",IF(M10="61-90","Collector call","Standard follow-up")))</x:f>
        <x:v>Standard follow-up</x:v>
      </x:c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 t="str">
        <x:v>INV-10010</x:v>
      </x:c>
      <x:c r="B11" s="3" t="str">
        <x:v>Oakline Retail</x:v>
      </x:c>
      <x:c r="C11" s="3" t="str">
        <x:v>Mid-Market</x:v>
      </x:c>
      <x:c r="D11" s="3" t="str">
        <x:v>Dallas</x:v>
      </x:c>
      <x:c r="E11" s="3" t="n">
        <x:v>46080</x:v>
      </x:c>
      <x:c r="F11" s="3" t="n">
        <x:v>45</x:v>
      </x:c>
      <x:c r="G11" s="3" t="n">
        <x:v>46125</x:v>
      </x:c>
      <x:c r="H11" s="3" t="n">
        <x:v>153530</x:v>
      </x:c>
      <x:c r="I11" s="3" t="n">
        <x:v>38382</x:v>
      </x:c>
      <x:c r="J11" s="3" t="str">
        <x:v>No</x:v>
      </x:c>
      <x:c r="K11" s="3" t="str">
        <x:v>M. Rivera</x:v>
      </x:c>
      <x:c r="L11" s="3" t="n">
        <x:f>TODAY()-E11</x:f>
        <x:v>65</x:v>
      </x:c>
      <x:c r="M11" s="3" t="str">
        <x:f>IF(L11&lt;=30,"Current",IF(L11&lt;=60,"31-60",IF(L11&lt;=90,"61-90","90+")))</x:f>
        <x:v>61-90</x:v>
      </x:c>
      <x:c r="N11" s="3" t="str">
        <x:f>IF(OR(M11="90+",I11&gt;150000,J11="Yes"),"High",IF(OR(M11="61-90",I11&gt;75000),"Medium","Low"))</x:f>
        <x:v>Medium</x:v>
      </x:c>
      <x:c r="O11" s="3" t="str">
        <x:f>IF(J11="Yes","Resolve dispute",IF(M11="90+","Escalate collections",IF(M11="61-90","Collector call","Standard follow-up")))</x:f>
        <x:v>Collector call</x:v>
      </x:c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 t="str">
        <x:v>INV-10011</x:v>
      </x:c>
      <x:c r="B12" s="3" t="str">
        <x:v>Metro Facilities</x:v>
      </x:c>
      <x:c r="C12" s="3" t="str">
        <x:v>SMB</x:v>
      </x:c>
      <x:c r="D12" s="3" t="str">
        <x:v>Chicago</x:v>
      </x:c>
      <x:c r="E12" s="3" t="n">
        <x:v>46110</x:v>
      </x:c>
      <x:c r="F12" s="3" t="n">
        <x:v>30</x:v>
      </x:c>
      <x:c r="G12" s="3" t="n">
        <x:v>46140</x:v>
      </x:c>
      <x:c r="H12" s="3" t="n">
        <x:v>434075</x:v>
      </x:c>
      <x:c r="I12" s="3" t="n">
        <x:v>434075</x:v>
      </x:c>
      <x:c r="J12" s="3" t="str">
        <x:v>No</x:v>
      </x:c>
      <x:c r="K12" s="3" t="str">
        <x:v>A. Patel</x:v>
      </x:c>
      <x:c r="L12" s="3" t="n">
        <x:f>TODAY()-E12</x:f>
        <x:v>35</x:v>
      </x:c>
      <x:c r="M12" s="3" t="str">
        <x:f>IF(L12&lt;=30,"Current",IF(L12&lt;=60,"31-60",IF(L12&lt;=90,"61-90","90+")))</x:f>
        <x:v>31-60</x:v>
      </x:c>
      <x:c r="N12" s="3" t="str">
        <x:f>IF(OR(M12="90+",I12&gt;150000,J12="Yes"),"High",IF(OR(M12="61-90",I12&gt;75000),"Medium","Low"))</x:f>
        <x:v>High</x:v>
      </x:c>
      <x:c r="O12" s="3" t="str">
        <x:f>IF(J12="Yes","Resolve dispute",IF(M12="90+","Escalate collections",IF(M12="61-90","Collector call","Standard follow-up")))</x:f>
        <x:v>Standard follow-up</x:v>
      </x:c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 t="str">
        <x:v>INV-10012</x:v>
      </x:c>
      <x:c r="B13" s="3" t="str">
        <x:v>Summit Foods</x:v>
      </x:c>
      <x:c r="C13" s="3" t="str">
        <x:v>Industrial</x:v>
      </x:c>
      <x:c r="D13" s="3" t="str">
        <x:v>Nashville</x:v>
      </x:c>
      <x:c r="E13" s="3" t="n">
        <x:v>46099</x:v>
      </x:c>
      <x:c r="F13" s="3" t="n">
        <x:v>30</x:v>
      </x:c>
      <x:c r="G13" s="3" t="n">
        <x:v>46129</x:v>
      </x:c>
      <x:c r="H13" s="3" t="n">
        <x:v>355638</x:v>
      </x:c>
      <x:c r="I13" s="3" t="n">
        <x:v>266728</x:v>
      </x:c>
      <x:c r="J13" s="3" t="str">
        <x:v>No</x:v>
      </x:c>
      <x:c r="K13" s="3" t="str">
        <x:v>S. Brooks</x:v>
      </x:c>
      <x:c r="L13" s="3" t="n">
        <x:f>TODAY()-E13</x:f>
        <x:v>46</x:v>
      </x:c>
      <x:c r="M13" s="3" t="str">
        <x:f>IF(L13&lt;=30,"Current",IF(L13&lt;=60,"31-60",IF(L13&lt;=90,"61-90","90+")))</x:f>
        <x:v>31-60</x:v>
      </x:c>
      <x:c r="N13" s="3" t="str">
        <x:f>IF(OR(M13="90+",I13&gt;150000,J13="Yes"),"High",IF(OR(M13="61-90",I13&gt;75000),"Medium","Low"))</x:f>
        <x:v>High</x:v>
      </x:c>
      <x:c r="O13" s="3" t="str">
        <x:f>IF(J13="Yes","Resolve dispute",IF(M13="90+","Escalate collections",IF(M13="61-90","Collector call","Standard follow-up")))</x:f>
        <x:v>Standard follow-up</x:v>
      </x:c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 t="str">
        <x:v>INV-10013</x:v>
      </x:c>
      <x:c r="B14" s="3" t="str">
        <x:v>Riverbend Supply</x:v>
      </x:c>
      <x:c r="C14" s="3" t="str">
        <x:v>SMB</x:v>
      </x:c>
      <x:c r="D14" s="3" t="str">
        <x:v>Dallas</x:v>
      </x:c>
      <x:c r="E14" s="3" t="n">
        <x:v>46108</x:v>
      </x:c>
      <x:c r="F14" s="3" t="n">
        <x:v>60</x:v>
      </x:c>
      <x:c r="G14" s="3" t="n">
        <x:v>46168</x:v>
      </x:c>
      <x:c r="H14" s="3" t="n">
        <x:v>294579</x:v>
      </x:c>
      <x:c r="I14" s="3" t="n">
        <x:v>294579</x:v>
      </x:c>
      <x:c r="J14" s="3" t="str">
        <x:v>No</x:v>
      </x:c>
      <x:c r="K14" s="3" t="str">
        <x:v>S. Brooks</x:v>
      </x:c>
      <x:c r="L14" s="3" t="n">
        <x:f>TODAY()-E14</x:f>
        <x:v>37</x:v>
      </x:c>
      <x:c r="M14" s="3" t="str">
        <x:f>IF(L14&lt;=30,"Current",IF(L14&lt;=60,"31-60",IF(L14&lt;=90,"61-90","90+")))</x:f>
        <x:v>31-60</x:v>
      </x:c>
      <x:c r="N14" s="3" t="str">
        <x:f>IF(OR(M14="90+",I14&gt;150000,J14="Yes"),"High",IF(OR(M14="61-90",I14&gt;75000),"Medium","Low"))</x:f>
        <x:v>High</x:v>
      </x:c>
      <x:c r="O14" s="3" t="str">
        <x:f>IF(J14="Yes","Resolve dispute",IF(M14="90+","Escalate collections",IF(M14="61-90","Collector call","Standard follow-up")))</x:f>
        <x:v>Standard follow-up</x:v>
      </x:c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 t="str">
        <x:v>INV-10014</x:v>
      </x:c>
      <x:c r="B15" s="3" t="str">
        <x:v>Ironwood Systems</x:v>
      </x:c>
      <x:c r="C15" s="3" t="str">
        <x:v>Industrial</x:v>
      </x:c>
      <x:c r="D15" s="3" t="str">
        <x:v>Phoenix</x:v>
      </x:c>
      <x:c r="E15" s="3" t="n">
        <x:v>46093</x:v>
      </x:c>
      <x:c r="F15" s="3" t="n">
        <x:v>30</x:v>
      </x:c>
      <x:c r="G15" s="3" t="n">
        <x:v>46123</x:v>
      </x:c>
      <x:c r="H15" s="3" t="n">
        <x:v>84525</x:v>
      </x:c>
      <x:c r="I15" s="3" t="n">
        <x:v>42262</x:v>
      </x:c>
      <x:c r="J15" s="3" t="str">
        <x:v>No</x:v>
      </x:c>
      <x:c r="K15" s="3" t="str">
        <x:v>A. Patel</x:v>
      </x:c>
      <x:c r="L15" s="3" t="n">
        <x:f>TODAY()-E15</x:f>
        <x:v>52</x:v>
      </x:c>
      <x:c r="M15" s="3" t="str">
        <x:f>IF(L15&lt;=30,"Current",IF(L15&lt;=60,"31-60",IF(L15&lt;=90,"61-90","90+")))</x:f>
        <x:v>31-60</x:v>
      </x:c>
      <x:c r="N15" s="3" t="str">
        <x:f>IF(OR(M15="90+",I15&gt;150000,J15="Yes"),"High",IF(OR(M15="61-90",I15&gt;75000),"Medium","Low"))</x:f>
        <x:v>Low</x:v>
      </x:c>
      <x:c r="O15" s="3" t="str">
        <x:f>IF(J15="Yes","Resolve dispute",IF(M15="90+","Escalate collections",IF(M15="61-90","Collector call","Standard follow-up")))</x:f>
        <x:v>Standard follow-up</x:v>
      </x:c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 t="str">
        <x:v>INV-10015</x:v>
      </x:c>
      <x:c r="B16" s="3" t="str">
        <x:v>BrightPath Clinics</x:v>
      </x:c>
      <x:c r="C16" s="3" t="str">
        <x:v>Enterprise</x:v>
      </x:c>
      <x:c r="D16" s="3" t="str">
        <x:v>Dallas</x:v>
      </x:c>
      <x:c r="E16" s="3" t="n">
        <x:v>46059</x:v>
      </x:c>
      <x:c r="F16" s="3" t="n">
        <x:v>30</x:v>
      </x:c>
      <x:c r="G16" s="3" t="n">
        <x:v>46089</x:v>
      </x:c>
      <x:c r="H16" s="3" t="n">
        <x:v>427277</x:v>
      </x:c>
      <x:c r="I16" s="3" t="n">
        <x:v>106819</x:v>
      </x:c>
      <x:c r="J16" s="3" t="str">
        <x:v>No</x:v>
      </x:c>
      <x:c r="K16" s="3" t="str">
        <x:v>A. Patel</x:v>
      </x:c>
      <x:c r="L16" s="3" t="n">
        <x:f>TODAY()-E16</x:f>
        <x:v>86</x:v>
      </x:c>
      <x:c r="M16" s="3" t="str">
        <x:f>IF(L16&lt;=30,"Current",IF(L16&lt;=60,"31-60",IF(L16&lt;=90,"61-90","90+")))</x:f>
        <x:v>61-90</x:v>
      </x:c>
      <x:c r="N16" s="3" t="str">
        <x:f>IF(OR(M16="90+",I16&gt;150000,J16="Yes"),"High",IF(OR(M16="61-90",I16&gt;75000),"Medium","Low"))</x:f>
        <x:v>Medium</x:v>
      </x:c>
      <x:c r="O16" s="3" t="str">
        <x:f>IF(J16="Yes","Resolve dispute",IF(M16="90+","Escalate collections",IF(M16="61-90","Collector call","Standard follow-up")))</x:f>
        <x:v>Collector call</x:v>
      </x:c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 t="str">
        <x:v>INV-10016</x:v>
      </x:c>
      <x:c r="B17" s="3" t="str">
        <x:v>Canyon Distribution</x:v>
      </x:c>
      <x:c r="C17" s="3" t="str">
        <x:v>Healthcare</x:v>
      </x:c>
      <x:c r="D17" s="3" t="str">
        <x:v>Columbus</x:v>
      </x:c>
      <x:c r="E17" s="3" t="n">
        <x:v>46080</x:v>
      </x:c>
      <x:c r="F17" s="3" t="n">
        <x:v>60</x:v>
      </x:c>
      <x:c r="G17" s="3" t="n">
        <x:v>46140</x:v>
      </x:c>
      <x:c r="H17" s="3" t="n">
        <x:v>143813</x:v>
      </x:c>
      <x:c r="I17" s="3" t="n">
        <x:v>71906</x:v>
      </x:c>
      <x:c r="J17" s="3" t="str">
        <x:v>No</x:v>
      </x:c>
      <x:c r="K17" s="3" t="str">
        <x:v>A. Patel</x:v>
      </x:c>
      <x:c r="L17" s="3" t="n">
        <x:f>TODAY()-E17</x:f>
        <x:v>65</x:v>
      </x:c>
      <x:c r="M17" s="3" t="str">
        <x:f>IF(L17&lt;=30,"Current",IF(L17&lt;=60,"31-60",IF(L17&lt;=90,"61-90","90+")))</x:f>
        <x:v>61-90</x:v>
      </x:c>
      <x:c r="N17" s="3" t="str">
        <x:f>IF(OR(M17="90+",I17&gt;150000,J17="Yes"),"High",IF(OR(M17="61-90",I17&gt;75000),"Medium","Low"))</x:f>
        <x:v>Medium</x:v>
      </x:c>
      <x:c r="O17" s="3" t="str">
        <x:f>IF(J17="Yes","Resolve dispute",IF(M17="90+","Escalate collections",IF(M17="61-90","Collector call","Standard follow-up")))</x:f>
        <x:v>Collector call</x:v>
      </x:c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 t="str">
        <x:v>INV-10017</x:v>
      </x:c>
      <x:c r="B18" s="3" t="str">
        <x:v>Metro Facilities</x:v>
      </x:c>
      <x:c r="C18" s="3" t="str">
        <x:v>Enterprise</x:v>
      </x:c>
      <x:c r="D18" s="3" t="str">
        <x:v>Nashville</x:v>
      </x:c>
      <x:c r="E18" s="3" t="n">
        <x:v>46026</x:v>
      </x:c>
      <x:c r="F18" s="3" t="n">
        <x:v>60</x:v>
      </x:c>
      <x:c r="G18" s="3" t="n">
        <x:v>46086</x:v>
      </x:c>
      <x:c r="H18" s="3" t="n">
        <x:v>405676</x:v>
      </x:c>
      <x:c r="I18" s="3" t="n">
        <x:v>405676</x:v>
      </x:c>
      <x:c r="J18" s="3" t="str">
        <x:v>No</x:v>
      </x:c>
      <x:c r="K18" s="3" t="str">
        <x:v>J. Chen</x:v>
      </x:c>
      <x:c r="L18" s="3" t="n">
        <x:f>TODAY()-E18</x:f>
        <x:v>119</x:v>
      </x:c>
      <x:c r="M18" s="3" t="str">
        <x:f>IF(L18&lt;=30,"Current",IF(L18&lt;=60,"31-60",IF(L18&lt;=90,"61-90","90+")))</x:f>
        <x:v>90+</x:v>
      </x:c>
      <x:c r="N18" s="3" t="str">
        <x:f>IF(OR(M18="90+",I18&gt;150000,J18="Yes"),"High",IF(OR(M18="61-90",I18&gt;75000),"Medium","Low"))</x:f>
        <x:v>High</x:v>
      </x:c>
      <x:c r="O18" s="3" t="str">
        <x:f>IF(J18="Yes","Resolve dispute",IF(M18="90+","Escalate collections",IF(M18="61-90","Collector call","Standard follow-up")))</x:f>
        <x:v>Escalate collections</x:v>
      </x:c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 t="str">
        <x:v>INV-10018</x:v>
      </x:c>
      <x:c r="B19" s="3" t="str">
        <x:v>Northstar Medical</x:v>
      </x:c>
      <x:c r="C19" s="3" t="str">
        <x:v>SMB</x:v>
      </x:c>
      <x:c r="D19" s="3" t="str">
        <x:v>Phoenix</x:v>
      </x:c>
      <x:c r="E19" s="3" t="n">
        <x:v>46119</x:v>
      </x:c>
      <x:c r="F19" s="3" t="n">
        <x:v>45</x:v>
      </x:c>
      <x:c r="G19" s="3" t="n">
        <x:v>46164</x:v>
      </x:c>
      <x:c r="H19" s="3" t="n">
        <x:v>13701</x:v>
      </x:c>
      <x:c r="I19" s="3" t="n">
        <x:v>3425</x:v>
      </x:c>
      <x:c r="J19" s="3" t="str">
        <x:v>No</x:v>
      </x:c>
      <x:c r="K19" s="3" t="str">
        <x:v>J. Chen</x:v>
      </x:c>
      <x:c r="L19" s="3" t="n">
        <x:f>TODAY()-E19</x:f>
        <x:v>26</x:v>
      </x:c>
      <x:c r="M19" s="3" t="str">
        <x:f>IF(L19&lt;=30,"Current",IF(L19&lt;=60,"31-60",IF(L19&lt;=90,"61-90","90+")))</x:f>
        <x:v>Current</x:v>
      </x:c>
      <x:c r="N19" s="3" t="str">
        <x:f>IF(OR(M19="90+",I19&gt;150000,J19="Yes"),"High",IF(OR(M19="61-90",I19&gt;75000),"Medium","Low"))</x:f>
        <x:v>Low</x:v>
      </x:c>
      <x:c r="O19" s="3" t="str">
        <x:f>IF(J19="Yes","Resolve dispute",IF(M19="90+","Escalate collections",IF(M19="61-90","Collector call","Standard follow-up")))</x:f>
        <x:v>Standard follow-up</x:v>
      </x:c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 t="str">
        <x:v>INV-10019</x:v>
      </x:c>
      <x:c r="B20" s="3" t="str">
        <x:v>Oakline Retail</x:v>
      </x:c>
      <x:c r="C20" s="3" t="str">
        <x:v>Mid-Market</x:v>
      </x:c>
      <x:c r="D20" s="3" t="str">
        <x:v>Columbus</x:v>
      </x:c>
      <x:c r="E20" s="3" t="n">
        <x:v>46126</x:v>
      </x:c>
      <x:c r="F20" s="3" t="n">
        <x:v>45</x:v>
      </x:c>
      <x:c r="G20" s="3" t="n">
        <x:v>46171</x:v>
      </x:c>
      <x:c r="H20" s="3" t="n">
        <x:v>346993</x:v>
      </x:c>
      <x:c r="I20" s="3" t="n">
        <x:v>173496</x:v>
      </x:c>
      <x:c r="J20" s="3" t="str">
        <x:v>No</x:v>
      </x:c>
      <x:c r="K20" s="3" t="str">
        <x:v>M. Rivera</x:v>
      </x:c>
      <x:c r="L20" s="3" t="n">
        <x:f>TODAY()-E20</x:f>
        <x:v>19</x:v>
      </x:c>
      <x:c r="M20" s="3" t="str">
        <x:f>IF(L20&lt;=30,"Current",IF(L20&lt;=60,"31-60",IF(L20&lt;=90,"61-90","90+")))</x:f>
        <x:v>Current</x:v>
      </x:c>
      <x:c r="N20" s="3" t="str">
        <x:f>IF(OR(M20="90+",I20&gt;150000,J20="Yes"),"High",IF(OR(M20="61-90",I20&gt;75000),"Medium","Low"))</x:f>
        <x:v>High</x:v>
      </x:c>
      <x:c r="O20" s="3" t="str">
        <x:f>IF(J20="Yes","Resolve dispute",IF(M20="90+","Escalate collections",IF(M20="61-90","Collector call","Standard follow-up")))</x:f>
        <x:v>Standard follow-up</x:v>
      </x:c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 t="str">
        <x:v>INV-10020</x:v>
      </x:c>
      <x:c r="B21" s="3" t="str">
        <x:v>BluePeak Manufacturing</x:v>
      </x:c>
      <x:c r="C21" s="3" t="str">
        <x:v>Mid-Market</x:v>
      </x:c>
      <x:c r="D21" s="3" t="str">
        <x:v>Columbus</x:v>
      </x:c>
      <x:c r="E21" s="3" t="n">
        <x:v>46040</x:v>
      </x:c>
      <x:c r="F21" s="3" t="n">
        <x:v>60</x:v>
      </x:c>
      <x:c r="G21" s="3" t="n">
        <x:v>46100</x:v>
      </x:c>
      <x:c r="H21" s="3" t="n">
        <x:v>12299</x:v>
      </x:c>
      <x:c r="I21" s="3" t="n">
        <x:v>6150</x:v>
      </x:c>
      <x:c r="J21" s="3" t="str">
        <x:v>No</x:v>
      </x:c>
      <x:c r="K21" s="3" t="str">
        <x:v>A. Patel</x:v>
      </x:c>
      <x:c r="L21" s="3" t="n">
        <x:f>TODAY()-E21</x:f>
        <x:v>105</x:v>
      </x:c>
      <x:c r="M21" s="3" t="str">
        <x:f>IF(L21&lt;=30,"Current",IF(L21&lt;=60,"31-60",IF(L21&lt;=90,"61-90","90+")))</x:f>
        <x:v>90+</x:v>
      </x:c>
      <x:c r="N21" s="3" t="str">
        <x:f>IF(OR(M21="90+",I21&gt;150000,J21="Yes"),"High",IF(OR(M21="61-90",I21&gt;75000),"Medium","Low"))</x:f>
        <x:v>High</x:v>
      </x:c>
      <x:c r="O21" s="3" t="str">
        <x:f>IF(J21="Yes","Resolve dispute",IF(M21="90+","Escalate collections",IF(M21="61-90","Collector call","Standard follow-up")))</x:f>
        <x:v>Escalate collections</x:v>
      </x:c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 t="str">
        <x:v>INV-10021</x:v>
      </x:c>
      <x:c r="B22" s="3" t="str">
        <x:v>Northstar Medical</x:v>
      </x:c>
      <x:c r="C22" s="3" t="str">
        <x:v>SMB</x:v>
      </x:c>
      <x:c r="D22" s="3" t="str">
        <x:v>Atlanta</x:v>
      </x:c>
      <x:c r="E22" s="3" t="n">
        <x:v>46109</x:v>
      </x:c>
      <x:c r="F22" s="3" t="n">
        <x:v>30</x:v>
      </x:c>
      <x:c r="G22" s="3" t="n">
        <x:v>46139</x:v>
      </x:c>
      <x:c r="H22" s="3" t="n">
        <x:v>138286</x:v>
      </x:c>
      <x:c r="I22" s="3" t="n">
        <x:v>69143</x:v>
      </x:c>
      <x:c r="J22" s="3" t="str">
        <x:v>No</x:v>
      </x:c>
      <x:c r="K22" s="3" t="str">
        <x:v>A. Patel</x:v>
      </x:c>
      <x:c r="L22" s="3" t="n">
        <x:f>TODAY()-E22</x:f>
        <x:v>36</x:v>
      </x:c>
      <x:c r="M22" s="3" t="str">
        <x:f>IF(L22&lt;=30,"Current",IF(L22&lt;=60,"31-60",IF(L22&lt;=90,"61-90","90+")))</x:f>
        <x:v>31-60</x:v>
      </x:c>
      <x:c r="N22" s="3" t="str">
        <x:f>IF(OR(M22="90+",I22&gt;150000,J22="Yes"),"High",IF(OR(M22="61-90",I22&gt;75000),"Medium","Low"))</x:f>
        <x:v>Low</x:v>
      </x:c>
      <x:c r="O22" s="3" t="str">
        <x:f>IF(J22="Yes","Resolve dispute",IF(M22="90+","Escalate collections",IF(M22="61-90","Collector call","Standard follow-up")))</x:f>
        <x:v>Standard follow-up</x:v>
      </x:c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 t="str">
        <x:v>INV-10022</x:v>
      </x:c>
      <x:c r="B23" s="3" t="str">
        <x:v>Evergreen Labs</x:v>
      </x:c>
      <x:c r="C23" s="3" t="str">
        <x:v>Healthcare</x:v>
      </x:c>
      <x:c r="D23" s="3" t="str">
        <x:v>Chicago</x:v>
      </x:c>
      <x:c r="E23" s="3" t="n">
        <x:v>46042</x:v>
      </x:c>
      <x:c r="F23" s="3" t="n">
        <x:v>60</x:v>
      </x:c>
      <x:c r="G23" s="3" t="n">
        <x:v>46102</x:v>
      </x:c>
      <x:c r="H23" s="3" t="n">
        <x:v>413517</x:v>
      </x:c>
      <x:c r="I23" s="3" t="n">
        <x:v>413517</x:v>
      </x:c>
      <x:c r="J23" s="3" t="str">
        <x:v>No</x:v>
      </x:c>
      <x:c r="K23" s="3" t="str">
        <x:v>S. Brooks</x:v>
      </x:c>
      <x:c r="L23" s="3" t="n">
        <x:f>TODAY()-E23</x:f>
        <x:v>103</x:v>
      </x:c>
      <x:c r="M23" s="3" t="str">
        <x:f>IF(L23&lt;=30,"Current",IF(L23&lt;=60,"31-60",IF(L23&lt;=90,"61-90","90+")))</x:f>
        <x:v>90+</x:v>
      </x:c>
      <x:c r="N23" s="3" t="str">
        <x:f>IF(OR(M23="90+",I23&gt;150000,J23="Yes"),"High",IF(OR(M23="61-90",I23&gt;75000),"Medium","Low"))</x:f>
        <x:v>High</x:v>
      </x:c>
      <x:c r="O23" s="3" t="str">
        <x:f>IF(J23="Yes","Resolve dispute",IF(M23="90+","Escalate collections",IF(M23="61-90","Collector call","Standard follow-up")))</x:f>
        <x:v>Escalate collections</x:v>
      </x:c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 t="str">
        <x:v>INV-10023</x:v>
      </x:c>
      <x:c r="B24" s="3" t="str">
        <x:v>Oakline Retail</x:v>
      </x:c>
      <x:c r="C24" s="3" t="str">
        <x:v>Mid-Market</x:v>
      </x:c>
      <x:c r="D24" s="3" t="str">
        <x:v>Atlanta</x:v>
      </x:c>
      <x:c r="E24" s="3" t="n">
        <x:v>46072</x:v>
      </x:c>
      <x:c r="F24" s="3" t="n">
        <x:v>60</x:v>
      </x:c>
      <x:c r="G24" s="3" t="n">
        <x:v>46132</x:v>
      </x:c>
      <x:c r="H24" s="3" t="n">
        <x:v>233846</x:v>
      </x:c>
      <x:c r="I24" s="3" t="n">
        <x:v>233846</x:v>
      </x:c>
      <x:c r="J24" s="3" t="str">
        <x:v>No</x:v>
      </x:c>
      <x:c r="K24" s="3" t="str">
        <x:v>M. Rivera</x:v>
      </x:c>
      <x:c r="L24" s="3" t="n">
        <x:f>TODAY()-E24</x:f>
        <x:v>73</x:v>
      </x:c>
      <x:c r="M24" s="3" t="str">
        <x:f>IF(L24&lt;=30,"Current",IF(L24&lt;=60,"31-60",IF(L24&lt;=90,"61-90","90+")))</x:f>
        <x:v>61-90</x:v>
      </x:c>
      <x:c r="N24" s="3" t="str">
        <x:f>IF(OR(M24="90+",I24&gt;150000,J24="Yes"),"High",IF(OR(M24="61-90",I24&gt;75000),"Medium","Low"))</x:f>
        <x:v>High</x:v>
      </x:c>
      <x:c r="O24" s="3" t="str">
        <x:f>IF(J24="Yes","Resolve dispute",IF(M24="90+","Escalate collections",IF(M24="61-90","Collector call","Standard follow-up")))</x:f>
        <x:v>Collector call</x:v>
      </x:c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 t="str">
        <x:v>INV-10024</x:v>
      </x:c>
      <x:c r="B25" s="3" t="str">
        <x:v>Evergreen Labs</x:v>
      </x:c>
      <x:c r="C25" s="3" t="str">
        <x:v>SMB</x:v>
      </x:c>
      <x:c r="D25" s="3" t="str">
        <x:v>Phoenix</x:v>
      </x:c>
      <x:c r="E25" s="3" t="n">
        <x:v>46054</x:v>
      </x:c>
      <x:c r="F25" s="3" t="n">
        <x:v>45</x:v>
      </x:c>
      <x:c r="G25" s="3" t="n">
        <x:v>46099</x:v>
      </x:c>
      <x:c r="H25" s="3" t="n">
        <x:v>241690</x:v>
      </x:c>
      <x:c r="I25" s="3" t="n">
        <x:v>120845</x:v>
      </x:c>
      <x:c r="J25" s="3" t="str">
        <x:v>No</x:v>
      </x:c>
      <x:c r="K25" s="3" t="str">
        <x:v>M. Rivera</x:v>
      </x:c>
      <x:c r="L25" s="3" t="n">
        <x:f>TODAY()-E25</x:f>
        <x:v>91</x:v>
      </x:c>
      <x:c r="M25" s="3" t="str">
        <x:f>IF(L25&lt;=30,"Current",IF(L25&lt;=60,"31-60",IF(L25&lt;=90,"61-90","90+")))</x:f>
        <x:v>90+</x:v>
      </x:c>
      <x:c r="N25" s="3" t="str">
        <x:f>IF(OR(M25="90+",I25&gt;150000,J25="Yes"),"High",IF(OR(M25="61-90",I25&gt;75000),"Medium","Low"))</x:f>
        <x:v>High</x:v>
      </x:c>
      <x:c r="O25" s="3" t="str">
        <x:f>IF(J25="Yes","Resolve dispute",IF(M25="90+","Escalate collections",IF(M25="61-90","Collector call","Standard follow-up")))</x:f>
        <x:v>Escalate collections</x:v>
      </x:c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 t="str">
        <x:v>INV-10025</x:v>
      </x:c>
      <x:c r="B26" s="3" t="str">
        <x:v>Summit Foods</x:v>
      </x:c>
      <x:c r="C26" s="3" t="str">
        <x:v>Enterprise</x:v>
      </x:c>
      <x:c r="D26" s="3" t="str">
        <x:v>Atlanta</x:v>
      </x:c>
      <x:c r="E26" s="3" t="n">
        <x:v>46137</x:v>
      </x:c>
      <x:c r="F26" s="3" t="n">
        <x:v>60</x:v>
      </x:c>
      <x:c r="G26" s="3" t="n">
        <x:v>46197</x:v>
      </x:c>
      <x:c r="H26" s="3" t="n">
        <x:v>302414</x:v>
      </x:c>
      <x:c r="I26" s="3" t="n">
        <x:v>302414</x:v>
      </x:c>
      <x:c r="J26" s="3" t="str">
        <x:v>No</x:v>
      </x:c>
      <x:c r="K26" s="3" t="str">
        <x:v>A. Patel</x:v>
      </x:c>
      <x:c r="L26" s="3" t="n">
        <x:f>TODAY()-E26</x:f>
        <x:v>8</x:v>
      </x:c>
      <x:c r="M26" s="3" t="str">
        <x:f>IF(L26&lt;=30,"Current",IF(L26&lt;=60,"31-60",IF(L26&lt;=90,"61-90","90+")))</x:f>
        <x:v>Current</x:v>
      </x:c>
      <x:c r="N26" s="3" t="str">
        <x:f>IF(OR(M26="90+",I26&gt;150000,J26="Yes"),"High",IF(OR(M26="61-90",I26&gt;75000),"Medium","Low"))</x:f>
        <x:v>High</x:v>
      </x:c>
      <x:c r="O26" s="3" t="str">
        <x:f>IF(J26="Yes","Resolve dispute",IF(M26="90+","Escalate collections",IF(M26="61-90","Collector call","Standard follow-up")))</x:f>
        <x:v>Standard follow-up</x:v>
      </x:c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 t="str">
        <x:v>INV-10026</x:v>
      </x:c>
      <x:c r="B27" s="3" t="str">
        <x:v>Northstar Medical</x:v>
      </x:c>
      <x:c r="C27" s="3" t="str">
        <x:v>Enterprise</x:v>
      </x:c>
      <x:c r="D27" s="3" t="str">
        <x:v>Dallas</x:v>
      </x:c>
      <x:c r="E27" s="3" t="n">
        <x:v>46131</x:v>
      </x:c>
      <x:c r="F27" s="3" t="n">
        <x:v>30</x:v>
      </x:c>
      <x:c r="G27" s="3" t="n">
        <x:v>46161</x:v>
      </x:c>
      <x:c r="H27" s="3" t="n">
        <x:v>185239</x:v>
      </x:c>
      <x:c r="I27" s="3" t="n">
        <x:v>185239</x:v>
      </x:c>
      <x:c r="J27" s="3" t="str">
        <x:v>No</x:v>
      </x:c>
      <x:c r="K27" s="3" t="str">
        <x:v>J. Chen</x:v>
      </x:c>
      <x:c r="L27" s="3" t="n">
        <x:f>TODAY()-E27</x:f>
        <x:v>14</x:v>
      </x:c>
      <x:c r="M27" s="3" t="str">
        <x:f>IF(L27&lt;=30,"Current",IF(L27&lt;=60,"31-60",IF(L27&lt;=90,"61-90","90+")))</x:f>
        <x:v>Current</x:v>
      </x:c>
      <x:c r="N27" s="3" t="str">
        <x:f>IF(OR(M27="90+",I27&gt;150000,J27="Yes"),"High",IF(OR(M27="61-90",I27&gt;75000),"Medium","Low"))</x:f>
        <x:v>High</x:v>
      </x:c>
      <x:c r="O27" s="3" t="str">
        <x:f>IF(J27="Yes","Resolve dispute",IF(M27="90+","Escalate collections",IF(M27="61-90","Collector call","Standard follow-up")))</x:f>
        <x:v>Standard follow-up</x:v>
      </x:c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 t="str">
        <x:v>INV-10027</x:v>
      </x:c>
      <x:c r="B28" s="3" t="str">
        <x:v>Metro Facilities</x:v>
      </x:c>
      <x:c r="C28" s="3" t="str">
        <x:v>Healthcare</x:v>
      </x:c>
      <x:c r="D28" s="3" t="str">
        <x:v>Dallas</x:v>
      </x:c>
      <x:c r="E28" s="3" t="n">
        <x:v>46070</x:v>
      </x:c>
      <x:c r="F28" s="3" t="n">
        <x:v>30</x:v>
      </x:c>
      <x:c r="G28" s="3" t="n">
        <x:v>46100</x:v>
      </x:c>
      <x:c r="H28" s="3" t="n">
        <x:v>391245</x:v>
      </x:c>
      <x:c r="I28" s="3" t="n">
        <x:v>195622</x:v>
      </x:c>
      <x:c r="J28" s="3" t="str">
        <x:v>No</x:v>
      </x:c>
      <x:c r="K28" s="3" t="str">
        <x:v>M. Rivera</x:v>
      </x:c>
      <x:c r="L28" s="3" t="n">
        <x:f>TODAY()-E28</x:f>
        <x:v>75</x:v>
      </x:c>
      <x:c r="M28" s="3" t="str">
        <x:f>IF(L28&lt;=30,"Current",IF(L28&lt;=60,"31-60",IF(L28&lt;=90,"61-90","90+")))</x:f>
        <x:v>61-90</x:v>
      </x:c>
      <x:c r="N28" s="3" t="str">
        <x:f>IF(OR(M28="90+",I28&gt;150000,J28="Yes"),"High",IF(OR(M28="61-90",I28&gt;75000),"Medium","Low"))</x:f>
        <x:v>High</x:v>
      </x:c>
      <x:c r="O28" s="3" t="str">
        <x:f>IF(J28="Yes","Resolve dispute",IF(M28="90+","Escalate collections",IF(M28="61-90","Collector call","Standard follow-up")))</x:f>
        <x:v>Collector call</x:v>
      </x:c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 t="str">
        <x:v>INV-10028</x:v>
      </x:c>
      <x:c r="B29" s="3" t="str">
        <x:v>Prairie Logistics</x:v>
      </x:c>
      <x:c r="C29" s="3" t="str">
        <x:v>Healthcare</x:v>
      </x:c>
      <x:c r="D29" s="3" t="str">
        <x:v>Phoenix</x:v>
      </x:c>
      <x:c r="E29" s="3" t="n">
        <x:v>46115</x:v>
      </x:c>
      <x:c r="F29" s="3" t="n">
        <x:v>30</x:v>
      </x:c>
      <x:c r="G29" s="3" t="n">
        <x:v>46145</x:v>
      </x:c>
      <x:c r="H29" s="3" t="n">
        <x:v>62819</x:v>
      </x:c>
      <x:c r="I29" s="3" t="n">
        <x:v>15705</x:v>
      </x:c>
      <x:c r="J29" s="3" t="str">
        <x:v>No</x:v>
      </x:c>
      <x:c r="K29" s="3" t="str">
        <x:v>S. Brooks</x:v>
      </x:c>
      <x:c r="L29" s="3" t="n">
        <x:f>TODAY()-E29</x:f>
        <x:v>30</x:v>
      </x:c>
      <x:c r="M29" s="3" t="str">
        <x:f>IF(L29&lt;=30,"Current",IF(L29&lt;=60,"31-60",IF(L29&lt;=90,"61-90","90+")))</x:f>
        <x:v>Current</x:v>
      </x:c>
      <x:c r="N29" s="3" t="str">
        <x:f>IF(OR(M29="90+",I29&gt;150000,J29="Yes"),"High",IF(OR(M29="61-90",I29&gt;75000),"Medium","Low"))</x:f>
        <x:v>Low</x:v>
      </x:c>
      <x:c r="O29" s="3" t="str">
        <x:f>IF(J29="Yes","Resolve dispute",IF(M29="90+","Escalate collections",IF(M29="61-90","Collector call","Standard follow-up")))</x:f>
        <x:v>Standard follow-up</x:v>
      </x:c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 t="str">
        <x:v>INV-10029</x:v>
      </x:c>
      <x:c r="B30" s="3" t="str">
        <x:v>Canyon Distribution</x:v>
      </x:c>
      <x:c r="C30" s="3" t="str">
        <x:v>Healthcare</x:v>
      </x:c>
      <x:c r="D30" s="3" t="str">
        <x:v>Nashville</x:v>
      </x:c>
      <x:c r="E30" s="3" t="n">
        <x:v>46133</x:v>
      </x:c>
      <x:c r="F30" s="3" t="n">
        <x:v>30</x:v>
      </x:c>
      <x:c r="G30" s="3" t="n">
        <x:v>46163</x:v>
      </x:c>
      <x:c r="H30" s="3" t="n">
        <x:v>43778</x:v>
      </x:c>
      <x:c r="I30" s="3" t="n">
        <x:v>32834</x:v>
      </x:c>
      <x:c r="J30" s="3" t="str">
        <x:v>No</x:v>
      </x:c>
      <x:c r="K30" s="3" t="str">
        <x:v>A. Patel</x:v>
      </x:c>
      <x:c r="L30" s="3" t="n">
        <x:f>TODAY()-E30</x:f>
        <x:v>12</x:v>
      </x:c>
      <x:c r="M30" s="3" t="str">
        <x:f>IF(L30&lt;=30,"Current",IF(L30&lt;=60,"31-60",IF(L30&lt;=90,"61-90","90+")))</x:f>
        <x:v>Current</x:v>
      </x:c>
      <x:c r="N30" s="3" t="str">
        <x:f>IF(OR(M30="90+",I30&gt;150000,J30="Yes"),"High",IF(OR(M30="61-90",I30&gt;75000),"Medium","Low"))</x:f>
        <x:v>Low</x:v>
      </x:c>
      <x:c r="O30" s="3" t="str">
        <x:f>IF(J30="Yes","Resolve dispute",IF(M30="90+","Escalate collections",IF(M30="61-90","Collector call","Standard follow-up")))</x:f>
        <x:v>Standard follow-up</x:v>
      </x:c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 t="str">
        <x:v>INV-10030</x:v>
      </x:c>
      <x:c r="B31" s="3" t="str">
        <x:v>Summit Foods</x:v>
      </x:c>
      <x:c r="C31" s="3" t="str">
        <x:v>Mid-Market</x:v>
      </x:c>
      <x:c r="D31" s="3" t="str">
        <x:v>Dallas</x:v>
      </x:c>
      <x:c r="E31" s="3" t="n">
        <x:v>46071</x:v>
      </x:c>
      <x:c r="F31" s="3" t="n">
        <x:v>45</x:v>
      </x:c>
      <x:c r="G31" s="3" t="n">
        <x:v>46116</x:v>
      </x:c>
      <x:c r="H31" s="3" t="n">
        <x:v>85495</x:v>
      </x:c>
      <x:c r="I31" s="3" t="n">
        <x:v>64121</x:v>
      </x:c>
      <x:c r="J31" s="3" t="str">
        <x:v>No</x:v>
      </x:c>
      <x:c r="K31" s="3" t="str">
        <x:v>S. Brooks</x:v>
      </x:c>
      <x:c r="L31" s="3" t="n">
        <x:f>TODAY()-E31</x:f>
        <x:v>74</x:v>
      </x:c>
      <x:c r="M31" s="3" t="str">
        <x:f>IF(L31&lt;=30,"Current",IF(L31&lt;=60,"31-60",IF(L31&lt;=90,"61-90","90+")))</x:f>
        <x:v>61-90</x:v>
      </x:c>
      <x:c r="N31" s="3" t="str">
        <x:f>IF(OR(M31="90+",I31&gt;150000,J31="Yes"),"High",IF(OR(M31="61-90",I31&gt;75000),"Medium","Low"))</x:f>
        <x:v>Medium</x:v>
      </x:c>
      <x:c r="O31" s="3" t="str">
        <x:f>IF(J31="Yes","Resolve dispute",IF(M31="90+","Escalate collections",IF(M31="61-90","Collector call","Standard follow-up")))</x:f>
        <x:v>Collector call</x:v>
      </x:c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 t="str">
        <x:v>INV-10031</x:v>
      </x:c>
      <x:c r="B32" s="3" t="str">
        <x:v>Summit Foods</x:v>
      </x:c>
      <x:c r="C32" s="3" t="str">
        <x:v>Enterprise</x:v>
      </x:c>
      <x:c r="D32" s="3" t="str">
        <x:v>Phoenix</x:v>
      </x:c>
      <x:c r="E32" s="3" t="n">
        <x:v>46036</x:v>
      </x:c>
      <x:c r="F32" s="3" t="n">
        <x:v>60</x:v>
      </x:c>
      <x:c r="G32" s="3" t="n">
        <x:v>46096</x:v>
      </x:c>
      <x:c r="H32" s="3" t="n">
        <x:v>63332</x:v>
      </x:c>
      <x:c r="I32" s="3" t="n">
        <x:v>63332</x:v>
      </x:c>
      <x:c r="J32" s="3" t="str">
        <x:v>No</x:v>
      </x:c>
      <x:c r="K32" s="3" t="str">
        <x:v>A. Patel</x:v>
      </x:c>
      <x:c r="L32" s="3" t="n">
        <x:f>TODAY()-E32</x:f>
        <x:v>109</x:v>
      </x:c>
      <x:c r="M32" s="3" t="str">
        <x:f>IF(L32&lt;=30,"Current",IF(L32&lt;=60,"31-60",IF(L32&lt;=90,"61-90","90+")))</x:f>
        <x:v>90+</x:v>
      </x:c>
      <x:c r="N32" s="3" t="str">
        <x:f>IF(OR(M32="90+",I32&gt;150000,J32="Yes"),"High",IF(OR(M32="61-90",I32&gt;75000),"Medium","Low"))</x:f>
        <x:v>High</x:v>
      </x:c>
      <x:c r="O32" s="3" t="str">
        <x:f>IF(J32="Yes","Resolve dispute",IF(M32="90+","Escalate collections",IF(M32="61-90","Collector call","Standard follow-up")))</x:f>
        <x:v>Escalate collections</x:v>
      </x:c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 t="str">
        <x:v>INV-10032</x:v>
      </x:c>
      <x:c r="B33" s="3" t="str">
        <x:v>Northstar Medical</x:v>
      </x:c>
      <x:c r="C33" s="3" t="str">
        <x:v>Mid-Market</x:v>
      </x:c>
      <x:c r="D33" s="3" t="str">
        <x:v>Dallas</x:v>
      </x:c>
      <x:c r="E33" s="3" t="n">
        <x:v>46087</x:v>
      </x:c>
      <x:c r="F33" s="3" t="n">
        <x:v>45</x:v>
      </x:c>
      <x:c r="G33" s="3" t="n">
        <x:v>46132</x:v>
      </x:c>
      <x:c r="H33" s="3" t="n">
        <x:v>264370</x:v>
      </x:c>
      <x:c r="I33" s="3" t="n">
        <x:v>264370</x:v>
      </x:c>
      <x:c r="J33" s="3" t="str">
        <x:v>No</x:v>
      </x:c>
      <x:c r="K33" s="3" t="str">
        <x:v>A. Patel</x:v>
      </x:c>
      <x:c r="L33" s="3" t="n">
        <x:f>TODAY()-E33</x:f>
        <x:v>58</x:v>
      </x:c>
      <x:c r="M33" s="3" t="str">
        <x:f>IF(L33&lt;=30,"Current",IF(L33&lt;=60,"31-60",IF(L33&lt;=90,"61-90","90+")))</x:f>
        <x:v>31-60</x:v>
      </x:c>
      <x:c r="N33" s="3" t="str">
        <x:f>IF(OR(M33="90+",I33&gt;150000,J33="Yes"),"High",IF(OR(M33="61-90",I33&gt;75000),"Medium","Low"))</x:f>
        <x:v>High</x:v>
      </x:c>
      <x:c r="O33" s="3" t="str">
        <x:f>IF(J33="Yes","Resolve dispute",IF(M33="90+","Escalate collections",IF(M33="61-90","Collector call","Standard follow-up")))</x:f>
        <x:v>Standard follow-up</x:v>
      </x:c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 t="str">
        <x:v>INV-10033</x:v>
      </x:c>
      <x:c r="B34" s="3" t="str">
        <x:v>Riverbend Supply</x:v>
      </x:c>
      <x:c r="C34" s="3" t="str">
        <x:v>Healthcare</x:v>
      </x:c>
      <x:c r="D34" s="3" t="str">
        <x:v>Chicago</x:v>
      </x:c>
      <x:c r="E34" s="3" t="n">
        <x:v>46090</x:v>
      </x:c>
      <x:c r="F34" s="3" t="n">
        <x:v>45</x:v>
      </x:c>
      <x:c r="G34" s="3" t="n">
        <x:v>46135</x:v>
      </x:c>
      <x:c r="H34" s="3" t="n">
        <x:v>423078</x:v>
      </x:c>
      <x:c r="I34" s="3" t="n">
        <x:v>317308</x:v>
      </x:c>
      <x:c r="J34" s="3" t="str">
        <x:v>No</x:v>
      </x:c>
      <x:c r="K34" s="3" t="str">
        <x:v>S. Brooks</x:v>
      </x:c>
      <x:c r="L34" s="3" t="n">
        <x:f>TODAY()-E34</x:f>
        <x:v>55</x:v>
      </x:c>
      <x:c r="M34" s="3" t="str">
        <x:f>IF(L34&lt;=30,"Current",IF(L34&lt;=60,"31-60",IF(L34&lt;=90,"61-90","90+")))</x:f>
        <x:v>31-60</x:v>
      </x:c>
      <x:c r="N34" s="3" t="str">
        <x:f>IF(OR(M34="90+",I34&gt;150000,J34="Yes"),"High",IF(OR(M34="61-90",I34&gt;75000),"Medium","Low"))</x:f>
        <x:v>High</x:v>
      </x:c>
      <x:c r="O34" s="3" t="str">
        <x:f>IF(J34="Yes","Resolve dispute",IF(M34="90+","Escalate collections",IF(M34="61-90","Collector call","Standard follow-up")))</x:f>
        <x:v>Standard follow-up</x:v>
      </x:c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 t="str">
        <x:v>INV-10034</x:v>
      </x:c>
      <x:c r="B35" s="3" t="str">
        <x:v>Riverbend Supply</x:v>
      </x:c>
      <x:c r="C35" s="3" t="str">
        <x:v>Mid-Market</x:v>
      </x:c>
      <x:c r="D35" s="3" t="str">
        <x:v>Atlanta</x:v>
      </x:c>
      <x:c r="E35" s="3" t="n">
        <x:v>46112</x:v>
      </x:c>
      <x:c r="F35" s="3" t="n">
        <x:v>30</x:v>
      </x:c>
      <x:c r="G35" s="3" t="n">
        <x:v>46142</x:v>
      </x:c>
      <x:c r="H35" s="3" t="n">
        <x:v>315657</x:v>
      </x:c>
      <x:c r="I35" s="3" t="n">
        <x:v>78914</x:v>
      </x:c>
      <x:c r="J35" s="3" t="str">
        <x:v>No</x:v>
      </x:c>
      <x:c r="K35" s="3" t="str">
        <x:v>J. Chen</x:v>
      </x:c>
      <x:c r="L35" s="3" t="n">
        <x:f>TODAY()-E35</x:f>
        <x:v>33</x:v>
      </x:c>
      <x:c r="M35" s="3" t="str">
        <x:f>IF(L35&lt;=30,"Current",IF(L35&lt;=60,"31-60",IF(L35&lt;=90,"61-90","90+")))</x:f>
        <x:v>31-60</x:v>
      </x:c>
      <x:c r="N35" s="3" t="str">
        <x:f>IF(OR(M35="90+",I35&gt;150000,J35="Yes"),"High",IF(OR(M35="61-90",I35&gt;75000),"Medium","Low"))</x:f>
        <x:v>Medium</x:v>
      </x:c>
      <x:c r="O35" s="3" t="str">
        <x:f>IF(J35="Yes","Resolve dispute",IF(M35="90+","Escalate collections",IF(M35="61-90","Collector call","Standard follow-up")))</x:f>
        <x:v>Standard follow-up</x:v>
      </x:c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 t="str">
        <x:v>INV-10035</x:v>
      </x:c>
      <x:c r="B36" s="3" t="str">
        <x:v>Apex Industrial</x:v>
      </x:c>
      <x:c r="C36" s="3" t="str">
        <x:v>Enterprise</x:v>
      </x:c>
      <x:c r="D36" s="3" t="str">
        <x:v>Columbus</x:v>
      </x:c>
      <x:c r="E36" s="3" t="n">
        <x:v>46078</x:v>
      </x:c>
      <x:c r="F36" s="3" t="n">
        <x:v>60</x:v>
      </x:c>
      <x:c r="G36" s="3" t="n">
        <x:v>46138</x:v>
      </x:c>
      <x:c r="H36" s="3" t="n">
        <x:v>290463</x:v>
      </x:c>
      <x:c r="I36" s="3" t="n">
        <x:v>290463</x:v>
      </x:c>
      <x:c r="J36" s="3" t="str">
        <x:v>Yes</x:v>
      </x:c>
      <x:c r="K36" s="3" t="str">
        <x:v>A. Patel</x:v>
      </x:c>
      <x:c r="L36" s="3" t="n">
        <x:f>TODAY()-E36</x:f>
        <x:v>67</x:v>
      </x:c>
      <x:c r="M36" s="3" t="str">
        <x:f>IF(L36&lt;=30,"Current",IF(L36&lt;=60,"31-60",IF(L36&lt;=90,"61-90","90+")))</x:f>
        <x:v>61-90</x:v>
      </x:c>
      <x:c r="N36" s="3" t="str">
        <x:f>IF(OR(M36="90+",I36&gt;150000,J36="Yes"),"High",IF(OR(M36="61-90",I36&gt;75000),"Medium","Low"))</x:f>
        <x:v>High</x:v>
      </x:c>
      <x:c r="O36" s="3" t="str">
        <x:f>IF(J36="Yes","Resolve dispute",IF(M36="90+","Escalate collections",IF(M36="61-90","Collector call","Standard follow-up")))</x:f>
        <x:v>Resolve dispute</x:v>
      </x:c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 t="str">
        <x:v>INV-10036</x:v>
      </x:c>
      <x:c r="B37" s="3" t="str">
        <x:v>BrightPath Clinics</x:v>
      </x:c>
      <x:c r="C37" s="3" t="str">
        <x:v>Mid-Market</x:v>
      </x:c>
      <x:c r="D37" s="3" t="str">
        <x:v>Chicago</x:v>
      </x:c>
      <x:c r="E37" s="3" t="n">
        <x:v>46063</x:v>
      </x:c>
      <x:c r="F37" s="3" t="n">
        <x:v>30</x:v>
      </x:c>
      <x:c r="G37" s="3" t="n">
        <x:v>46093</x:v>
      </x:c>
      <x:c r="H37" s="3" t="n">
        <x:v>366005</x:v>
      </x:c>
      <x:c r="I37" s="3" t="n">
        <x:v>366005</x:v>
      </x:c>
      <x:c r="J37" s="3" t="str">
        <x:v>No</x:v>
      </x:c>
      <x:c r="K37" s="3" t="str">
        <x:v>M. Rivera</x:v>
      </x:c>
      <x:c r="L37" s="3" t="n">
        <x:f>TODAY()-E37</x:f>
        <x:v>82</x:v>
      </x:c>
      <x:c r="M37" s="3" t="str">
        <x:f>IF(L37&lt;=30,"Current",IF(L37&lt;=60,"31-60",IF(L37&lt;=90,"61-90","90+")))</x:f>
        <x:v>61-90</x:v>
      </x:c>
      <x:c r="N37" s="3" t="str">
        <x:f>IF(OR(M37="90+",I37&gt;150000,J37="Yes"),"High",IF(OR(M37="61-90",I37&gt;75000),"Medium","Low"))</x:f>
        <x:v>High</x:v>
      </x:c>
      <x:c r="O37" s="3" t="str">
        <x:f>IF(J37="Yes","Resolve dispute",IF(M37="90+","Escalate collections",IF(M37="61-90","Collector call","Standard follow-up")))</x:f>
        <x:v>Collector call</x:v>
      </x:c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 t="str">
        <x:v>INV-10037</x:v>
      </x:c>
      <x:c r="B38" s="3" t="str">
        <x:v>Vantage Components</x:v>
      </x:c>
      <x:c r="C38" s="3" t="str">
        <x:v>Industrial</x:v>
      </x:c>
      <x:c r="D38" s="3" t="str">
        <x:v>Chicago</x:v>
      </x:c>
      <x:c r="E38" s="3" t="n">
        <x:v>46060</x:v>
      </x:c>
      <x:c r="F38" s="3" t="n">
        <x:v>30</x:v>
      </x:c>
      <x:c r="G38" s="3" t="n">
        <x:v>46090</x:v>
      </x:c>
      <x:c r="H38" s="3" t="n">
        <x:v>231794</x:v>
      </x:c>
      <x:c r="I38" s="3" t="n">
        <x:v>57948</x:v>
      </x:c>
      <x:c r="J38" s="3" t="str">
        <x:v>No</x:v>
      </x:c>
      <x:c r="K38" s="3" t="str">
        <x:v>J. Chen</x:v>
      </x:c>
      <x:c r="L38" s="3" t="n">
        <x:f>TODAY()-E38</x:f>
        <x:v>85</x:v>
      </x:c>
      <x:c r="M38" s="3" t="str">
        <x:f>IF(L38&lt;=30,"Current",IF(L38&lt;=60,"31-60",IF(L38&lt;=90,"61-90","90+")))</x:f>
        <x:v>61-90</x:v>
      </x:c>
      <x:c r="N38" s="3" t="str">
        <x:f>IF(OR(M38="90+",I38&gt;150000,J38="Yes"),"High",IF(OR(M38="61-90",I38&gt;75000),"Medium","Low"))</x:f>
        <x:v>Medium</x:v>
      </x:c>
      <x:c r="O38" s="3" t="str">
        <x:f>IF(J38="Yes","Resolve dispute",IF(M38="90+","Escalate collections",IF(M38="61-90","Collector call","Standard follow-up")))</x:f>
        <x:v>Collector call</x:v>
      </x:c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 t="str">
        <x:v>INV-10038</x:v>
      </x:c>
      <x:c r="B39" s="3" t="str">
        <x:v>Ironwood Systems</x:v>
      </x:c>
      <x:c r="C39" s="3" t="str">
        <x:v>SMB</x:v>
      </x:c>
      <x:c r="D39" s="3" t="str">
        <x:v>Dallas</x:v>
      </x:c>
      <x:c r="E39" s="3" t="n">
        <x:v>46054</x:v>
      </x:c>
      <x:c r="F39" s="3" t="n">
        <x:v>45</x:v>
      </x:c>
      <x:c r="G39" s="3" t="n">
        <x:v>46099</x:v>
      </x:c>
      <x:c r="H39" s="3" t="n">
        <x:v>137140</x:v>
      </x:c>
      <x:c r="I39" s="3" t="n">
        <x:v>137140</x:v>
      </x:c>
      <x:c r="J39" s="3" t="str">
        <x:v>No</x:v>
      </x:c>
      <x:c r="K39" s="3" t="str">
        <x:v>J. Chen</x:v>
      </x:c>
      <x:c r="L39" s="3" t="n">
        <x:f>TODAY()-E39</x:f>
        <x:v>91</x:v>
      </x:c>
      <x:c r="M39" s="3" t="str">
        <x:f>IF(L39&lt;=30,"Current",IF(L39&lt;=60,"31-60",IF(L39&lt;=90,"61-90","90+")))</x:f>
        <x:v>90+</x:v>
      </x:c>
      <x:c r="N39" s="3" t="str">
        <x:f>IF(OR(M39="90+",I39&gt;150000,J39="Yes"),"High",IF(OR(M39="61-90",I39&gt;75000),"Medium","Low"))</x:f>
        <x:v>High</x:v>
      </x:c>
      <x:c r="O39" s="3" t="str">
        <x:f>IF(J39="Yes","Resolve dispute",IF(M39="90+","Escalate collections",IF(M39="61-90","Collector call","Standard follow-up")))</x:f>
        <x:v>Escalate collections</x:v>
      </x:c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 t="str">
        <x:v>INV-10039</x:v>
      </x:c>
      <x:c r="B40" s="3" t="str">
        <x:v>Harbor Health</x:v>
      </x:c>
      <x:c r="C40" s="3" t="str">
        <x:v>SMB</x:v>
      </x:c>
      <x:c r="D40" s="3" t="str">
        <x:v>Chicago</x:v>
      </x:c>
      <x:c r="E40" s="3" t="n">
        <x:v>46138</x:v>
      </x:c>
      <x:c r="F40" s="3" t="n">
        <x:v>45</x:v>
      </x:c>
      <x:c r="G40" s="3" t="n">
        <x:v>46183</x:v>
      </x:c>
      <x:c r="H40" s="3" t="n">
        <x:v>337666</x:v>
      </x:c>
      <x:c r="I40" s="3" t="n">
        <x:v>168833</x:v>
      </x:c>
      <x:c r="J40" s="3" t="str">
        <x:v>No</x:v>
      </x:c>
      <x:c r="K40" s="3" t="str">
        <x:v>A. Patel</x:v>
      </x:c>
      <x:c r="L40" s="3" t="n">
        <x:f>TODAY()-E40</x:f>
        <x:v>7</x:v>
      </x:c>
      <x:c r="M40" s="3" t="str">
        <x:f>IF(L40&lt;=30,"Current",IF(L40&lt;=60,"31-60",IF(L40&lt;=90,"61-90","90+")))</x:f>
        <x:v>Current</x:v>
      </x:c>
      <x:c r="N40" s="3" t="str">
        <x:f>IF(OR(M40="90+",I40&gt;150000,J40="Yes"),"High",IF(OR(M40="61-90",I40&gt;75000),"Medium","Low"))</x:f>
        <x:v>High</x:v>
      </x:c>
      <x:c r="O40" s="3" t="str">
        <x:f>IF(J40="Yes","Resolve dispute",IF(M40="90+","Escalate collections",IF(M40="61-90","Collector call","Standard follow-up")))</x:f>
        <x:v>Standard follow-up</x:v>
      </x:c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 t="str">
        <x:v>INV-10040</x:v>
      </x:c>
      <x:c r="B41" s="3" t="str">
        <x:v>Oakline Retail</x:v>
      </x:c>
      <x:c r="C41" s="3" t="str">
        <x:v>Mid-Market</x:v>
      </x:c>
      <x:c r="D41" s="3" t="str">
        <x:v>Columbus</x:v>
      </x:c>
      <x:c r="E41" s="3" t="n">
        <x:v>46106</x:v>
      </x:c>
      <x:c r="F41" s="3" t="n">
        <x:v>30</x:v>
      </x:c>
      <x:c r="G41" s="3" t="n">
        <x:v>46136</x:v>
      </x:c>
      <x:c r="H41" s="3" t="n">
        <x:v>194981</x:v>
      </x:c>
      <x:c r="I41" s="3" t="n">
        <x:v>194981</x:v>
      </x:c>
      <x:c r="J41" s="3" t="str">
        <x:v>No</x:v>
      </x:c>
      <x:c r="K41" s="3" t="str">
        <x:v>J. Chen</x:v>
      </x:c>
      <x:c r="L41" s="3" t="n">
        <x:f>TODAY()-E41</x:f>
        <x:v>39</x:v>
      </x:c>
      <x:c r="M41" s="3" t="str">
        <x:f>IF(L41&lt;=30,"Current",IF(L41&lt;=60,"31-60",IF(L41&lt;=90,"61-90","90+")))</x:f>
        <x:v>31-60</x:v>
      </x:c>
      <x:c r="N41" s="3" t="str">
        <x:f>IF(OR(M41="90+",I41&gt;150000,J41="Yes"),"High",IF(OR(M41="61-90",I41&gt;75000),"Medium","Low"))</x:f>
        <x:v>High</x:v>
      </x:c>
      <x:c r="O41" s="3" t="str">
        <x:f>IF(J41="Yes","Resolve dispute",IF(M41="90+","Escalate collections",IF(M41="61-90","Collector call","Standard follow-up")))</x:f>
        <x:v>Standard follow-up</x:v>
      </x:c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 t="str">
        <x:v>INV-10041</x:v>
      </x:c>
      <x:c r="B42" s="3" t="str">
        <x:v>Keystone Services</x:v>
      </x:c>
      <x:c r="C42" s="3" t="str">
        <x:v>Mid-Market</x:v>
      </x:c>
      <x:c r="D42" s="3" t="str">
        <x:v>Phoenix</x:v>
      </x:c>
      <x:c r="E42" s="3" t="n">
        <x:v>46033</x:v>
      </x:c>
      <x:c r="F42" s="3" t="n">
        <x:v>60</x:v>
      </x:c>
      <x:c r="G42" s="3" t="n">
        <x:v>46093</x:v>
      </x:c>
      <x:c r="H42" s="3" t="n">
        <x:v>380857</x:v>
      </x:c>
      <x:c r="I42" s="3" t="n">
        <x:v>380857</x:v>
      </x:c>
      <x:c r="J42" s="3" t="str">
        <x:v>No</x:v>
      </x:c>
      <x:c r="K42" s="3" t="str">
        <x:v>A. Patel</x:v>
      </x:c>
      <x:c r="L42" s="3" t="n">
        <x:f>TODAY()-E42</x:f>
        <x:v>112</x:v>
      </x:c>
      <x:c r="M42" s="3" t="str">
        <x:f>IF(L42&lt;=30,"Current",IF(L42&lt;=60,"31-60",IF(L42&lt;=90,"61-90","90+")))</x:f>
        <x:v>90+</x:v>
      </x:c>
      <x:c r="N42" s="3" t="str">
        <x:f>IF(OR(M42="90+",I42&gt;150000,J42="Yes"),"High",IF(OR(M42="61-90",I42&gt;75000),"Medium","Low"))</x:f>
        <x:v>High</x:v>
      </x:c>
      <x:c r="O42" s="3" t="str">
        <x:f>IF(J42="Yes","Resolve dispute",IF(M42="90+","Escalate collections",IF(M42="61-90","Collector call","Standard follow-up")))</x:f>
        <x:v>Escalate collections</x:v>
      </x:c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 t="str">
        <x:v>INV-10042</x:v>
      </x:c>
      <x:c r="B43" s="3" t="str">
        <x:v>Metro Facilities</x:v>
      </x:c>
      <x:c r="C43" s="3" t="str">
        <x:v>Industrial</x:v>
      </x:c>
      <x:c r="D43" s="3" t="str">
        <x:v>Atlanta</x:v>
      </x:c>
      <x:c r="E43" s="3" t="n">
        <x:v>46055</x:v>
      </x:c>
      <x:c r="F43" s="3" t="n">
        <x:v>30</x:v>
      </x:c>
      <x:c r="G43" s="3" t="n">
        <x:v>46085</x:v>
      </x:c>
      <x:c r="H43" s="3" t="n">
        <x:v>82407</x:v>
      </x:c>
      <x:c r="I43" s="3" t="n">
        <x:v>82407</x:v>
      </x:c>
      <x:c r="J43" s="3" t="str">
        <x:v>Yes</x:v>
      </x:c>
      <x:c r="K43" s="3" t="str">
        <x:v>A. Patel</x:v>
      </x:c>
      <x:c r="L43" s="3" t="n">
        <x:f>TODAY()-E43</x:f>
        <x:v>90</x:v>
      </x:c>
      <x:c r="M43" s="3" t="str">
        <x:f>IF(L43&lt;=30,"Current",IF(L43&lt;=60,"31-60",IF(L43&lt;=90,"61-90","90+")))</x:f>
        <x:v>61-90</x:v>
      </x:c>
      <x:c r="N43" s="3" t="str">
        <x:f>IF(OR(M43="90+",I43&gt;150000,J43="Yes"),"High",IF(OR(M43="61-90",I43&gt;75000),"Medium","Low"))</x:f>
        <x:v>High</x:v>
      </x:c>
      <x:c r="O43" s="3" t="str">
        <x:f>IF(J43="Yes","Resolve dispute",IF(M43="90+","Escalate collections",IF(M43="61-90","Collector call","Standard follow-up")))</x:f>
        <x:v>Resolve dispute</x:v>
      </x:c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 t="str">
        <x:v>INV-10043</x:v>
      </x:c>
      <x:c r="B44" s="3" t="str">
        <x:v>Evergreen Labs</x:v>
      </x:c>
      <x:c r="C44" s="3" t="str">
        <x:v>Industrial</x:v>
      </x:c>
      <x:c r="D44" s="3" t="str">
        <x:v>Dallas</x:v>
      </x:c>
      <x:c r="E44" s="3" t="n">
        <x:v>46105</x:v>
      </x:c>
      <x:c r="F44" s="3" t="n">
        <x:v>45</x:v>
      </x:c>
      <x:c r="G44" s="3" t="n">
        <x:v>46150</x:v>
      </x:c>
      <x:c r="H44" s="3" t="n">
        <x:v>329105</x:v>
      </x:c>
      <x:c r="I44" s="3" t="n">
        <x:v>329105</x:v>
      </x:c>
      <x:c r="J44" s="3" t="str">
        <x:v>No</x:v>
      </x:c>
      <x:c r="K44" s="3" t="str">
        <x:v>M. Rivera</x:v>
      </x:c>
      <x:c r="L44" s="3" t="n">
        <x:f>TODAY()-E44</x:f>
        <x:v>40</x:v>
      </x:c>
      <x:c r="M44" s="3" t="str">
        <x:f>IF(L44&lt;=30,"Current",IF(L44&lt;=60,"31-60",IF(L44&lt;=90,"61-90","90+")))</x:f>
        <x:v>31-60</x:v>
      </x:c>
      <x:c r="N44" s="3" t="str">
        <x:f>IF(OR(M44="90+",I44&gt;150000,J44="Yes"),"High",IF(OR(M44="61-90",I44&gt;75000),"Medium","Low"))</x:f>
        <x:v>High</x:v>
      </x:c>
      <x:c r="O44" s="3" t="str">
        <x:f>IF(J44="Yes","Resolve dispute",IF(M44="90+","Escalate collections",IF(M44="61-90","Collector call","Standard follow-up")))</x:f>
        <x:v>Standard follow-up</x:v>
      </x:c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 t="str">
        <x:v>INV-10044</x:v>
      </x:c>
      <x:c r="B45" s="3" t="str">
        <x:v>Metro Facilities</x:v>
      </x:c>
      <x:c r="C45" s="3" t="str">
        <x:v>SMB</x:v>
      </x:c>
      <x:c r="D45" s="3" t="str">
        <x:v>Columbus</x:v>
      </x:c>
      <x:c r="E45" s="3" t="n">
        <x:v>46077</x:v>
      </x:c>
      <x:c r="F45" s="3" t="n">
        <x:v>45</x:v>
      </x:c>
      <x:c r="G45" s="3" t="n">
        <x:v>46122</x:v>
      </x:c>
      <x:c r="H45" s="3" t="n">
        <x:v>38633</x:v>
      </x:c>
      <x:c r="I45" s="3" t="n">
        <x:v>38633</x:v>
      </x:c>
      <x:c r="J45" s="3" t="str">
        <x:v>No</x:v>
      </x:c>
      <x:c r="K45" s="3" t="str">
        <x:v>J. Chen</x:v>
      </x:c>
      <x:c r="L45" s="3" t="n">
        <x:f>TODAY()-E45</x:f>
        <x:v>68</x:v>
      </x:c>
      <x:c r="M45" s="3" t="str">
        <x:f>IF(L45&lt;=30,"Current",IF(L45&lt;=60,"31-60",IF(L45&lt;=90,"61-90","90+")))</x:f>
        <x:v>61-90</x:v>
      </x:c>
      <x:c r="N45" s="3" t="str">
        <x:f>IF(OR(M45="90+",I45&gt;150000,J45="Yes"),"High",IF(OR(M45="61-90",I45&gt;75000),"Medium","Low"))</x:f>
        <x:v>Medium</x:v>
      </x:c>
      <x:c r="O45" s="3" t="str">
        <x:f>IF(J45="Yes","Resolve dispute",IF(M45="90+","Escalate collections",IF(M45="61-90","Collector call","Standard follow-up")))</x:f>
        <x:v>Collector call</x:v>
      </x:c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 t="str">
        <x:v>INV-10045</x:v>
      </x:c>
      <x:c r="B46" s="3" t="str">
        <x:v>Apex Industrial</x:v>
      </x:c>
      <x:c r="C46" s="3" t="str">
        <x:v>Enterprise</x:v>
      </x:c>
      <x:c r="D46" s="3" t="str">
        <x:v>Atlanta</x:v>
      </x:c>
      <x:c r="E46" s="3" t="n">
        <x:v>46041</x:v>
      </x:c>
      <x:c r="F46" s="3" t="n">
        <x:v>30</x:v>
      </x:c>
      <x:c r="G46" s="3" t="n">
        <x:v>46071</x:v>
      </x:c>
      <x:c r="H46" s="3" t="n">
        <x:v>346030</x:v>
      </x:c>
      <x:c r="I46" s="3" t="n">
        <x:v>346030</x:v>
      </x:c>
      <x:c r="J46" s="3" t="str">
        <x:v>No</x:v>
      </x:c>
      <x:c r="K46" s="3" t="str">
        <x:v>S. Brooks</x:v>
      </x:c>
      <x:c r="L46" s="3" t="n">
        <x:f>TODAY()-E46</x:f>
        <x:v>104</x:v>
      </x:c>
      <x:c r="M46" s="3" t="str">
        <x:f>IF(L46&lt;=30,"Current",IF(L46&lt;=60,"31-60",IF(L46&lt;=90,"61-90","90+")))</x:f>
        <x:v>90+</x:v>
      </x:c>
      <x:c r="N46" s="3" t="str">
        <x:f>IF(OR(M46="90+",I46&gt;150000,J46="Yes"),"High",IF(OR(M46="61-90",I46&gt;75000),"Medium","Low"))</x:f>
        <x:v>High</x:v>
      </x:c>
      <x:c r="O46" s="3" t="str">
        <x:f>IF(J46="Yes","Resolve dispute",IF(M46="90+","Escalate collections",IF(M46="61-90","Collector call","Standard follow-up")))</x:f>
        <x:v>Escalate collections</x:v>
      </x:c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 t="str">
        <x:v>INV-10046</x:v>
      </x:c>
      <x:c r="B47" s="3" t="str">
        <x:v>Oakline Retail</x:v>
      </x:c>
      <x:c r="C47" s="3" t="str">
        <x:v>Healthcare</x:v>
      </x:c>
      <x:c r="D47" s="3" t="str">
        <x:v>Columbus</x:v>
      </x:c>
      <x:c r="E47" s="3" t="n">
        <x:v>46138</x:v>
      </x:c>
      <x:c r="F47" s="3" t="n">
        <x:v>30</x:v>
      </x:c>
      <x:c r="G47" s="3" t="n">
        <x:v>46168</x:v>
      </x:c>
      <x:c r="H47" s="3" t="n">
        <x:v>51449</x:v>
      </x:c>
      <x:c r="I47" s="3" t="n">
        <x:v>12862</x:v>
      </x:c>
      <x:c r="J47" s="3" t="str">
        <x:v>No</x:v>
      </x:c>
      <x:c r="K47" s="3" t="str">
        <x:v>A. Patel</x:v>
      </x:c>
      <x:c r="L47" s="3" t="n">
        <x:f>TODAY()-E47</x:f>
        <x:v>7</x:v>
      </x:c>
      <x:c r="M47" s="3" t="str">
        <x:f>IF(L47&lt;=30,"Current",IF(L47&lt;=60,"31-60",IF(L47&lt;=90,"61-90","90+")))</x:f>
        <x:v>Current</x:v>
      </x:c>
      <x:c r="N47" s="3" t="str">
        <x:f>IF(OR(M47="90+",I47&gt;150000,J47="Yes"),"High",IF(OR(M47="61-90",I47&gt;75000),"Medium","Low"))</x:f>
        <x:v>Low</x:v>
      </x:c>
      <x:c r="O47" s="3" t="str">
        <x:f>IF(J47="Yes","Resolve dispute",IF(M47="90+","Escalate collections",IF(M47="61-90","Collector call","Standard follow-up")))</x:f>
        <x:v>Standard follow-up</x:v>
      </x:c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 t="str">
        <x:v>INV-10047</x:v>
      </x:c>
      <x:c r="B48" s="3" t="str">
        <x:v>BrightPath Clinics</x:v>
      </x:c>
      <x:c r="C48" s="3" t="str">
        <x:v>SMB</x:v>
      </x:c>
      <x:c r="D48" s="3" t="str">
        <x:v>Columbus</x:v>
      </x:c>
      <x:c r="E48" s="3" t="n">
        <x:v>46069</x:v>
      </x:c>
      <x:c r="F48" s="3" t="n">
        <x:v>30</x:v>
      </x:c>
      <x:c r="G48" s="3" t="n">
        <x:v>46099</x:v>
      </x:c>
      <x:c r="H48" s="3" t="n">
        <x:v>237332</x:v>
      </x:c>
      <x:c r="I48" s="3" t="n">
        <x:v>237332</x:v>
      </x:c>
      <x:c r="J48" s="3" t="str">
        <x:v>Yes</x:v>
      </x:c>
      <x:c r="K48" s="3" t="str">
        <x:v>J. Chen</x:v>
      </x:c>
      <x:c r="L48" s="3" t="n">
        <x:f>TODAY()-E48</x:f>
        <x:v>76</x:v>
      </x:c>
      <x:c r="M48" s="3" t="str">
        <x:f>IF(L48&lt;=30,"Current",IF(L48&lt;=60,"31-60",IF(L48&lt;=90,"61-90","90+")))</x:f>
        <x:v>61-90</x:v>
      </x:c>
      <x:c r="N48" s="3" t="str">
        <x:f>IF(OR(M48="90+",I48&gt;150000,J48="Yes"),"High",IF(OR(M48="61-90",I48&gt;75000),"Medium","Low"))</x:f>
        <x:v>High</x:v>
      </x:c>
      <x:c r="O48" s="3" t="str">
        <x:f>IF(J48="Yes","Resolve dispute",IF(M48="90+","Escalate collections",IF(M48="61-90","Collector call","Standard follow-up")))</x:f>
        <x:v>Resolve dispute</x:v>
      </x:c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 t="str">
        <x:v>INV-10048</x:v>
      </x:c>
      <x:c r="B49" s="3" t="str">
        <x:v>Ironwood Systems</x:v>
      </x:c>
      <x:c r="C49" s="3" t="str">
        <x:v>Enterprise</x:v>
      </x:c>
      <x:c r="D49" s="3" t="str">
        <x:v>Atlanta</x:v>
      </x:c>
      <x:c r="E49" s="3" t="n">
        <x:v>46113</x:v>
      </x:c>
      <x:c r="F49" s="3" t="n">
        <x:v>30</x:v>
      </x:c>
      <x:c r="G49" s="3" t="n">
        <x:v>46143</x:v>
      </x:c>
      <x:c r="H49" s="3" t="n">
        <x:v>361665</x:v>
      </x:c>
      <x:c r="I49" s="3" t="n">
        <x:v>361665</x:v>
      </x:c>
      <x:c r="J49" s="3" t="str">
        <x:v>No</x:v>
      </x:c>
      <x:c r="K49" s="3" t="str">
        <x:v>S. Brooks</x:v>
      </x:c>
      <x:c r="L49" s="3" t="n">
        <x:f>TODAY()-E49</x:f>
        <x:v>32</x:v>
      </x:c>
      <x:c r="M49" s="3" t="str">
        <x:f>IF(L49&lt;=30,"Current",IF(L49&lt;=60,"31-60",IF(L49&lt;=90,"61-90","90+")))</x:f>
        <x:v>31-60</x:v>
      </x:c>
      <x:c r="N49" s="3" t="str">
        <x:f>IF(OR(M49="90+",I49&gt;150000,J49="Yes"),"High",IF(OR(M49="61-90",I49&gt;75000),"Medium","Low"))</x:f>
        <x:v>High</x:v>
      </x:c>
      <x:c r="O49" s="3" t="str">
        <x:f>IF(J49="Yes","Resolve dispute",IF(M49="90+","Escalate collections",IF(M49="61-90","Collector call","Standard follow-up")))</x:f>
        <x:v>Standard follow-up</x:v>
      </x:c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 t="str">
        <x:v>INV-10049</x:v>
      </x:c>
      <x:c r="B50" s="3" t="str">
        <x:v>Vantage Components</x:v>
      </x:c>
      <x:c r="C50" s="3" t="str">
        <x:v>Mid-Market</x:v>
      </x:c>
      <x:c r="D50" s="3" t="str">
        <x:v>Dallas</x:v>
      </x:c>
      <x:c r="E50" s="3" t="n">
        <x:v>46029</x:v>
      </x:c>
      <x:c r="F50" s="3" t="n">
        <x:v>30</x:v>
      </x:c>
      <x:c r="G50" s="3" t="n">
        <x:v>46059</x:v>
      </x:c>
      <x:c r="H50" s="3" t="n">
        <x:v>431371</x:v>
      </x:c>
      <x:c r="I50" s="3" t="n">
        <x:v>431371</x:v>
      </x:c>
      <x:c r="J50" s="3" t="str">
        <x:v>No</x:v>
      </x:c>
      <x:c r="K50" s="3" t="str">
        <x:v>A. Patel</x:v>
      </x:c>
      <x:c r="L50" s="3" t="n">
        <x:f>TODAY()-E50</x:f>
        <x:v>116</x:v>
      </x:c>
      <x:c r="M50" s="3" t="str">
        <x:f>IF(L50&lt;=30,"Current",IF(L50&lt;=60,"31-60",IF(L50&lt;=90,"61-90","90+")))</x:f>
        <x:v>90+</x:v>
      </x:c>
      <x:c r="N50" s="3" t="str">
        <x:f>IF(OR(M50="90+",I50&gt;150000,J50="Yes"),"High",IF(OR(M50="61-90",I50&gt;75000),"Medium","Low"))</x:f>
        <x:v>High</x:v>
      </x:c>
      <x:c r="O50" s="3" t="str">
        <x:f>IF(J50="Yes","Resolve dispute",IF(M50="90+","Escalate collections",IF(M50="61-90","Collector call","Standard follow-up")))</x:f>
        <x:v>Escalate collections</x:v>
      </x:c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 t="str">
        <x:v>INV-10050</x:v>
      </x:c>
      <x:c r="B51" s="3" t="str">
        <x:v>Riverbend Supply</x:v>
      </x:c>
      <x:c r="C51" s="3" t="str">
        <x:v>SMB</x:v>
      </x:c>
      <x:c r="D51" s="3" t="str">
        <x:v>Phoenix</x:v>
      </x:c>
      <x:c r="E51" s="3" t="n">
        <x:v>46037</x:v>
      </x:c>
      <x:c r="F51" s="3" t="n">
        <x:v>30</x:v>
      </x:c>
      <x:c r="G51" s="3" t="n">
        <x:v>46067</x:v>
      </x:c>
      <x:c r="H51" s="3" t="n">
        <x:v>151883</x:v>
      </x:c>
      <x:c r="I51" s="3" t="n">
        <x:v>151883</x:v>
      </x:c>
      <x:c r="J51" s="3" t="str">
        <x:v>No</x:v>
      </x:c>
      <x:c r="K51" s="3" t="str">
        <x:v>A. Patel</x:v>
      </x:c>
      <x:c r="L51" s="3" t="n">
        <x:f>TODAY()-E51</x:f>
        <x:v>108</x:v>
      </x:c>
      <x:c r="M51" s="3" t="str">
        <x:f>IF(L51&lt;=30,"Current",IF(L51&lt;=60,"31-60",IF(L51&lt;=90,"61-90","90+")))</x:f>
        <x:v>90+</x:v>
      </x:c>
      <x:c r="N51" s="3" t="str">
        <x:f>IF(OR(M51="90+",I51&gt;150000,J51="Yes"),"High",IF(OR(M51="61-90",I51&gt;75000),"Medium","Low"))</x:f>
        <x:v>High</x:v>
      </x:c>
      <x:c r="O51" s="3" t="str">
        <x:f>IF(J51="Yes","Resolve dispute",IF(M51="90+","Escalate collections",IF(M51="61-90","Collector call","Standard follow-up")))</x:f>
        <x:v>Escalate collections</x:v>
      </x:c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 t="str">
        <x:v>INV-10051</x:v>
      </x:c>
      <x:c r="B52" s="3" t="str">
        <x:v>Canyon Distribution</x:v>
      </x:c>
      <x:c r="C52" s="3" t="str">
        <x:v>Enterprise</x:v>
      </x:c>
      <x:c r="D52" s="3" t="str">
        <x:v>Phoenix</x:v>
      </x:c>
      <x:c r="E52" s="3" t="n">
        <x:v>46111</x:v>
      </x:c>
      <x:c r="F52" s="3" t="n">
        <x:v>30</x:v>
      </x:c>
      <x:c r="G52" s="3" t="n">
        <x:v>46141</x:v>
      </x:c>
      <x:c r="H52" s="3" t="n">
        <x:v>440126</x:v>
      </x:c>
      <x:c r="I52" s="3" t="n">
        <x:v>330094</x:v>
      </x:c>
      <x:c r="J52" s="3" t="str">
        <x:v>No</x:v>
      </x:c>
      <x:c r="K52" s="3" t="str">
        <x:v>M. Rivera</x:v>
      </x:c>
      <x:c r="L52" s="3" t="n">
        <x:f>TODAY()-E52</x:f>
        <x:v>34</x:v>
      </x:c>
      <x:c r="M52" s="3" t="str">
        <x:f>IF(L52&lt;=30,"Current",IF(L52&lt;=60,"31-60",IF(L52&lt;=90,"61-90","90+")))</x:f>
        <x:v>31-60</x:v>
      </x:c>
      <x:c r="N52" s="3" t="str">
        <x:f>IF(OR(M52="90+",I52&gt;150000,J52="Yes"),"High",IF(OR(M52="61-90",I52&gt;75000),"Medium","Low"))</x:f>
        <x:v>High</x:v>
      </x:c>
      <x:c r="O52" s="3" t="str">
        <x:f>IF(J52="Yes","Resolve dispute",IF(M52="90+","Escalate collections",IF(M52="61-90","Collector call","Standard follow-up")))</x:f>
        <x:v>Standard follow-up</x:v>
      </x:c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 t="str">
        <x:v>INV-10052</x:v>
      </x:c>
      <x:c r="B53" s="3" t="str">
        <x:v>Summit Foods</x:v>
      </x:c>
      <x:c r="C53" s="3" t="str">
        <x:v>Enterprise</x:v>
      </x:c>
      <x:c r="D53" s="3" t="str">
        <x:v>Nashville</x:v>
      </x:c>
      <x:c r="E53" s="3" t="n">
        <x:v>46115</x:v>
      </x:c>
      <x:c r="F53" s="3" t="n">
        <x:v>45</x:v>
      </x:c>
      <x:c r="G53" s="3" t="n">
        <x:v>46160</x:v>
      </x:c>
      <x:c r="H53" s="3" t="n">
        <x:v>184103</x:v>
      </x:c>
      <x:c r="I53" s="3" t="n">
        <x:v>184103</x:v>
      </x:c>
      <x:c r="J53" s="3" t="str">
        <x:v>No</x:v>
      </x:c>
      <x:c r="K53" s="3" t="str">
        <x:v>J. Chen</x:v>
      </x:c>
      <x:c r="L53" s="3" t="n">
        <x:f>TODAY()-E53</x:f>
        <x:v>30</x:v>
      </x:c>
      <x:c r="M53" s="3" t="str">
        <x:f>IF(L53&lt;=30,"Current",IF(L53&lt;=60,"31-60",IF(L53&lt;=90,"61-90","90+")))</x:f>
        <x:v>Current</x:v>
      </x:c>
      <x:c r="N53" s="3" t="str">
        <x:f>IF(OR(M53="90+",I53&gt;150000,J53="Yes"),"High",IF(OR(M53="61-90",I53&gt;75000),"Medium","Low"))</x:f>
        <x:v>High</x:v>
      </x:c>
      <x:c r="O53" s="3" t="str">
        <x:f>IF(J53="Yes","Resolve dispute",IF(M53="90+","Escalate collections",IF(M53="61-90","Collector call","Standard follow-up")))</x:f>
        <x:v>Standard follow-up</x:v>
      </x:c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 t="str">
        <x:v>INV-10053</x:v>
      </x:c>
      <x:c r="B54" s="3" t="str">
        <x:v>BluePeak Manufacturing</x:v>
      </x:c>
      <x:c r="C54" s="3" t="str">
        <x:v>Industrial</x:v>
      </x:c>
      <x:c r="D54" s="3" t="str">
        <x:v>Phoenix</x:v>
      </x:c>
      <x:c r="E54" s="3" t="n">
        <x:v>46053</x:v>
      </x:c>
      <x:c r="F54" s="3" t="n">
        <x:v>60</x:v>
      </x:c>
      <x:c r="G54" s="3" t="n">
        <x:v>46113</x:v>
      </x:c>
      <x:c r="H54" s="3" t="n">
        <x:v>185617</x:v>
      </x:c>
      <x:c r="I54" s="3" t="n">
        <x:v>185617</x:v>
      </x:c>
      <x:c r="J54" s="3" t="str">
        <x:v>Yes</x:v>
      </x:c>
      <x:c r="K54" s="3" t="str">
        <x:v>J. Chen</x:v>
      </x:c>
      <x:c r="L54" s="3" t="n">
        <x:f>TODAY()-E54</x:f>
        <x:v>92</x:v>
      </x:c>
      <x:c r="M54" s="3" t="str">
        <x:f>IF(L54&lt;=30,"Current",IF(L54&lt;=60,"31-60",IF(L54&lt;=90,"61-90","90+")))</x:f>
        <x:v>90+</x:v>
      </x:c>
      <x:c r="N54" s="3" t="str">
        <x:f>IF(OR(M54="90+",I54&gt;150000,J54="Yes"),"High",IF(OR(M54="61-90",I54&gt;75000),"Medium","Low"))</x:f>
        <x:v>High</x:v>
      </x:c>
      <x:c r="O54" s="3" t="str">
        <x:f>IF(J54="Yes","Resolve dispute",IF(M54="90+","Escalate collections",IF(M54="61-90","Collector call","Standard follow-up")))</x:f>
        <x:v>Resolve dispute</x:v>
      </x:c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 t="str">
        <x:v>INV-10054</x:v>
      </x:c>
      <x:c r="B55" s="3" t="str">
        <x:v>Riverbend Supply</x:v>
      </x:c>
      <x:c r="C55" s="3" t="str">
        <x:v>Industrial</x:v>
      </x:c>
      <x:c r="D55" s="3" t="str">
        <x:v>Atlanta</x:v>
      </x:c>
      <x:c r="E55" s="3" t="n">
        <x:v>46135</x:v>
      </x:c>
      <x:c r="F55" s="3" t="n">
        <x:v>30</x:v>
      </x:c>
      <x:c r="G55" s="3" t="n">
        <x:v>46165</x:v>
      </x:c>
      <x:c r="H55" s="3" t="n">
        <x:v>324775</x:v>
      </x:c>
      <x:c r="I55" s="3" t="n">
        <x:v>243581</x:v>
      </x:c>
      <x:c r="J55" s="3" t="str">
        <x:v>No</x:v>
      </x:c>
      <x:c r="K55" s="3" t="str">
        <x:v>J. Chen</x:v>
      </x:c>
      <x:c r="L55" s="3" t="n">
        <x:f>TODAY()-E55</x:f>
        <x:v>10</x:v>
      </x:c>
      <x:c r="M55" s="3" t="str">
        <x:f>IF(L55&lt;=30,"Current",IF(L55&lt;=60,"31-60",IF(L55&lt;=90,"61-90","90+")))</x:f>
        <x:v>Current</x:v>
      </x:c>
      <x:c r="N55" s="3" t="str">
        <x:f>IF(OR(M55="90+",I55&gt;150000,J55="Yes"),"High",IF(OR(M55="61-90",I55&gt;75000),"Medium","Low"))</x:f>
        <x:v>High</x:v>
      </x:c>
      <x:c r="O55" s="3" t="str">
        <x:f>IF(J55="Yes","Resolve dispute",IF(M55="90+","Escalate collections",IF(M55="61-90","Collector call","Standard follow-up")))</x:f>
        <x:v>Standard follow-up</x:v>
      </x:c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 t="str">
        <x:v>INV-10055</x:v>
      </x:c>
      <x:c r="B56" s="3" t="str">
        <x:v>Canyon Distribution</x:v>
      </x:c>
      <x:c r="C56" s="3" t="str">
        <x:v>Industrial</x:v>
      </x:c>
      <x:c r="D56" s="3" t="str">
        <x:v>Columbus</x:v>
      </x:c>
      <x:c r="E56" s="3" t="n">
        <x:v>46125</x:v>
      </x:c>
      <x:c r="F56" s="3" t="n">
        <x:v>45</x:v>
      </x:c>
      <x:c r="G56" s="3" t="n">
        <x:v>46170</x:v>
      </x:c>
      <x:c r="H56" s="3" t="n">
        <x:v>314298</x:v>
      </x:c>
      <x:c r="I56" s="3" t="n">
        <x:v>314298</x:v>
      </x:c>
      <x:c r="J56" s="3" t="str">
        <x:v>No</x:v>
      </x:c>
      <x:c r="K56" s="3" t="str">
        <x:v>S. Brooks</x:v>
      </x:c>
      <x:c r="L56" s="3" t="n">
        <x:f>TODAY()-E56</x:f>
        <x:v>20</x:v>
      </x:c>
      <x:c r="M56" s="3" t="str">
        <x:f>IF(L56&lt;=30,"Current",IF(L56&lt;=60,"31-60",IF(L56&lt;=90,"61-90","90+")))</x:f>
        <x:v>Current</x:v>
      </x:c>
      <x:c r="N56" s="3" t="str">
        <x:f>IF(OR(M56="90+",I56&gt;150000,J56="Yes"),"High",IF(OR(M56="61-90",I56&gt;75000),"Medium","Low"))</x:f>
        <x:v>High</x:v>
      </x:c>
      <x:c r="O56" s="3" t="str">
        <x:f>IF(J56="Yes","Resolve dispute",IF(M56="90+","Escalate collections",IF(M56="61-90","Collector call","Standard follow-up")))</x:f>
        <x:v>Standard follow-up</x:v>
      </x:c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 t="str">
        <x:v>INV-10056</x:v>
      </x:c>
      <x:c r="B57" s="3" t="str">
        <x:v>Apex Industrial</x:v>
      </x:c>
      <x:c r="C57" s="3" t="str">
        <x:v>Industrial</x:v>
      </x:c>
      <x:c r="D57" s="3" t="str">
        <x:v>Columbus</x:v>
      </x:c>
      <x:c r="E57" s="3" t="n">
        <x:v>46052</x:v>
      </x:c>
      <x:c r="F57" s="3" t="n">
        <x:v>30</x:v>
      </x:c>
      <x:c r="G57" s="3" t="n">
        <x:v>46082</x:v>
      </x:c>
      <x:c r="H57" s="3" t="n">
        <x:v>202956</x:v>
      </x:c>
      <x:c r="I57" s="3" t="n">
        <x:v>152217</x:v>
      </x:c>
      <x:c r="J57" s="3" t="str">
        <x:v>Yes</x:v>
      </x:c>
      <x:c r="K57" s="3" t="str">
        <x:v>J. Chen</x:v>
      </x:c>
      <x:c r="L57" s="3" t="n">
        <x:f>TODAY()-E57</x:f>
        <x:v>93</x:v>
      </x:c>
      <x:c r="M57" s="3" t="str">
        <x:f>IF(L57&lt;=30,"Current",IF(L57&lt;=60,"31-60",IF(L57&lt;=90,"61-90","90+")))</x:f>
        <x:v>90+</x:v>
      </x:c>
      <x:c r="N57" s="3" t="str">
        <x:f>IF(OR(M57="90+",I57&gt;150000,J57="Yes"),"High",IF(OR(M57="61-90",I57&gt;75000),"Medium","Low"))</x:f>
        <x:v>High</x:v>
      </x:c>
      <x:c r="O57" s="3" t="str">
        <x:f>IF(J57="Yes","Resolve dispute",IF(M57="90+","Escalate collections",IF(M57="61-90","Collector call","Standard follow-up")))</x:f>
        <x:v>Resolve dispute</x:v>
      </x:c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 t="str">
        <x:v>INV-10057</x:v>
      </x:c>
      <x:c r="B58" s="3" t="str">
        <x:v>Vantage Components</x:v>
      </x:c>
      <x:c r="C58" s="3" t="str">
        <x:v>SMB</x:v>
      </x:c>
      <x:c r="D58" s="3" t="str">
        <x:v>Nashville</x:v>
      </x:c>
      <x:c r="E58" s="3" t="n">
        <x:v>46031</x:v>
      </x:c>
      <x:c r="F58" s="3" t="n">
        <x:v>30</x:v>
      </x:c>
      <x:c r="G58" s="3" t="n">
        <x:v>46061</x:v>
      </x:c>
      <x:c r="H58" s="3" t="n">
        <x:v>389358</x:v>
      </x:c>
      <x:c r="I58" s="3" t="n">
        <x:v>389358</x:v>
      </x:c>
      <x:c r="J58" s="3" t="str">
        <x:v>No</x:v>
      </x:c>
      <x:c r="K58" s="3" t="str">
        <x:v>S. Brooks</x:v>
      </x:c>
      <x:c r="L58" s="3" t="n">
        <x:f>TODAY()-E58</x:f>
        <x:v>114</x:v>
      </x:c>
      <x:c r="M58" s="3" t="str">
        <x:f>IF(L58&lt;=30,"Current",IF(L58&lt;=60,"31-60",IF(L58&lt;=90,"61-90","90+")))</x:f>
        <x:v>90+</x:v>
      </x:c>
      <x:c r="N58" s="3" t="str">
        <x:f>IF(OR(M58="90+",I58&gt;150000,J58="Yes"),"High",IF(OR(M58="61-90",I58&gt;75000),"Medium","Low"))</x:f>
        <x:v>High</x:v>
      </x:c>
      <x:c r="O58" s="3" t="str">
        <x:f>IF(J58="Yes","Resolve dispute",IF(M58="90+","Escalate collections",IF(M58="61-90","Collector call","Standard follow-up")))</x:f>
        <x:v>Escalate collections</x:v>
      </x:c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 t="str">
        <x:v>INV-10058</x:v>
      </x:c>
      <x:c r="B59" s="3" t="str">
        <x:v>BluePeak Manufacturing</x:v>
      </x:c>
      <x:c r="C59" s="3" t="str">
        <x:v>Healthcare</x:v>
      </x:c>
      <x:c r="D59" s="3" t="str">
        <x:v>Nashville</x:v>
      </x:c>
      <x:c r="E59" s="3" t="n">
        <x:v>46102</x:v>
      </x:c>
      <x:c r="F59" s="3" t="n">
        <x:v>60</x:v>
      </x:c>
      <x:c r="G59" s="3" t="n">
        <x:v>46162</x:v>
      </x:c>
      <x:c r="H59" s="3" t="n">
        <x:v>78735</x:v>
      </x:c>
      <x:c r="I59" s="3" t="n">
        <x:v>78735</x:v>
      </x:c>
      <x:c r="J59" s="3" t="str">
        <x:v>No</x:v>
      </x:c>
      <x:c r="K59" s="3" t="str">
        <x:v>S. Brooks</x:v>
      </x:c>
      <x:c r="L59" s="3" t="n">
        <x:f>TODAY()-E59</x:f>
        <x:v>43</x:v>
      </x:c>
      <x:c r="M59" s="3" t="str">
        <x:f>IF(L59&lt;=30,"Current",IF(L59&lt;=60,"31-60",IF(L59&lt;=90,"61-90","90+")))</x:f>
        <x:v>31-60</x:v>
      </x:c>
      <x:c r="N59" s="3" t="str">
        <x:f>IF(OR(M59="90+",I59&gt;150000,J59="Yes"),"High",IF(OR(M59="61-90",I59&gt;75000),"Medium","Low"))</x:f>
        <x:v>Medium</x:v>
      </x:c>
      <x:c r="O59" s="3" t="str">
        <x:f>IF(J59="Yes","Resolve dispute",IF(M59="90+","Escalate collections",IF(M59="61-90","Collector call","Standard follow-up")))</x:f>
        <x:v>Standard follow-up</x:v>
      </x:c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 t="str">
        <x:v>INV-10059</x:v>
      </x:c>
      <x:c r="B60" s="3" t="str">
        <x:v>Metro Facilities</x:v>
      </x:c>
      <x:c r="C60" s="3" t="str">
        <x:v>Mid-Market</x:v>
      </x:c>
      <x:c r="D60" s="3" t="str">
        <x:v>Columbus</x:v>
      </x:c>
      <x:c r="E60" s="3" t="n">
        <x:v>46067</x:v>
      </x:c>
      <x:c r="F60" s="3" t="n">
        <x:v>45</x:v>
      </x:c>
      <x:c r="G60" s="3" t="n">
        <x:v>46112</x:v>
      </x:c>
      <x:c r="H60" s="3" t="n">
        <x:v>224900</x:v>
      </x:c>
      <x:c r="I60" s="3" t="n">
        <x:v>112450</x:v>
      </x:c>
      <x:c r="J60" s="3" t="str">
        <x:v>No</x:v>
      </x:c>
      <x:c r="K60" s="3" t="str">
        <x:v>J. Chen</x:v>
      </x:c>
      <x:c r="L60" s="3" t="n">
        <x:f>TODAY()-E60</x:f>
        <x:v>78</x:v>
      </x:c>
      <x:c r="M60" s="3" t="str">
        <x:f>IF(L60&lt;=30,"Current",IF(L60&lt;=60,"31-60",IF(L60&lt;=90,"61-90","90+")))</x:f>
        <x:v>61-90</x:v>
      </x:c>
      <x:c r="N60" s="3" t="str">
        <x:f>IF(OR(M60="90+",I60&gt;150000,J60="Yes"),"High",IF(OR(M60="61-90",I60&gt;75000),"Medium","Low"))</x:f>
        <x:v>Medium</x:v>
      </x:c>
      <x:c r="O60" s="3" t="str">
        <x:f>IF(J60="Yes","Resolve dispute",IF(M60="90+","Escalate collections",IF(M60="61-90","Collector call","Standard follow-up")))</x:f>
        <x:v>Collector call</x:v>
      </x:c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 t="str">
        <x:v>INV-10060</x:v>
      </x:c>
      <x:c r="B61" s="3" t="str">
        <x:v>Keystone Services</x:v>
      </x:c>
      <x:c r="C61" s="3" t="str">
        <x:v>Mid-Market</x:v>
      </x:c>
      <x:c r="D61" s="3" t="str">
        <x:v>Phoenix</x:v>
      </x:c>
      <x:c r="E61" s="3" t="n">
        <x:v>46039</x:v>
      </x:c>
      <x:c r="F61" s="3" t="n">
        <x:v>60</x:v>
      </x:c>
      <x:c r="G61" s="3" t="n">
        <x:v>46099</x:v>
      </x:c>
      <x:c r="H61" s="3" t="n">
        <x:v>330065</x:v>
      </x:c>
      <x:c r="I61" s="3" t="n">
        <x:v>82516</x:v>
      </x:c>
      <x:c r="J61" s="3" t="str">
        <x:v>No</x:v>
      </x:c>
      <x:c r="K61" s="3" t="str">
        <x:v>S. Brooks</x:v>
      </x:c>
      <x:c r="L61" s="3" t="n">
        <x:f>TODAY()-E61</x:f>
        <x:v>106</x:v>
      </x:c>
      <x:c r="M61" s="3" t="str">
        <x:f>IF(L61&lt;=30,"Current",IF(L61&lt;=60,"31-60",IF(L61&lt;=90,"61-90","90+")))</x:f>
        <x:v>90+</x:v>
      </x:c>
      <x:c r="N61" s="3" t="str">
        <x:f>IF(OR(M61="90+",I61&gt;150000,J61="Yes"),"High",IF(OR(M61="61-90",I61&gt;75000),"Medium","Low"))</x:f>
        <x:v>High</x:v>
      </x:c>
      <x:c r="O61" s="3" t="str">
        <x:f>IF(J61="Yes","Resolve dispute",IF(M61="90+","Escalate collections",IF(M61="61-90","Collector call","Standard follow-up")))</x:f>
        <x:v>Escalate collections</x:v>
      </x:c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 t="str">
        <x:v>INV-10061</x:v>
      </x:c>
      <x:c r="B62" s="3" t="str">
        <x:v>Harbor Health</x:v>
      </x:c>
      <x:c r="C62" s="3" t="str">
        <x:v>Mid-Market</x:v>
      </x:c>
      <x:c r="D62" s="3" t="str">
        <x:v>Columbus</x:v>
      </x:c>
      <x:c r="E62" s="3" t="n">
        <x:v>46079</x:v>
      </x:c>
      <x:c r="F62" s="3" t="n">
        <x:v>30</x:v>
      </x:c>
      <x:c r="G62" s="3" t="n">
        <x:v>46109</x:v>
      </x:c>
      <x:c r="H62" s="3" t="n">
        <x:v>357427</x:v>
      </x:c>
      <x:c r="I62" s="3" t="n">
        <x:v>357427</x:v>
      </x:c>
      <x:c r="J62" s="3" t="str">
        <x:v>No</x:v>
      </x:c>
      <x:c r="K62" s="3" t="str">
        <x:v>J. Chen</x:v>
      </x:c>
      <x:c r="L62" s="3" t="n">
        <x:f>TODAY()-E62</x:f>
        <x:v>66</x:v>
      </x:c>
      <x:c r="M62" s="3" t="str">
        <x:f>IF(L62&lt;=30,"Current",IF(L62&lt;=60,"31-60",IF(L62&lt;=90,"61-90","90+")))</x:f>
        <x:v>61-90</x:v>
      </x:c>
      <x:c r="N62" s="3" t="str">
        <x:f>IF(OR(M62="90+",I62&gt;150000,J62="Yes"),"High",IF(OR(M62="61-90",I62&gt;75000),"Medium","Low"))</x:f>
        <x:v>High</x:v>
      </x:c>
      <x:c r="O62" s="3" t="str">
        <x:f>IF(J62="Yes","Resolve dispute",IF(M62="90+","Escalate collections",IF(M62="61-90","Collector call","Standard follow-up")))</x:f>
        <x:v>Collector call</x:v>
      </x:c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 t="str">
        <x:v>INV-10062</x:v>
      </x:c>
      <x:c r="B63" s="3" t="str">
        <x:v>Northstar Medical</x:v>
      </x:c>
      <x:c r="C63" s="3" t="str">
        <x:v>Mid-Market</x:v>
      </x:c>
      <x:c r="D63" s="3" t="str">
        <x:v>Nashville</x:v>
      </x:c>
      <x:c r="E63" s="3" t="n">
        <x:v>46100</x:v>
      </x:c>
      <x:c r="F63" s="3" t="n">
        <x:v>30</x:v>
      </x:c>
      <x:c r="G63" s="3" t="n">
        <x:v>46130</x:v>
      </x:c>
      <x:c r="H63" s="3" t="n">
        <x:v>434871</x:v>
      </x:c>
      <x:c r="I63" s="3" t="n">
        <x:v>434871</x:v>
      </x:c>
      <x:c r="J63" s="3" t="str">
        <x:v>No</x:v>
      </x:c>
      <x:c r="K63" s="3" t="str">
        <x:v>A. Patel</x:v>
      </x:c>
      <x:c r="L63" s="3" t="n">
        <x:f>TODAY()-E63</x:f>
        <x:v>45</x:v>
      </x:c>
      <x:c r="M63" s="3" t="str">
        <x:f>IF(L63&lt;=30,"Current",IF(L63&lt;=60,"31-60",IF(L63&lt;=90,"61-90","90+")))</x:f>
        <x:v>31-60</x:v>
      </x:c>
      <x:c r="N63" s="3" t="str">
        <x:f>IF(OR(M63="90+",I63&gt;150000,J63="Yes"),"High",IF(OR(M63="61-90",I63&gt;75000),"Medium","Low"))</x:f>
        <x:v>High</x:v>
      </x:c>
      <x:c r="O63" s="3" t="str">
        <x:f>IF(J63="Yes","Resolve dispute",IF(M63="90+","Escalate collections",IF(M63="61-90","Collector call","Standard follow-up")))</x:f>
        <x:v>Standard follow-up</x:v>
      </x:c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 t="str">
        <x:v>INV-10063</x:v>
      </x:c>
      <x:c r="B64" s="3" t="str">
        <x:v>Summit Foods</x:v>
      </x:c>
      <x:c r="C64" s="3" t="str">
        <x:v>Healthcare</x:v>
      </x:c>
      <x:c r="D64" s="3" t="str">
        <x:v>Columbus</x:v>
      </x:c>
      <x:c r="E64" s="3" t="n">
        <x:v>46031</x:v>
      </x:c>
      <x:c r="F64" s="3" t="n">
        <x:v>30</x:v>
      </x:c>
      <x:c r="G64" s="3" t="n">
        <x:v>46061</x:v>
      </x:c>
      <x:c r="H64" s="3" t="n">
        <x:v>250769</x:v>
      </x:c>
      <x:c r="I64" s="3" t="n">
        <x:v>188077</x:v>
      </x:c>
      <x:c r="J64" s="3" t="str">
        <x:v>No</x:v>
      </x:c>
      <x:c r="K64" s="3" t="str">
        <x:v>M. Rivera</x:v>
      </x:c>
      <x:c r="L64" s="3" t="n">
        <x:f>TODAY()-E64</x:f>
        <x:v>114</x:v>
      </x:c>
      <x:c r="M64" s="3" t="str">
        <x:f>IF(L64&lt;=30,"Current",IF(L64&lt;=60,"31-60",IF(L64&lt;=90,"61-90","90+")))</x:f>
        <x:v>90+</x:v>
      </x:c>
      <x:c r="N64" s="3" t="str">
        <x:f>IF(OR(M64="90+",I64&gt;150000,J64="Yes"),"High",IF(OR(M64="61-90",I64&gt;75000),"Medium","Low"))</x:f>
        <x:v>High</x:v>
      </x:c>
      <x:c r="O64" s="3" t="str">
        <x:f>IF(J64="Yes","Resolve dispute",IF(M64="90+","Escalate collections",IF(M64="61-90","Collector call","Standard follow-up")))</x:f>
        <x:v>Escalate collections</x:v>
      </x:c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 t="str">
        <x:v>INV-10064</x:v>
      </x:c>
      <x:c r="B65" s="3" t="str">
        <x:v>Evergreen Labs</x:v>
      </x:c>
      <x:c r="C65" s="3" t="str">
        <x:v>Healthcare</x:v>
      </x:c>
      <x:c r="D65" s="3" t="str">
        <x:v>Phoenix</x:v>
      </x:c>
      <x:c r="E65" s="3" t="n">
        <x:v>46088</x:v>
      </x:c>
      <x:c r="F65" s="3" t="n">
        <x:v>30</x:v>
      </x:c>
      <x:c r="G65" s="3" t="n">
        <x:v>46118</x:v>
      </x:c>
      <x:c r="H65" s="3" t="n">
        <x:v>89369</x:v>
      </x:c>
      <x:c r="I65" s="3" t="n">
        <x:v>22342</x:v>
      </x:c>
      <x:c r="J65" s="3" t="str">
        <x:v>No</x:v>
      </x:c>
      <x:c r="K65" s="3" t="str">
        <x:v>A. Patel</x:v>
      </x:c>
      <x:c r="L65" s="3" t="n">
        <x:f>TODAY()-E65</x:f>
        <x:v>57</x:v>
      </x:c>
      <x:c r="M65" s="3" t="str">
        <x:f>IF(L65&lt;=30,"Current",IF(L65&lt;=60,"31-60",IF(L65&lt;=90,"61-90","90+")))</x:f>
        <x:v>31-60</x:v>
      </x:c>
      <x:c r="N65" s="3" t="str">
        <x:f>IF(OR(M65="90+",I65&gt;150000,J65="Yes"),"High",IF(OR(M65="61-90",I65&gt;75000),"Medium","Low"))</x:f>
        <x:v>Low</x:v>
      </x:c>
      <x:c r="O65" s="3" t="str">
        <x:f>IF(J65="Yes","Resolve dispute",IF(M65="90+","Escalate collections",IF(M65="61-90","Collector call","Standard follow-up")))</x:f>
        <x:v>Standard follow-up</x:v>
      </x:c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 t="str">
        <x:v>INV-10065</x:v>
      </x:c>
      <x:c r="B66" s="3" t="str">
        <x:v>Prairie Logistics</x:v>
      </x:c>
      <x:c r="C66" s="3" t="str">
        <x:v>Healthcare</x:v>
      </x:c>
      <x:c r="D66" s="3" t="str">
        <x:v>Dallas</x:v>
      </x:c>
      <x:c r="E66" s="3" t="n">
        <x:v>46117</x:v>
      </x:c>
      <x:c r="F66" s="3" t="n">
        <x:v>60</x:v>
      </x:c>
      <x:c r="G66" s="3" t="n">
        <x:v>46177</x:v>
      </x:c>
      <x:c r="H66" s="3" t="n">
        <x:v>255557</x:v>
      </x:c>
      <x:c r="I66" s="3" t="n">
        <x:v>255557</x:v>
      </x:c>
      <x:c r="J66" s="3" t="str">
        <x:v>No</x:v>
      </x:c>
      <x:c r="K66" s="3" t="str">
        <x:v>A. Patel</x:v>
      </x:c>
      <x:c r="L66" s="3" t="n">
        <x:f>TODAY()-E66</x:f>
        <x:v>28</x:v>
      </x:c>
      <x:c r="M66" s="3" t="str">
        <x:f>IF(L66&lt;=30,"Current",IF(L66&lt;=60,"31-60",IF(L66&lt;=90,"61-90","90+")))</x:f>
        <x:v>Current</x:v>
      </x:c>
      <x:c r="N66" s="3" t="str">
        <x:f>IF(OR(M66="90+",I66&gt;150000,J66="Yes"),"High",IF(OR(M66="61-90",I66&gt;75000),"Medium","Low"))</x:f>
        <x:v>High</x:v>
      </x:c>
      <x:c r="O66" s="3" t="str">
        <x:f>IF(J66="Yes","Resolve dispute",IF(M66="90+","Escalate collections",IF(M66="61-90","Collector call","Standard follow-up")))</x:f>
        <x:v>Standard follow-up</x:v>
      </x:c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 t="str">
        <x:v>INV-10066</x:v>
      </x:c>
      <x:c r="B67" s="3" t="str">
        <x:v>Harbor Health</x:v>
      </x:c>
      <x:c r="C67" s="3" t="str">
        <x:v>Mid-Market</x:v>
      </x:c>
      <x:c r="D67" s="3" t="str">
        <x:v>Phoenix</x:v>
      </x:c>
      <x:c r="E67" s="3" t="n">
        <x:v>46054</x:v>
      </x:c>
      <x:c r="F67" s="3" t="n">
        <x:v>60</x:v>
      </x:c>
      <x:c r="G67" s="3" t="n">
        <x:v>46114</x:v>
      </x:c>
      <x:c r="H67" s="3" t="n">
        <x:v>305037</x:v>
      </x:c>
      <x:c r="I67" s="3" t="n">
        <x:v>152518</x:v>
      </x:c>
      <x:c r="J67" s="3" t="str">
        <x:v>No</x:v>
      </x:c>
      <x:c r="K67" s="3" t="str">
        <x:v>S. Brooks</x:v>
      </x:c>
      <x:c r="L67" s="3" t="n">
        <x:f>TODAY()-E67</x:f>
        <x:v>91</x:v>
      </x:c>
      <x:c r="M67" s="3" t="str">
        <x:f>IF(L67&lt;=30,"Current",IF(L67&lt;=60,"31-60",IF(L67&lt;=90,"61-90","90+")))</x:f>
        <x:v>90+</x:v>
      </x:c>
      <x:c r="N67" s="3" t="str">
        <x:f>IF(OR(M67="90+",I67&gt;150000,J67="Yes"),"High",IF(OR(M67="61-90",I67&gt;75000),"Medium","Low"))</x:f>
        <x:v>High</x:v>
      </x:c>
      <x:c r="O67" s="3" t="str">
        <x:f>IF(J67="Yes","Resolve dispute",IF(M67="90+","Escalate collections",IF(M67="61-90","Collector call","Standard follow-up")))</x:f>
        <x:v>Escalate collections</x:v>
      </x:c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 t="str">
        <x:v>INV-10067</x:v>
      </x:c>
      <x:c r="B68" s="3" t="str">
        <x:v>Vantage Components</x:v>
      </x:c>
      <x:c r="C68" s="3" t="str">
        <x:v>Industrial</x:v>
      </x:c>
      <x:c r="D68" s="3" t="str">
        <x:v>Phoenix</x:v>
      </x:c>
      <x:c r="E68" s="3" t="n">
        <x:v>46033</x:v>
      </x:c>
      <x:c r="F68" s="3" t="n">
        <x:v>60</x:v>
      </x:c>
      <x:c r="G68" s="3" t="n">
        <x:v>46093</x:v>
      </x:c>
      <x:c r="H68" s="3" t="n">
        <x:v>245787</x:v>
      </x:c>
      <x:c r="I68" s="3" t="n">
        <x:v>245787</x:v>
      </x:c>
      <x:c r="J68" s="3" t="str">
        <x:v>No</x:v>
      </x:c>
      <x:c r="K68" s="3" t="str">
        <x:v>S. Brooks</x:v>
      </x:c>
      <x:c r="L68" s="3" t="n">
        <x:f>TODAY()-E68</x:f>
        <x:v>112</x:v>
      </x:c>
      <x:c r="M68" s="3" t="str">
        <x:f>IF(L68&lt;=30,"Current",IF(L68&lt;=60,"31-60",IF(L68&lt;=90,"61-90","90+")))</x:f>
        <x:v>90+</x:v>
      </x:c>
      <x:c r="N68" s="3" t="str">
        <x:f>IF(OR(M68="90+",I68&gt;150000,J68="Yes"),"High",IF(OR(M68="61-90",I68&gt;75000),"Medium","Low"))</x:f>
        <x:v>High</x:v>
      </x:c>
      <x:c r="O68" s="3" t="str">
        <x:f>IF(J68="Yes","Resolve dispute",IF(M68="90+","Escalate collections",IF(M68="61-90","Collector call","Standard follow-up")))</x:f>
        <x:v>Escalate collections</x:v>
      </x:c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 t="str">
        <x:v>INV-10068</x:v>
      </x:c>
      <x:c r="B69" s="3" t="str">
        <x:v>Harbor Health</x:v>
      </x:c>
      <x:c r="C69" s="3" t="str">
        <x:v>SMB</x:v>
      </x:c>
      <x:c r="D69" s="3" t="str">
        <x:v>Dallas</x:v>
      </x:c>
      <x:c r="E69" s="3" t="n">
        <x:v>46032</x:v>
      </x:c>
      <x:c r="F69" s="3" t="n">
        <x:v>45</x:v>
      </x:c>
      <x:c r="G69" s="3" t="n">
        <x:v>46077</x:v>
      </x:c>
      <x:c r="H69" s="3" t="n">
        <x:v>413506</x:v>
      </x:c>
      <x:c r="I69" s="3" t="n">
        <x:v>206753</x:v>
      </x:c>
      <x:c r="J69" s="3" t="str">
        <x:v>No</x:v>
      </x:c>
      <x:c r="K69" s="3" t="str">
        <x:v>M. Rivera</x:v>
      </x:c>
      <x:c r="L69" s="3" t="n">
        <x:f>TODAY()-E69</x:f>
        <x:v>113</x:v>
      </x:c>
      <x:c r="M69" s="3" t="str">
        <x:f>IF(L69&lt;=30,"Current",IF(L69&lt;=60,"31-60",IF(L69&lt;=90,"61-90","90+")))</x:f>
        <x:v>90+</x:v>
      </x:c>
      <x:c r="N69" s="3" t="str">
        <x:f>IF(OR(M69="90+",I69&gt;150000,J69="Yes"),"High",IF(OR(M69="61-90",I69&gt;75000),"Medium","Low"))</x:f>
        <x:v>High</x:v>
      </x:c>
      <x:c r="O69" s="3" t="str">
        <x:f>IF(J69="Yes","Resolve dispute",IF(M69="90+","Escalate collections",IF(M69="61-90","Collector call","Standard follow-up")))</x:f>
        <x:v>Escalate collections</x:v>
      </x:c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 t="str">
        <x:v>INV-10069</x:v>
      </x:c>
      <x:c r="B70" s="3" t="str">
        <x:v>Keystone Services</x:v>
      </x:c>
      <x:c r="C70" s="3" t="str">
        <x:v>Healthcare</x:v>
      </x:c>
      <x:c r="D70" s="3" t="str">
        <x:v>Chicago</x:v>
      </x:c>
      <x:c r="E70" s="3" t="n">
        <x:v>46048</x:v>
      </x:c>
      <x:c r="F70" s="3" t="n">
        <x:v>45</x:v>
      </x:c>
      <x:c r="G70" s="3" t="n">
        <x:v>46093</x:v>
      </x:c>
      <x:c r="H70" s="3" t="n">
        <x:v>134942</x:v>
      </x:c>
      <x:c r="I70" s="3" t="n">
        <x:v>134942</x:v>
      </x:c>
      <x:c r="J70" s="3" t="str">
        <x:v>No</x:v>
      </x:c>
      <x:c r="K70" s="3" t="str">
        <x:v>A. Patel</x:v>
      </x:c>
      <x:c r="L70" s="3" t="n">
        <x:f>TODAY()-E70</x:f>
        <x:v>97</x:v>
      </x:c>
      <x:c r="M70" s="3" t="str">
        <x:f>IF(L70&lt;=30,"Current",IF(L70&lt;=60,"31-60",IF(L70&lt;=90,"61-90","90+")))</x:f>
        <x:v>90+</x:v>
      </x:c>
      <x:c r="N70" s="3" t="str">
        <x:f>IF(OR(M70="90+",I70&gt;150000,J70="Yes"),"High",IF(OR(M70="61-90",I70&gt;75000),"Medium","Low"))</x:f>
        <x:v>High</x:v>
      </x:c>
      <x:c r="O70" s="3" t="str">
        <x:f>IF(J70="Yes","Resolve dispute",IF(M70="90+","Escalate collections",IF(M70="61-90","Collector call","Standard follow-up")))</x:f>
        <x:v>Escalate collections</x:v>
      </x:c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 t="str">
        <x:v>INV-10070</x:v>
      </x:c>
      <x:c r="B71" s="3" t="str">
        <x:v>Riverbend Supply</x:v>
      </x:c>
      <x:c r="C71" s="3" t="str">
        <x:v>Mid-Market</x:v>
      </x:c>
      <x:c r="D71" s="3" t="str">
        <x:v>Dallas</x:v>
      </x:c>
      <x:c r="E71" s="3" t="n">
        <x:v>46090</x:v>
      </x:c>
      <x:c r="F71" s="3" t="n">
        <x:v>30</x:v>
      </x:c>
      <x:c r="G71" s="3" t="n">
        <x:v>46120</x:v>
      </x:c>
      <x:c r="H71" s="3" t="n">
        <x:v>382367</x:v>
      </x:c>
      <x:c r="I71" s="3" t="n">
        <x:v>382367</x:v>
      </x:c>
      <x:c r="J71" s="3" t="str">
        <x:v>Yes</x:v>
      </x:c>
      <x:c r="K71" s="3" t="str">
        <x:v>S. Brooks</x:v>
      </x:c>
      <x:c r="L71" s="3" t="n">
        <x:f>TODAY()-E71</x:f>
        <x:v>55</x:v>
      </x:c>
      <x:c r="M71" s="3" t="str">
        <x:f>IF(L71&lt;=30,"Current",IF(L71&lt;=60,"31-60",IF(L71&lt;=90,"61-90","90+")))</x:f>
        <x:v>31-60</x:v>
      </x:c>
      <x:c r="N71" s="3" t="str">
        <x:f>IF(OR(M71="90+",I71&gt;150000,J71="Yes"),"High",IF(OR(M71="61-90",I71&gt;75000),"Medium","Low"))</x:f>
        <x:v>High</x:v>
      </x:c>
      <x:c r="O71" s="3" t="str">
        <x:f>IF(J71="Yes","Resolve dispute",IF(M71="90+","Escalate collections",IF(M71="61-90","Collector call","Standard follow-up")))</x:f>
        <x:v>Resolve dispute</x:v>
      </x:c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 t="str">
        <x:v>INV-10071</x:v>
      </x:c>
      <x:c r="B72" s="3" t="str">
        <x:v>BluePeak Manufacturing</x:v>
      </x:c>
      <x:c r="C72" s="3" t="str">
        <x:v>Industrial</x:v>
      </x:c>
      <x:c r="D72" s="3" t="str">
        <x:v>Phoenix</x:v>
      </x:c>
      <x:c r="E72" s="3" t="n">
        <x:v>46086</x:v>
      </x:c>
      <x:c r="F72" s="3" t="n">
        <x:v>30</x:v>
      </x:c>
      <x:c r="G72" s="3" t="n">
        <x:v>46116</x:v>
      </x:c>
      <x:c r="H72" s="3" t="n">
        <x:v>120440</x:v>
      </x:c>
      <x:c r="I72" s="3" t="n">
        <x:v>90330</x:v>
      </x:c>
      <x:c r="J72" s="3" t="str">
        <x:v>No</x:v>
      </x:c>
      <x:c r="K72" s="3" t="str">
        <x:v>A. Patel</x:v>
      </x:c>
      <x:c r="L72" s="3" t="n">
        <x:f>TODAY()-E72</x:f>
        <x:v>59</x:v>
      </x:c>
      <x:c r="M72" s="3" t="str">
        <x:f>IF(L72&lt;=30,"Current",IF(L72&lt;=60,"31-60",IF(L72&lt;=90,"61-90","90+")))</x:f>
        <x:v>31-60</x:v>
      </x:c>
      <x:c r="N72" s="3" t="str">
        <x:f>IF(OR(M72="90+",I72&gt;150000,J72="Yes"),"High",IF(OR(M72="61-90",I72&gt;75000),"Medium","Low"))</x:f>
        <x:v>Medium</x:v>
      </x:c>
      <x:c r="O72" s="3" t="str">
        <x:f>IF(J72="Yes","Resolve dispute",IF(M72="90+","Escalate collections",IF(M72="61-90","Collector call","Standard follow-up")))</x:f>
        <x:v>Standard follow-up</x:v>
      </x:c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 t="str">
        <x:v>INV-10072</x:v>
      </x:c>
      <x:c r="B73" s="3" t="str">
        <x:v>BrightPath Clinics</x:v>
      </x:c>
      <x:c r="C73" s="3" t="str">
        <x:v>Industrial</x:v>
      </x:c>
      <x:c r="D73" s="3" t="str">
        <x:v>Phoenix</x:v>
      </x:c>
      <x:c r="E73" s="3" t="n">
        <x:v>46078</x:v>
      </x:c>
      <x:c r="F73" s="3" t="n">
        <x:v>30</x:v>
      </x:c>
      <x:c r="G73" s="3" t="n">
        <x:v>46108</x:v>
      </x:c>
      <x:c r="H73" s="3" t="n">
        <x:v>196422</x:v>
      </x:c>
      <x:c r="I73" s="3" t="n">
        <x:v>196422</x:v>
      </x:c>
      <x:c r="J73" s="3" t="str">
        <x:v>No</x:v>
      </x:c>
      <x:c r="K73" s="3" t="str">
        <x:v>S. Brooks</x:v>
      </x:c>
      <x:c r="L73" s="3" t="n">
        <x:f>TODAY()-E73</x:f>
        <x:v>67</x:v>
      </x:c>
      <x:c r="M73" s="3" t="str">
        <x:f>IF(L73&lt;=30,"Current",IF(L73&lt;=60,"31-60",IF(L73&lt;=90,"61-90","90+")))</x:f>
        <x:v>61-90</x:v>
      </x:c>
      <x:c r="N73" s="3" t="str">
        <x:f>IF(OR(M73="90+",I73&gt;150000,J73="Yes"),"High",IF(OR(M73="61-90",I73&gt;75000),"Medium","Low"))</x:f>
        <x:v>High</x:v>
      </x:c>
      <x:c r="O73" s="3" t="str">
        <x:f>IF(J73="Yes","Resolve dispute",IF(M73="90+","Escalate collections",IF(M73="61-90","Collector call","Standard follow-up")))</x:f>
        <x:v>Collector call</x:v>
      </x:c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 t="str">
        <x:v>INV-10073</x:v>
      </x:c>
      <x:c r="B74" s="3" t="str">
        <x:v>Oakline Retail</x:v>
      </x:c>
      <x:c r="C74" s="3" t="str">
        <x:v>Industrial</x:v>
      </x:c>
      <x:c r="D74" s="3" t="str">
        <x:v>Columbus</x:v>
      </x:c>
      <x:c r="E74" s="3" t="n">
        <x:v>46025</x:v>
      </x:c>
      <x:c r="F74" s="3" t="n">
        <x:v>30</x:v>
      </x:c>
      <x:c r="G74" s="3" t="n">
        <x:v>46055</x:v>
      </x:c>
      <x:c r="H74" s="3" t="n">
        <x:v>267972</x:v>
      </x:c>
      <x:c r="I74" s="3" t="n">
        <x:v>267972</x:v>
      </x:c>
      <x:c r="J74" s="3" t="str">
        <x:v>No</x:v>
      </x:c>
      <x:c r="K74" s="3" t="str">
        <x:v>S. Brooks</x:v>
      </x:c>
      <x:c r="L74" s="3" t="n">
        <x:f>TODAY()-E74</x:f>
        <x:v>120</x:v>
      </x:c>
      <x:c r="M74" s="3" t="str">
        <x:f>IF(L74&lt;=30,"Current",IF(L74&lt;=60,"31-60",IF(L74&lt;=90,"61-90","90+")))</x:f>
        <x:v>90+</x:v>
      </x:c>
      <x:c r="N74" s="3" t="str">
        <x:f>IF(OR(M74="90+",I74&gt;150000,J74="Yes"),"High",IF(OR(M74="61-90",I74&gt;75000),"Medium","Low"))</x:f>
        <x:v>High</x:v>
      </x:c>
      <x:c r="O74" s="3" t="str">
        <x:f>IF(J74="Yes","Resolve dispute",IF(M74="90+","Escalate collections",IF(M74="61-90","Collector call","Standard follow-up")))</x:f>
        <x:v>Escalate collections</x:v>
      </x:c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 t="str">
        <x:v>INV-10074</x:v>
      </x:c>
      <x:c r="B75" s="3" t="str">
        <x:v>Apex Industrial</x:v>
      </x:c>
      <x:c r="C75" s="3" t="str">
        <x:v>Healthcare</x:v>
      </x:c>
      <x:c r="D75" s="3" t="str">
        <x:v>Atlanta</x:v>
      </x:c>
      <x:c r="E75" s="3" t="n">
        <x:v>46054</x:v>
      </x:c>
      <x:c r="F75" s="3" t="n">
        <x:v>45</x:v>
      </x:c>
      <x:c r="G75" s="3" t="n">
        <x:v>46099</x:v>
      </x:c>
      <x:c r="H75" s="3" t="n">
        <x:v>391679</x:v>
      </x:c>
      <x:c r="I75" s="3" t="n">
        <x:v>391679</x:v>
      </x:c>
      <x:c r="J75" s="3" t="str">
        <x:v>No</x:v>
      </x:c>
      <x:c r="K75" s="3" t="str">
        <x:v>M. Rivera</x:v>
      </x:c>
      <x:c r="L75" s="3" t="n">
        <x:f>TODAY()-E75</x:f>
        <x:v>91</x:v>
      </x:c>
      <x:c r="M75" s="3" t="str">
        <x:f>IF(L75&lt;=30,"Current",IF(L75&lt;=60,"31-60",IF(L75&lt;=90,"61-90","90+")))</x:f>
        <x:v>90+</x:v>
      </x:c>
      <x:c r="N75" s="3" t="str">
        <x:f>IF(OR(M75="90+",I75&gt;150000,J75="Yes"),"High",IF(OR(M75="61-90",I75&gt;75000),"Medium","Low"))</x:f>
        <x:v>High</x:v>
      </x:c>
      <x:c r="O75" s="3" t="str">
        <x:f>IF(J75="Yes","Resolve dispute",IF(M75="90+","Escalate collections",IF(M75="61-90","Collector call","Standard follow-up")))</x:f>
        <x:v>Escalate collections</x:v>
      </x:c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 t="str">
        <x:v>INV-10075</x:v>
      </x:c>
      <x:c r="B76" s="3" t="str">
        <x:v>Vantage Components</x:v>
      </x:c>
      <x:c r="C76" s="3" t="str">
        <x:v>Industrial</x:v>
      </x:c>
      <x:c r="D76" s="3" t="str">
        <x:v>Chicago</x:v>
      </x:c>
      <x:c r="E76" s="3" t="n">
        <x:v>46089</x:v>
      </x:c>
      <x:c r="F76" s="3" t="n">
        <x:v>60</x:v>
      </x:c>
      <x:c r="G76" s="3" t="n">
        <x:v>46149</x:v>
      </x:c>
      <x:c r="H76" s="3" t="n">
        <x:v>307903</x:v>
      </x:c>
      <x:c r="I76" s="3" t="n">
        <x:v>76976</x:v>
      </x:c>
      <x:c r="J76" s="3" t="str">
        <x:v>Yes</x:v>
      </x:c>
      <x:c r="K76" s="3" t="str">
        <x:v>S. Brooks</x:v>
      </x:c>
      <x:c r="L76" s="3" t="n">
        <x:f>TODAY()-E76</x:f>
        <x:v>56</x:v>
      </x:c>
      <x:c r="M76" s="3" t="str">
        <x:f>IF(L76&lt;=30,"Current",IF(L76&lt;=60,"31-60",IF(L76&lt;=90,"61-90","90+")))</x:f>
        <x:v>31-60</x:v>
      </x:c>
      <x:c r="N76" s="3" t="str">
        <x:f>IF(OR(M76="90+",I76&gt;150000,J76="Yes"),"High",IF(OR(M76="61-90",I76&gt;75000),"Medium","Low"))</x:f>
        <x:v>High</x:v>
      </x:c>
      <x:c r="O76" s="3" t="str">
        <x:f>IF(J76="Yes","Resolve dispute",IF(M76="90+","Escalate collections",IF(M76="61-90","Collector call","Standard follow-up")))</x:f>
        <x:v>Resolve dispute</x:v>
      </x:c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 t="str">
        <x:v>INV-10076</x:v>
      </x:c>
      <x:c r="B77" s="3" t="str">
        <x:v>Riverbend Supply</x:v>
      </x:c>
      <x:c r="C77" s="3" t="str">
        <x:v>Healthcare</x:v>
      </x:c>
      <x:c r="D77" s="3" t="str">
        <x:v>Dallas</x:v>
      </x:c>
      <x:c r="E77" s="3" t="n">
        <x:v>46133</x:v>
      </x:c>
      <x:c r="F77" s="3" t="n">
        <x:v>45</x:v>
      </x:c>
      <x:c r="G77" s="3" t="n">
        <x:v>46178</x:v>
      </x:c>
      <x:c r="H77" s="3" t="n">
        <x:v>210759</x:v>
      </x:c>
      <x:c r="I77" s="3" t="n">
        <x:v>210759</x:v>
      </x:c>
      <x:c r="J77" s="3" t="str">
        <x:v>No</x:v>
      </x:c>
      <x:c r="K77" s="3" t="str">
        <x:v>J. Chen</x:v>
      </x:c>
      <x:c r="L77" s="3" t="n">
        <x:f>TODAY()-E77</x:f>
        <x:v>12</x:v>
      </x:c>
      <x:c r="M77" s="3" t="str">
        <x:f>IF(L77&lt;=30,"Current",IF(L77&lt;=60,"31-60",IF(L77&lt;=90,"61-90","90+")))</x:f>
        <x:v>Current</x:v>
      </x:c>
      <x:c r="N77" s="3" t="str">
        <x:f>IF(OR(M77="90+",I77&gt;150000,J77="Yes"),"High",IF(OR(M77="61-90",I77&gt;75000),"Medium","Low"))</x:f>
        <x:v>High</x:v>
      </x:c>
      <x:c r="O77" s="3" t="str">
        <x:f>IF(J77="Yes","Resolve dispute",IF(M77="90+","Escalate collections",IF(M77="61-90","Collector call","Standard follow-up")))</x:f>
        <x:v>Standard follow-up</x:v>
      </x:c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 t="str">
        <x:v>INV-10077</x:v>
      </x:c>
      <x:c r="B78" s="3" t="str">
        <x:v>BluePeak Manufacturing</x:v>
      </x:c>
      <x:c r="C78" s="3" t="str">
        <x:v>Healthcare</x:v>
      </x:c>
      <x:c r="D78" s="3" t="str">
        <x:v>Atlanta</x:v>
      </x:c>
      <x:c r="E78" s="3" t="n">
        <x:v>46043</x:v>
      </x:c>
      <x:c r="F78" s="3" t="n">
        <x:v>45</x:v>
      </x:c>
      <x:c r="G78" s="3" t="n">
        <x:v>46088</x:v>
      </x:c>
      <x:c r="H78" s="3" t="n">
        <x:v>144262</x:v>
      </x:c>
      <x:c r="I78" s="3" t="n">
        <x:v>144262</x:v>
      </x:c>
      <x:c r="J78" s="3" t="str">
        <x:v>No</x:v>
      </x:c>
      <x:c r="K78" s="3" t="str">
        <x:v>A. Patel</x:v>
      </x:c>
      <x:c r="L78" s="3" t="n">
        <x:f>TODAY()-E78</x:f>
        <x:v>102</x:v>
      </x:c>
      <x:c r="M78" s="3" t="str">
        <x:f>IF(L78&lt;=30,"Current",IF(L78&lt;=60,"31-60",IF(L78&lt;=90,"61-90","90+")))</x:f>
        <x:v>90+</x:v>
      </x:c>
      <x:c r="N78" s="3" t="str">
        <x:f>IF(OR(M78="90+",I78&gt;150000,J78="Yes"),"High",IF(OR(M78="61-90",I78&gt;75000),"Medium","Low"))</x:f>
        <x:v>High</x:v>
      </x:c>
      <x:c r="O78" s="3" t="str">
        <x:f>IF(J78="Yes","Resolve dispute",IF(M78="90+","Escalate collections",IF(M78="61-90","Collector call","Standard follow-up")))</x:f>
        <x:v>Escalate collections</x:v>
      </x:c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 t="str">
        <x:v>INV-10078</x:v>
      </x:c>
      <x:c r="B79" s="3" t="str">
        <x:v>BluePeak Manufacturing</x:v>
      </x:c>
      <x:c r="C79" s="3" t="str">
        <x:v>Mid-Market</x:v>
      </x:c>
      <x:c r="D79" s="3" t="str">
        <x:v>Nashville</x:v>
      </x:c>
      <x:c r="E79" s="3" t="n">
        <x:v>46131</x:v>
      </x:c>
      <x:c r="F79" s="3" t="n">
        <x:v>30</x:v>
      </x:c>
      <x:c r="G79" s="3" t="n">
        <x:v>46161</x:v>
      </x:c>
      <x:c r="H79" s="3" t="n">
        <x:v>407435</x:v>
      </x:c>
      <x:c r="I79" s="3" t="n">
        <x:v>407435</x:v>
      </x:c>
      <x:c r="J79" s="3" t="str">
        <x:v>No</x:v>
      </x:c>
      <x:c r="K79" s="3" t="str">
        <x:v>M. Rivera</x:v>
      </x:c>
      <x:c r="L79" s="3" t="n">
        <x:f>TODAY()-E79</x:f>
        <x:v>14</x:v>
      </x:c>
      <x:c r="M79" s="3" t="str">
        <x:f>IF(L79&lt;=30,"Current",IF(L79&lt;=60,"31-60",IF(L79&lt;=90,"61-90","90+")))</x:f>
        <x:v>Current</x:v>
      </x:c>
      <x:c r="N79" s="3" t="str">
        <x:f>IF(OR(M79="90+",I79&gt;150000,J79="Yes"),"High",IF(OR(M79="61-90",I79&gt;75000),"Medium","Low"))</x:f>
        <x:v>High</x:v>
      </x:c>
      <x:c r="O79" s="3" t="str">
        <x:f>IF(J79="Yes","Resolve dispute",IF(M79="90+","Escalate collections",IF(M79="61-90","Collector call","Standard follow-up")))</x:f>
        <x:v>Standard follow-up</x:v>
      </x:c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 t="str">
        <x:v>INV-10079</x:v>
      </x:c>
      <x:c r="B80" s="3" t="str">
        <x:v>BrightPath Clinics</x:v>
      </x:c>
      <x:c r="C80" s="3" t="str">
        <x:v>Enterprise</x:v>
      </x:c>
      <x:c r="D80" s="3" t="str">
        <x:v>Columbus</x:v>
      </x:c>
      <x:c r="E80" s="3" t="n">
        <x:v>46120</x:v>
      </x:c>
      <x:c r="F80" s="3" t="n">
        <x:v>30</x:v>
      </x:c>
      <x:c r="G80" s="3" t="n">
        <x:v>46150</x:v>
      </x:c>
      <x:c r="H80" s="3" t="n">
        <x:v>78176</x:v>
      </x:c>
      <x:c r="I80" s="3" t="n">
        <x:v>58632</x:v>
      </x:c>
      <x:c r="J80" s="3" t="str">
        <x:v>No</x:v>
      </x:c>
      <x:c r="K80" s="3" t="str">
        <x:v>M. Rivera</x:v>
      </x:c>
      <x:c r="L80" s="3" t="n">
        <x:f>TODAY()-E80</x:f>
        <x:v>25</x:v>
      </x:c>
      <x:c r="M80" s="3" t="str">
        <x:f>IF(L80&lt;=30,"Current",IF(L80&lt;=60,"31-60",IF(L80&lt;=90,"61-90","90+")))</x:f>
        <x:v>Current</x:v>
      </x:c>
      <x:c r="N80" s="3" t="str">
        <x:f>IF(OR(M80="90+",I80&gt;150000,J80="Yes"),"High",IF(OR(M80="61-90",I80&gt;75000),"Medium","Low"))</x:f>
        <x:v>Low</x:v>
      </x:c>
      <x:c r="O80" s="3" t="str">
        <x:f>IF(J80="Yes","Resolve dispute",IF(M80="90+","Escalate collections",IF(M80="61-90","Collector call","Standard follow-up")))</x:f>
        <x:v>Standard follow-up</x:v>
      </x:c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 t="str">
        <x:v>INV-10080</x:v>
      </x:c>
      <x:c r="B81" s="3" t="str">
        <x:v>Harbor Health</x:v>
      </x:c>
      <x:c r="C81" s="3" t="str">
        <x:v>SMB</x:v>
      </x:c>
      <x:c r="D81" s="3" t="str">
        <x:v>Atlanta</x:v>
      </x:c>
      <x:c r="E81" s="3" t="n">
        <x:v>46118</x:v>
      </x:c>
      <x:c r="F81" s="3" t="n">
        <x:v>60</x:v>
      </x:c>
      <x:c r="G81" s="3" t="n">
        <x:v>46178</x:v>
      </x:c>
      <x:c r="H81" s="3" t="n">
        <x:v>330372</x:v>
      </x:c>
      <x:c r="I81" s="3" t="n">
        <x:v>82593</x:v>
      </x:c>
      <x:c r="J81" s="3" t="str">
        <x:v>No</x:v>
      </x:c>
      <x:c r="K81" s="3" t="str">
        <x:v>M. Rivera</x:v>
      </x:c>
      <x:c r="L81" s="3" t="n">
        <x:f>TODAY()-E81</x:f>
        <x:v>27</x:v>
      </x:c>
      <x:c r="M81" s="3" t="str">
        <x:f>IF(L81&lt;=30,"Current",IF(L81&lt;=60,"31-60",IF(L81&lt;=90,"61-90","90+")))</x:f>
        <x:v>Current</x:v>
      </x:c>
      <x:c r="N81" s="3" t="str">
        <x:f>IF(OR(M81="90+",I81&gt;150000,J81="Yes"),"High",IF(OR(M81="61-90",I81&gt;75000),"Medium","Low"))</x:f>
        <x:v>Medium</x:v>
      </x:c>
      <x:c r="O81" s="3" t="str">
        <x:f>IF(J81="Yes","Resolve dispute",IF(M81="90+","Escalate collections",IF(M81="61-90","Collector call","Standard follow-up")))</x:f>
        <x:v>Standard follow-up</x:v>
      </x:c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 t="str">
        <x:v>INV-10081</x:v>
      </x:c>
      <x:c r="B82" s="3" t="str">
        <x:v>Keystone Services</x:v>
      </x:c>
      <x:c r="C82" s="3" t="str">
        <x:v>Enterprise</x:v>
      </x:c>
      <x:c r="D82" s="3" t="str">
        <x:v>Columbus</x:v>
      </x:c>
      <x:c r="E82" s="3" t="n">
        <x:v>46136</x:v>
      </x:c>
      <x:c r="F82" s="3" t="n">
        <x:v>45</x:v>
      </x:c>
      <x:c r="G82" s="3" t="n">
        <x:v>46181</x:v>
      </x:c>
      <x:c r="H82" s="3" t="n">
        <x:v>313883</x:v>
      </x:c>
      <x:c r="I82" s="3" t="n">
        <x:v>78471</x:v>
      </x:c>
      <x:c r="J82" s="3" t="str">
        <x:v>No</x:v>
      </x:c>
      <x:c r="K82" s="3" t="str">
        <x:v>S. Brooks</x:v>
      </x:c>
      <x:c r="L82" s="3" t="n">
        <x:f>TODAY()-E82</x:f>
        <x:v>9</x:v>
      </x:c>
      <x:c r="M82" s="3" t="str">
        <x:f>IF(L82&lt;=30,"Current",IF(L82&lt;=60,"31-60",IF(L82&lt;=90,"61-90","90+")))</x:f>
        <x:v>Current</x:v>
      </x:c>
      <x:c r="N82" s="3" t="str">
        <x:f>IF(OR(M82="90+",I82&gt;150000,J82="Yes"),"High",IF(OR(M82="61-90",I82&gt;75000),"Medium","Low"))</x:f>
        <x:v>Medium</x:v>
      </x:c>
      <x:c r="O82" s="3" t="str">
        <x:f>IF(J82="Yes","Resolve dispute",IF(M82="90+","Escalate collections",IF(M82="61-90","Collector call","Standard follow-up")))</x:f>
        <x:v>Standard follow-up</x:v>
      </x:c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 t="str">
        <x:v>INV-10082</x:v>
      </x:c>
      <x:c r="B83" s="3" t="str">
        <x:v>Canyon Distribution</x:v>
      </x:c>
      <x:c r="C83" s="3" t="str">
        <x:v>Mid-Market</x:v>
      </x:c>
      <x:c r="D83" s="3" t="str">
        <x:v>Chicago</x:v>
      </x:c>
      <x:c r="E83" s="3" t="n">
        <x:v>46064</x:v>
      </x:c>
      <x:c r="F83" s="3" t="n">
        <x:v>30</x:v>
      </x:c>
      <x:c r="G83" s="3" t="n">
        <x:v>46094</x:v>
      </x:c>
      <x:c r="H83" s="3" t="n">
        <x:v>65425</x:v>
      </x:c>
      <x:c r="I83" s="3" t="n">
        <x:v>16356</x:v>
      </x:c>
      <x:c r="J83" s="3" t="str">
        <x:v>No</x:v>
      </x:c>
      <x:c r="K83" s="3" t="str">
        <x:v>A. Patel</x:v>
      </x:c>
      <x:c r="L83" s="3" t="n">
        <x:f>TODAY()-E83</x:f>
        <x:v>81</x:v>
      </x:c>
      <x:c r="M83" s="3" t="str">
        <x:f>IF(L83&lt;=30,"Current",IF(L83&lt;=60,"31-60",IF(L83&lt;=90,"61-90","90+")))</x:f>
        <x:v>61-90</x:v>
      </x:c>
      <x:c r="N83" s="3" t="str">
        <x:f>IF(OR(M83="90+",I83&gt;150000,J83="Yes"),"High",IF(OR(M83="61-90",I83&gt;75000),"Medium","Low"))</x:f>
        <x:v>Medium</x:v>
      </x:c>
      <x:c r="O83" s="3" t="str">
        <x:f>IF(J83="Yes","Resolve dispute",IF(M83="90+","Escalate collections",IF(M83="61-90","Collector call","Standard follow-up")))</x:f>
        <x:v>Collector call</x:v>
      </x:c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 t="str">
        <x:v>INV-10083</x:v>
      </x:c>
      <x:c r="B84" s="3" t="str">
        <x:v>Prairie Logistics</x:v>
      </x:c>
      <x:c r="C84" s="3" t="str">
        <x:v>Industrial</x:v>
      </x:c>
      <x:c r="D84" s="3" t="str">
        <x:v>Chicago</x:v>
      </x:c>
      <x:c r="E84" s="3" t="n">
        <x:v>46095</x:v>
      </x:c>
      <x:c r="F84" s="3" t="n">
        <x:v>60</x:v>
      </x:c>
      <x:c r="G84" s="3" t="n">
        <x:v>46155</x:v>
      </x:c>
      <x:c r="H84" s="3" t="n">
        <x:v>236593</x:v>
      </x:c>
      <x:c r="I84" s="3" t="n">
        <x:v>59148</x:v>
      </x:c>
      <x:c r="J84" s="3" t="str">
        <x:v>No</x:v>
      </x:c>
      <x:c r="K84" s="3" t="str">
        <x:v>J. Chen</x:v>
      </x:c>
      <x:c r="L84" s="3" t="n">
        <x:f>TODAY()-E84</x:f>
        <x:v>50</x:v>
      </x:c>
      <x:c r="M84" s="3" t="str">
        <x:f>IF(L84&lt;=30,"Current",IF(L84&lt;=60,"31-60",IF(L84&lt;=90,"61-90","90+")))</x:f>
        <x:v>31-60</x:v>
      </x:c>
      <x:c r="N84" s="3" t="str">
        <x:f>IF(OR(M84="90+",I84&gt;150000,J84="Yes"),"High",IF(OR(M84="61-90",I84&gt;75000),"Medium","Low"))</x:f>
        <x:v>Low</x:v>
      </x:c>
      <x:c r="O84" s="3" t="str">
        <x:f>IF(J84="Yes","Resolve dispute",IF(M84="90+","Escalate collections",IF(M84="61-90","Collector call","Standard follow-up")))</x:f>
        <x:v>Standard follow-up</x:v>
      </x:c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 t="str">
        <x:v>INV-10084</x:v>
      </x:c>
      <x:c r="B85" s="3" t="str">
        <x:v>Apex Industrial</x:v>
      </x:c>
      <x:c r="C85" s="3" t="str">
        <x:v>Healthcare</x:v>
      </x:c>
      <x:c r="D85" s="3" t="str">
        <x:v>Phoenix</x:v>
      </x:c>
      <x:c r="E85" s="3" t="n">
        <x:v>46126</x:v>
      </x:c>
      <x:c r="F85" s="3" t="n">
        <x:v>45</x:v>
      </x:c>
      <x:c r="G85" s="3" t="n">
        <x:v>46171</x:v>
      </x:c>
      <x:c r="H85" s="3" t="n">
        <x:v>201890</x:v>
      </x:c>
      <x:c r="I85" s="3" t="n">
        <x:v>50472</x:v>
      </x:c>
      <x:c r="J85" s="3" t="str">
        <x:v>No</x:v>
      </x:c>
      <x:c r="K85" s="3" t="str">
        <x:v>S. Brooks</x:v>
      </x:c>
      <x:c r="L85" s="3" t="n">
        <x:f>TODAY()-E85</x:f>
        <x:v>19</x:v>
      </x:c>
      <x:c r="M85" s="3" t="str">
        <x:f>IF(L85&lt;=30,"Current",IF(L85&lt;=60,"31-60",IF(L85&lt;=90,"61-90","90+")))</x:f>
        <x:v>Current</x:v>
      </x:c>
      <x:c r="N85" s="3" t="str">
        <x:f>IF(OR(M85="90+",I85&gt;150000,J85="Yes"),"High",IF(OR(M85="61-90",I85&gt;75000),"Medium","Low"))</x:f>
        <x:v>Low</x:v>
      </x:c>
      <x:c r="O85" s="3" t="str">
        <x:f>IF(J85="Yes","Resolve dispute",IF(M85="90+","Escalate collections",IF(M85="61-90","Collector call","Standard follow-up")))</x:f>
        <x:v>Standard follow-up</x:v>
      </x:c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 t="str">
        <x:v>INV-10085</x:v>
      </x:c>
      <x:c r="B86" s="3" t="str">
        <x:v>Evergreen Labs</x:v>
      </x:c>
      <x:c r="C86" s="3" t="str">
        <x:v>Mid-Market</x:v>
      </x:c>
      <x:c r="D86" s="3" t="str">
        <x:v>Phoenix</x:v>
      </x:c>
      <x:c r="E86" s="3" t="n">
        <x:v>46117</x:v>
      </x:c>
      <x:c r="F86" s="3" t="n">
        <x:v>60</x:v>
      </x:c>
      <x:c r="G86" s="3" t="n">
        <x:v>46177</x:v>
      </x:c>
      <x:c r="H86" s="3" t="n">
        <x:v>353027</x:v>
      </x:c>
      <x:c r="I86" s="3" t="n">
        <x:v>353027</x:v>
      </x:c>
      <x:c r="J86" s="3" t="str">
        <x:v>No</x:v>
      </x:c>
      <x:c r="K86" s="3" t="str">
        <x:v>S. Brooks</x:v>
      </x:c>
      <x:c r="L86" s="3" t="n">
        <x:f>TODAY()-E86</x:f>
        <x:v>28</x:v>
      </x:c>
      <x:c r="M86" s="3" t="str">
        <x:f>IF(L86&lt;=30,"Current",IF(L86&lt;=60,"31-60",IF(L86&lt;=90,"61-90","90+")))</x:f>
        <x:v>Current</x:v>
      </x:c>
      <x:c r="N86" s="3" t="str">
        <x:f>IF(OR(M86="90+",I86&gt;150000,J86="Yes"),"High",IF(OR(M86="61-90",I86&gt;75000),"Medium","Low"))</x:f>
        <x:v>High</x:v>
      </x:c>
      <x:c r="O86" s="3" t="str">
        <x:f>IF(J86="Yes","Resolve dispute",IF(M86="90+","Escalate collections",IF(M86="61-90","Collector call","Standard follow-up")))</x:f>
        <x:v>Standard follow-up</x:v>
      </x:c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 t="str">
        <x:v>INV-10086</x:v>
      </x:c>
      <x:c r="B87" s="3" t="str">
        <x:v>Harbor Health</x:v>
      </x:c>
      <x:c r="C87" s="3" t="str">
        <x:v>Healthcare</x:v>
      </x:c>
      <x:c r="D87" s="3" t="str">
        <x:v>Nashville</x:v>
      </x:c>
      <x:c r="E87" s="3" t="n">
        <x:v>46064</x:v>
      </x:c>
      <x:c r="F87" s="3" t="n">
        <x:v>45</x:v>
      </x:c>
      <x:c r="G87" s="3" t="n">
        <x:v>46109</x:v>
      </x:c>
      <x:c r="H87" s="3" t="n">
        <x:v>180980</x:v>
      </x:c>
      <x:c r="I87" s="3" t="n">
        <x:v>180980</x:v>
      </x:c>
      <x:c r="J87" s="3" t="str">
        <x:v>No</x:v>
      </x:c>
      <x:c r="K87" s="3" t="str">
        <x:v>A. Patel</x:v>
      </x:c>
      <x:c r="L87" s="3" t="n">
        <x:f>TODAY()-E87</x:f>
        <x:v>81</x:v>
      </x:c>
      <x:c r="M87" s="3" t="str">
        <x:f>IF(L87&lt;=30,"Current",IF(L87&lt;=60,"31-60",IF(L87&lt;=90,"61-90","90+")))</x:f>
        <x:v>61-90</x:v>
      </x:c>
      <x:c r="N87" s="3" t="str">
        <x:f>IF(OR(M87="90+",I87&gt;150000,J87="Yes"),"High",IF(OR(M87="61-90",I87&gt;75000),"Medium","Low"))</x:f>
        <x:v>High</x:v>
      </x:c>
      <x:c r="O87" s="3" t="str">
        <x:f>IF(J87="Yes","Resolve dispute",IF(M87="90+","Escalate collections",IF(M87="61-90","Collector call","Standard follow-up")))</x:f>
        <x:v>Collector call</x:v>
      </x:c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 t="str">
        <x:v>INV-10087</x:v>
      </x:c>
      <x:c r="B88" s="3" t="str">
        <x:v>Keystone Services</x:v>
      </x:c>
      <x:c r="C88" s="3" t="str">
        <x:v>Healthcare</x:v>
      </x:c>
      <x:c r="D88" s="3" t="str">
        <x:v>Dallas</x:v>
      </x:c>
      <x:c r="E88" s="3" t="n">
        <x:v>46043</x:v>
      </x:c>
      <x:c r="F88" s="3" t="n">
        <x:v>45</x:v>
      </x:c>
      <x:c r="G88" s="3" t="n">
        <x:v>46088</x:v>
      </x:c>
      <x:c r="H88" s="3" t="n">
        <x:v>310765</x:v>
      </x:c>
      <x:c r="I88" s="3" t="n">
        <x:v>155382</x:v>
      </x:c>
      <x:c r="J88" s="3" t="str">
        <x:v>No</x:v>
      </x:c>
      <x:c r="K88" s="3" t="str">
        <x:v>J. Chen</x:v>
      </x:c>
      <x:c r="L88" s="3" t="n">
        <x:f>TODAY()-E88</x:f>
        <x:v>102</x:v>
      </x:c>
      <x:c r="M88" s="3" t="str">
        <x:f>IF(L88&lt;=30,"Current",IF(L88&lt;=60,"31-60",IF(L88&lt;=90,"61-90","90+")))</x:f>
        <x:v>90+</x:v>
      </x:c>
      <x:c r="N88" s="3" t="str">
        <x:f>IF(OR(M88="90+",I88&gt;150000,J88="Yes"),"High",IF(OR(M88="61-90",I88&gt;75000),"Medium","Low"))</x:f>
        <x:v>High</x:v>
      </x:c>
      <x:c r="O88" s="3" t="str">
        <x:f>IF(J88="Yes","Resolve dispute",IF(M88="90+","Escalate collections",IF(M88="61-90","Collector call","Standard follow-up")))</x:f>
        <x:v>Escalate collections</x:v>
      </x:c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 t="str">
        <x:v>INV-10088</x:v>
      </x:c>
      <x:c r="B89" s="3" t="str">
        <x:v>Apex Industrial</x:v>
      </x:c>
      <x:c r="C89" s="3" t="str">
        <x:v>Healthcare</x:v>
      </x:c>
      <x:c r="D89" s="3" t="str">
        <x:v>Atlanta</x:v>
      </x:c>
      <x:c r="E89" s="3" t="n">
        <x:v>46116</x:v>
      </x:c>
      <x:c r="F89" s="3" t="n">
        <x:v>45</x:v>
      </x:c>
      <x:c r="G89" s="3" t="n">
        <x:v>46161</x:v>
      </x:c>
      <x:c r="H89" s="3" t="n">
        <x:v>123211</x:v>
      </x:c>
      <x:c r="I89" s="3" t="n">
        <x:v>123211</x:v>
      </x:c>
      <x:c r="J89" s="3" t="str">
        <x:v>No</x:v>
      </x:c>
      <x:c r="K89" s="3" t="str">
        <x:v>J. Chen</x:v>
      </x:c>
      <x:c r="L89" s="3" t="n">
        <x:f>TODAY()-E89</x:f>
        <x:v>29</x:v>
      </x:c>
      <x:c r="M89" s="3" t="str">
        <x:f>IF(L89&lt;=30,"Current",IF(L89&lt;=60,"31-60",IF(L89&lt;=90,"61-90","90+")))</x:f>
        <x:v>Current</x:v>
      </x:c>
      <x:c r="N89" s="3" t="str">
        <x:f>IF(OR(M89="90+",I89&gt;150000,J89="Yes"),"High",IF(OR(M89="61-90",I89&gt;75000),"Medium","Low"))</x:f>
        <x:v>Medium</x:v>
      </x:c>
      <x:c r="O89" s="3" t="str">
        <x:f>IF(J89="Yes","Resolve dispute",IF(M89="90+","Escalate collections",IF(M89="61-90","Collector call","Standard follow-up")))</x:f>
        <x:v>Standard follow-up</x:v>
      </x:c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 t="str">
        <x:v>INV-10089</x:v>
      </x:c>
      <x:c r="B90" s="3" t="str">
        <x:v>Keystone Services</x:v>
      </x:c>
      <x:c r="C90" s="3" t="str">
        <x:v>Industrial</x:v>
      </x:c>
      <x:c r="D90" s="3" t="str">
        <x:v>Nashville</x:v>
      </x:c>
      <x:c r="E90" s="3" t="n">
        <x:v>46027</x:v>
      </x:c>
      <x:c r="F90" s="3" t="n">
        <x:v>45</x:v>
      </x:c>
      <x:c r="G90" s="3" t="n">
        <x:v>46072</x:v>
      </x:c>
      <x:c r="H90" s="3" t="n">
        <x:v>303394</x:v>
      </x:c>
      <x:c r="I90" s="3" t="n">
        <x:v>303394</x:v>
      </x:c>
      <x:c r="J90" s="3" t="str">
        <x:v>No</x:v>
      </x:c>
      <x:c r="K90" s="3" t="str">
        <x:v>M. Rivera</x:v>
      </x:c>
      <x:c r="L90" s="3" t="n">
        <x:f>TODAY()-E90</x:f>
        <x:v>118</x:v>
      </x:c>
      <x:c r="M90" s="3" t="str">
        <x:f>IF(L90&lt;=30,"Current",IF(L90&lt;=60,"31-60",IF(L90&lt;=90,"61-90","90+")))</x:f>
        <x:v>90+</x:v>
      </x:c>
      <x:c r="N90" s="3" t="str">
        <x:f>IF(OR(M90="90+",I90&gt;150000,J90="Yes"),"High",IF(OR(M90="61-90",I90&gt;75000),"Medium","Low"))</x:f>
        <x:v>High</x:v>
      </x:c>
      <x:c r="O90" s="3" t="str">
        <x:f>IF(J90="Yes","Resolve dispute",IF(M90="90+","Escalate collections",IF(M90="61-90","Collector call","Standard follow-up")))</x:f>
        <x:v>Escalate collections</x:v>
      </x:c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 t="str">
        <x:v>INV-10090</x:v>
      </x:c>
      <x:c r="B91" s="3" t="str">
        <x:v>Northstar Medical</x:v>
      </x:c>
      <x:c r="C91" s="3" t="str">
        <x:v>Mid-Market</x:v>
      </x:c>
      <x:c r="D91" s="3" t="str">
        <x:v>Nashville</x:v>
      </x:c>
      <x:c r="E91" s="3" t="n">
        <x:v>46087</x:v>
      </x:c>
      <x:c r="F91" s="3" t="n">
        <x:v>45</x:v>
      </x:c>
      <x:c r="G91" s="3" t="n">
        <x:v>46132</x:v>
      </x:c>
      <x:c r="H91" s="3" t="n">
        <x:v>303072</x:v>
      </x:c>
      <x:c r="I91" s="3" t="n">
        <x:v>303072</x:v>
      </x:c>
      <x:c r="J91" s="3" t="str">
        <x:v>No</x:v>
      </x:c>
      <x:c r="K91" s="3" t="str">
        <x:v>S. Brooks</x:v>
      </x:c>
      <x:c r="L91" s="3" t="n">
        <x:f>TODAY()-E91</x:f>
        <x:v>58</x:v>
      </x:c>
      <x:c r="M91" s="3" t="str">
        <x:f>IF(L91&lt;=30,"Current",IF(L91&lt;=60,"31-60",IF(L91&lt;=90,"61-90","90+")))</x:f>
        <x:v>31-60</x:v>
      </x:c>
      <x:c r="N91" s="3" t="str">
        <x:f>IF(OR(M91="90+",I91&gt;150000,J91="Yes"),"High",IF(OR(M91="61-90",I91&gt;75000),"Medium","Low"))</x:f>
        <x:v>High</x:v>
      </x:c>
      <x:c r="O91" s="3" t="str">
        <x:f>IF(J91="Yes","Resolve dispute",IF(M91="90+","Escalate collections",IF(M91="61-90","Collector call","Standard follow-up")))</x:f>
        <x:v>Standard follow-up</x:v>
      </x:c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 t="str">
        <x:v>INV-10091</x:v>
      </x:c>
      <x:c r="B92" s="3" t="str">
        <x:v>Harbor Health</x:v>
      </x:c>
      <x:c r="C92" s="3" t="str">
        <x:v>Enterprise</x:v>
      </x:c>
      <x:c r="D92" s="3" t="str">
        <x:v>Chicago</x:v>
      </x:c>
      <x:c r="E92" s="3" t="n">
        <x:v>46102</x:v>
      </x:c>
      <x:c r="F92" s="3" t="n">
        <x:v>30</x:v>
      </x:c>
      <x:c r="G92" s="3" t="n">
        <x:v>46132</x:v>
      </x:c>
      <x:c r="H92" s="3" t="n">
        <x:v>224022</x:v>
      </x:c>
      <x:c r="I92" s="3" t="n">
        <x:v>56006</x:v>
      </x:c>
      <x:c r="J92" s="3" t="str">
        <x:v>No</x:v>
      </x:c>
      <x:c r="K92" s="3" t="str">
        <x:v>J. Chen</x:v>
      </x:c>
      <x:c r="L92" s="3" t="n">
        <x:f>TODAY()-E92</x:f>
        <x:v>43</x:v>
      </x:c>
      <x:c r="M92" s="3" t="str">
        <x:f>IF(L92&lt;=30,"Current",IF(L92&lt;=60,"31-60",IF(L92&lt;=90,"61-90","90+")))</x:f>
        <x:v>31-60</x:v>
      </x:c>
      <x:c r="N92" s="3" t="str">
        <x:f>IF(OR(M92="90+",I92&gt;150000,J92="Yes"),"High",IF(OR(M92="61-90",I92&gt;75000),"Medium","Low"))</x:f>
        <x:v>Low</x:v>
      </x:c>
      <x:c r="O92" s="3" t="str">
        <x:f>IF(J92="Yes","Resolve dispute",IF(M92="90+","Escalate collections",IF(M92="61-90","Collector call","Standard follow-up")))</x:f>
        <x:v>Standard follow-up</x:v>
      </x:c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 t="str">
        <x:v>INV-10092</x:v>
      </x:c>
      <x:c r="B93" s="3" t="str">
        <x:v>Harbor Health</x:v>
      </x:c>
      <x:c r="C93" s="3" t="str">
        <x:v>Industrial</x:v>
      </x:c>
      <x:c r="D93" s="3" t="str">
        <x:v>Columbus</x:v>
      </x:c>
      <x:c r="E93" s="3" t="n">
        <x:v>46095</x:v>
      </x:c>
      <x:c r="F93" s="3" t="n">
        <x:v>45</x:v>
      </x:c>
      <x:c r="G93" s="3" t="n">
        <x:v>46140</x:v>
      </x:c>
      <x:c r="H93" s="3" t="n">
        <x:v>403084</x:v>
      </x:c>
      <x:c r="I93" s="3" t="n">
        <x:v>201542</x:v>
      </x:c>
      <x:c r="J93" s="3" t="str">
        <x:v>No</x:v>
      </x:c>
      <x:c r="K93" s="3" t="str">
        <x:v>S. Brooks</x:v>
      </x:c>
      <x:c r="L93" s="3" t="n">
        <x:f>TODAY()-E93</x:f>
        <x:v>50</x:v>
      </x:c>
      <x:c r="M93" s="3" t="str">
        <x:f>IF(L93&lt;=30,"Current",IF(L93&lt;=60,"31-60",IF(L93&lt;=90,"61-90","90+")))</x:f>
        <x:v>31-60</x:v>
      </x:c>
      <x:c r="N93" s="3" t="str">
        <x:f>IF(OR(M93="90+",I93&gt;150000,J93="Yes"),"High",IF(OR(M93="61-90",I93&gt;75000),"Medium","Low"))</x:f>
        <x:v>High</x:v>
      </x:c>
      <x:c r="O93" s="3" t="str">
        <x:f>IF(J93="Yes","Resolve dispute",IF(M93="90+","Escalate collections",IF(M93="61-90","Collector call","Standard follow-up")))</x:f>
        <x:v>Standard follow-up</x:v>
      </x:c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 t="str">
        <x:v>INV-10093</x:v>
      </x:c>
      <x:c r="B94" s="3" t="str">
        <x:v>Keystone Services</x:v>
      </x:c>
      <x:c r="C94" s="3" t="str">
        <x:v>SMB</x:v>
      </x:c>
      <x:c r="D94" s="3" t="str">
        <x:v>Atlanta</x:v>
      </x:c>
      <x:c r="E94" s="3" t="n">
        <x:v>46110</x:v>
      </x:c>
      <x:c r="F94" s="3" t="n">
        <x:v>30</x:v>
      </x:c>
      <x:c r="G94" s="3" t="n">
        <x:v>46140</x:v>
      </x:c>
      <x:c r="H94" s="3" t="n">
        <x:v>390160</x:v>
      </x:c>
      <x:c r="I94" s="3" t="n">
        <x:v>390160</x:v>
      </x:c>
      <x:c r="J94" s="3" t="str">
        <x:v>No</x:v>
      </x:c>
      <x:c r="K94" s="3" t="str">
        <x:v>M. Rivera</x:v>
      </x:c>
      <x:c r="L94" s="3" t="n">
        <x:f>TODAY()-E94</x:f>
        <x:v>35</x:v>
      </x:c>
      <x:c r="M94" s="3" t="str">
        <x:f>IF(L94&lt;=30,"Current",IF(L94&lt;=60,"31-60",IF(L94&lt;=90,"61-90","90+")))</x:f>
        <x:v>31-60</x:v>
      </x:c>
      <x:c r="N94" s="3" t="str">
        <x:f>IF(OR(M94="90+",I94&gt;150000,J94="Yes"),"High",IF(OR(M94="61-90",I94&gt;75000),"Medium","Low"))</x:f>
        <x:v>High</x:v>
      </x:c>
      <x:c r="O94" s="3" t="str">
        <x:f>IF(J94="Yes","Resolve dispute",IF(M94="90+","Escalate collections",IF(M94="61-90","Collector call","Standard follow-up")))</x:f>
        <x:v>Standard follow-up</x:v>
      </x:c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 t="str">
        <x:v>INV-10094</x:v>
      </x:c>
      <x:c r="B95" s="3" t="str">
        <x:v>Summit Foods</x:v>
      </x:c>
      <x:c r="C95" s="3" t="str">
        <x:v>Mid-Market</x:v>
      </x:c>
      <x:c r="D95" s="3" t="str">
        <x:v>Nashville</x:v>
      </x:c>
      <x:c r="E95" s="3" t="n">
        <x:v>46078</x:v>
      </x:c>
      <x:c r="F95" s="3" t="n">
        <x:v>45</x:v>
      </x:c>
      <x:c r="G95" s="3" t="n">
        <x:v>46123</x:v>
      </x:c>
      <x:c r="H95" s="3" t="n">
        <x:v>391891</x:v>
      </x:c>
      <x:c r="I95" s="3" t="n">
        <x:v>195946</x:v>
      </x:c>
      <x:c r="J95" s="3" t="str">
        <x:v>No</x:v>
      </x:c>
      <x:c r="K95" s="3" t="str">
        <x:v>J. Chen</x:v>
      </x:c>
      <x:c r="L95" s="3" t="n">
        <x:f>TODAY()-E95</x:f>
        <x:v>67</x:v>
      </x:c>
      <x:c r="M95" s="3" t="str">
        <x:f>IF(L95&lt;=30,"Current",IF(L95&lt;=60,"31-60",IF(L95&lt;=90,"61-90","90+")))</x:f>
        <x:v>61-90</x:v>
      </x:c>
      <x:c r="N95" s="3" t="str">
        <x:f>IF(OR(M95="90+",I95&gt;150000,J95="Yes"),"High",IF(OR(M95="61-90",I95&gt;75000),"Medium","Low"))</x:f>
        <x:v>High</x:v>
      </x:c>
      <x:c r="O95" s="3" t="str">
        <x:f>IF(J95="Yes","Resolve dispute",IF(M95="90+","Escalate collections",IF(M95="61-90","Collector call","Standard follow-up")))</x:f>
        <x:v>Collector call</x:v>
      </x:c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 t="str">
        <x:v>INV-10095</x:v>
      </x:c>
      <x:c r="B96" s="3" t="str">
        <x:v>Northstar Medical</x:v>
      </x:c>
      <x:c r="C96" s="3" t="str">
        <x:v>Mid-Market</x:v>
      </x:c>
      <x:c r="D96" s="3" t="str">
        <x:v>Atlanta</x:v>
      </x:c>
      <x:c r="E96" s="3" t="n">
        <x:v>46110</x:v>
      </x:c>
      <x:c r="F96" s="3" t="n">
        <x:v>45</x:v>
      </x:c>
      <x:c r="G96" s="3" t="n">
        <x:v>46155</x:v>
      </x:c>
      <x:c r="H96" s="3" t="n">
        <x:v>106079</x:v>
      </x:c>
      <x:c r="I96" s="3" t="n">
        <x:v>106079</x:v>
      </x:c>
      <x:c r="J96" s="3" t="str">
        <x:v>Yes</x:v>
      </x:c>
      <x:c r="K96" s="3" t="str">
        <x:v>M. Rivera</x:v>
      </x:c>
      <x:c r="L96" s="3" t="n">
        <x:f>TODAY()-E96</x:f>
        <x:v>35</x:v>
      </x:c>
      <x:c r="M96" s="3" t="str">
        <x:f>IF(L96&lt;=30,"Current",IF(L96&lt;=60,"31-60",IF(L96&lt;=90,"61-90","90+")))</x:f>
        <x:v>31-60</x:v>
      </x:c>
      <x:c r="N96" s="3" t="str">
        <x:f>IF(OR(M96="90+",I96&gt;150000,J96="Yes"),"High",IF(OR(M96="61-90",I96&gt;75000),"Medium","Low"))</x:f>
        <x:v>High</x:v>
      </x:c>
      <x:c r="O96" s="3" t="str">
        <x:f>IF(J96="Yes","Resolve dispute",IF(M96="90+","Escalate collections",IF(M96="61-90","Collector call","Standard follow-up")))</x:f>
        <x:v>Resolve dispute</x:v>
      </x:c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 t="str">
        <x:v>INV-10096</x:v>
      </x:c>
      <x:c r="B97" s="3" t="str">
        <x:v>Keystone Services</x:v>
      </x:c>
      <x:c r="C97" s="3" t="str">
        <x:v>Enterprise</x:v>
      </x:c>
      <x:c r="D97" s="3" t="str">
        <x:v>Chicago</x:v>
      </x:c>
      <x:c r="E97" s="3" t="n">
        <x:v>46069</x:v>
      </x:c>
      <x:c r="F97" s="3" t="n">
        <x:v>45</x:v>
      </x:c>
      <x:c r="G97" s="3" t="n">
        <x:v>46114</x:v>
      </x:c>
      <x:c r="H97" s="3" t="n">
        <x:v>377647</x:v>
      </x:c>
      <x:c r="I97" s="3" t="n">
        <x:v>377647</x:v>
      </x:c>
      <x:c r="J97" s="3" t="str">
        <x:v>No</x:v>
      </x:c>
      <x:c r="K97" s="3" t="str">
        <x:v>S. Brooks</x:v>
      </x:c>
      <x:c r="L97" s="3" t="n">
        <x:f>TODAY()-E97</x:f>
        <x:v>76</x:v>
      </x:c>
      <x:c r="M97" s="3" t="str">
        <x:f>IF(L97&lt;=30,"Current",IF(L97&lt;=60,"31-60",IF(L97&lt;=90,"61-90","90+")))</x:f>
        <x:v>61-90</x:v>
      </x:c>
      <x:c r="N97" s="3" t="str">
        <x:f>IF(OR(M97="90+",I97&gt;150000,J97="Yes"),"High",IF(OR(M97="61-90",I97&gt;75000),"Medium","Low"))</x:f>
        <x:v>High</x:v>
      </x:c>
      <x:c r="O97" s="3" t="str">
        <x:f>IF(J97="Yes","Resolve dispute",IF(M97="90+","Escalate collections",IF(M97="61-90","Collector call","Standard follow-up")))</x:f>
        <x:v>Collector call</x:v>
      </x:c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 t="str">
        <x:v>INV-10097</x:v>
      </x:c>
      <x:c r="B98" s="3" t="str">
        <x:v>Northstar Medical</x:v>
      </x:c>
      <x:c r="C98" s="3" t="str">
        <x:v>Enterprise</x:v>
      </x:c>
      <x:c r="D98" s="3" t="str">
        <x:v>Columbus</x:v>
      </x:c>
      <x:c r="E98" s="3" t="n">
        <x:v>46103</x:v>
      </x:c>
      <x:c r="F98" s="3" t="n">
        <x:v>45</x:v>
      </x:c>
      <x:c r="G98" s="3" t="n">
        <x:v>46148</x:v>
      </x:c>
      <x:c r="H98" s="3" t="n">
        <x:v>262984</x:v>
      </x:c>
      <x:c r="I98" s="3" t="n">
        <x:v>197238</x:v>
      </x:c>
      <x:c r="J98" s="3" t="str">
        <x:v>No</x:v>
      </x:c>
      <x:c r="K98" s="3" t="str">
        <x:v>A. Patel</x:v>
      </x:c>
      <x:c r="L98" s="3" t="n">
        <x:f>TODAY()-E98</x:f>
        <x:v>42</x:v>
      </x:c>
      <x:c r="M98" s="3" t="str">
        <x:f>IF(L98&lt;=30,"Current",IF(L98&lt;=60,"31-60",IF(L98&lt;=90,"61-90","90+")))</x:f>
        <x:v>31-60</x:v>
      </x:c>
      <x:c r="N98" s="3" t="str">
        <x:f>IF(OR(M98="90+",I98&gt;150000,J98="Yes"),"High",IF(OR(M98="61-90",I98&gt;75000),"Medium","Low"))</x:f>
        <x:v>High</x:v>
      </x:c>
      <x:c r="O98" s="3" t="str">
        <x:f>IF(J98="Yes","Resolve dispute",IF(M98="90+","Escalate collections",IF(M98="61-90","Collector call","Standard follow-up")))</x:f>
        <x:v>Standard follow-up</x:v>
      </x:c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 t="str">
        <x:v>INV-10098</x:v>
      </x:c>
      <x:c r="B99" s="3" t="str">
        <x:v>Keystone Services</x:v>
      </x:c>
      <x:c r="C99" s="3" t="str">
        <x:v>Healthcare</x:v>
      </x:c>
      <x:c r="D99" s="3" t="str">
        <x:v>Chicago</x:v>
      </x:c>
      <x:c r="E99" s="3" t="n">
        <x:v>46034</x:v>
      </x:c>
      <x:c r="F99" s="3" t="n">
        <x:v>30</x:v>
      </x:c>
      <x:c r="G99" s="3" t="n">
        <x:v>46064</x:v>
      </x:c>
      <x:c r="H99" s="3" t="n">
        <x:v>222086</x:v>
      </x:c>
      <x:c r="I99" s="3" t="n">
        <x:v>166564</x:v>
      </x:c>
      <x:c r="J99" s="3" t="str">
        <x:v>Yes</x:v>
      </x:c>
      <x:c r="K99" s="3" t="str">
        <x:v>A. Patel</x:v>
      </x:c>
      <x:c r="L99" s="3" t="n">
        <x:f>TODAY()-E99</x:f>
        <x:v>111</x:v>
      </x:c>
      <x:c r="M99" s="3" t="str">
        <x:f>IF(L99&lt;=30,"Current",IF(L99&lt;=60,"31-60",IF(L99&lt;=90,"61-90","90+")))</x:f>
        <x:v>90+</x:v>
      </x:c>
      <x:c r="N99" s="3" t="str">
        <x:f>IF(OR(M99="90+",I99&gt;150000,J99="Yes"),"High",IF(OR(M99="61-90",I99&gt;75000),"Medium","Low"))</x:f>
        <x:v>High</x:v>
      </x:c>
      <x:c r="O99" s="3" t="str">
        <x:f>IF(J99="Yes","Resolve dispute",IF(M99="90+","Escalate collections",IF(M99="61-90","Collector call","Standard follow-up")))</x:f>
        <x:v>Resolve dispute</x:v>
      </x:c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 t="str">
        <x:v>INV-10099</x:v>
      </x:c>
      <x:c r="B100" s="3" t="str">
        <x:v>Riverbend Supply</x:v>
      </x:c>
      <x:c r="C100" s="3" t="str">
        <x:v>Mid-Market</x:v>
      </x:c>
      <x:c r="D100" s="3" t="str">
        <x:v>Columbus</x:v>
      </x:c>
      <x:c r="E100" s="3" t="n">
        <x:v>46101</x:v>
      </x:c>
      <x:c r="F100" s="3" t="n">
        <x:v>30</x:v>
      </x:c>
      <x:c r="G100" s="3" t="n">
        <x:v>46131</x:v>
      </x:c>
      <x:c r="H100" s="3" t="n">
        <x:v>142123</x:v>
      </x:c>
      <x:c r="I100" s="3" t="n">
        <x:v>142123</x:v>
      </x:c>
      <x:c r="J100" s="3" t="str">
        <x:v>No</x:v>
      </x:c>
      <x:c r="K100" s="3" t="str">
        <x:v>S. Brooks</x:v>
      </x:c>
      <x:c r="L100" s="3" t="n">
        <x:f>TODAY()-E100</x:f>
        <x:v>44</x:v>
      </x:c>
      <x:c r="M100" s="3" t="str">
        <x:f>IF(L100&lt;=30,"Current",IF(L100&lt;=60,"31-60",IF(L100&lt;=90,"61-90","90+")))</x:f>
        <x:v>31-60</x:v>
      </x:c>
      <x:c r="N100" s="3" t="str">
        <x:f>IF(OR(M100="90+",I100&gt;150000,J100="Yes"),"High",IF(OR(M100="61-90",I100&gt;75000),"Medium","Low"))</x:f>
        <x:v>Medium</x:v>
      </x:c>
      <x:c r="O100" s="3" t="str">
        <x:f>IF(J100="Yes","Resolve dispute",IF(M100="90+","Escalate collections",IF(M100="61-90","Collector call","Standard follow-up")))</x:f>
        <x:v>Standard follow-up</x:v>
      </x:c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 t="str">
        <x:v>INV-10100</x:v>
      </x:c>
      <x:c r="B101" s="3" t="str">
        <x:v>Vantage Components</x:v>
      </x:c>
      <x:c r="C101" s="3" t="str">
        <x:v>Industrial</x:v>
      </x:c>
      <x:c r="D101" s="3" t="str">
        <x:v>Columbus</x:v>
      </x:c>
      <x:c r="E101" s="3" t="n">
        <x:v>46111</x:v>
      </x:c>
      <x:c r="F101" s="3" t="n">
        <x:v>60</x:v>
      </x:c>
      <x:c r="G101" s="3" t="n">
        <x:v>46171</x:v>
      </x:c>
      <x:c r="H101" s="3" t="n">
        <x:v>211427</x:v>
      </x:c>
      <x:c r="I101" s="3" t="n">
        <x:v>158570</x:v>
      </x:c>
      <x:c r="J101" s="3" t="str">
        <x:v>No</x:v>
      </x:c>
      <x:c r="K101" s="3" t="str">
        <x:v>J. Chen</x:v>
      </x:c>
      <x:c r="L101" s="3" t="n">
        <x:f>TODAY()-E101</x:f>
        <x:v>34</x:v>
      </x:c>
      <x:c r="M101" s="3" t="str">
        <x:f>IF(L101&lt;=30,"Current",IF(L101&lt;=60,"31-60",IF(L101&lt;=90,"61-90","90+")))</x:f>
        <x:v>31-60</x:v>
      </x:c>
      <x:c r="N101" s="3" t="str">
        <x:f>IF(OR(M101="90+",I101&gt;150000,J101="Yes"),"High",IF(OR(M101="61-90",I101&gt;75000),"Medium","Low"))</x:f>
        <x:v>High</x:v>
      </x:c>
      <x:c r="O101" s="3" t="str">
        <x:f>IF(J101="Yes","Resolve dispute",IF(M101="90+","Escalate collections",IF(M101="61-90","Collector call","Standard follow-up")))</x:f>
        <x:v>Standard follow-up</x:v>
      </x:c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 t="str">
        <x:v>INV-10101</x:v>
      </x:c>
      <x:c r="B102" s="3" t="str">
        <x:v>BrightPath Clinics</x:v>
      </x:c>
      <x:c r="C102" s="3" t="str">
        <x:v>Industrial</x:v>
      </x:c>
      <x:c r="D102" s="3" t="str">
        <x:v>Phoenix</x:v>
      </x:c>
      <x:c r="E102" s="3" t="n">
        <x:v>46100</x:v>
      </x:c>
      <x:c r="F102" s="3" t="n">
        <x:v>60</x:v>
      </x:c>
      <x:c r="G102" s="3" t="n">
        <x:v>46160</x:v>
      </x:c>
      <x:c r="H102" s="3" t="n">
        <x:v>337597</x:v>
      </x:c>
      <x:c r="I102" s="3" t="n">
        <x:v>337597</x:v>
      </x:c>
      <x:c r="J102" s="3" t="str">
        <x:v>No</x:v>
      </x:c>
      <x:c r="K102" s="3" t="str">
        <x:v>A. Patel</x:v>
      </x:c>
      <x:c r="L102" s="3" t="n">
        <x:f>TODAY()-E102</x:f>
        <x:v>45</x:v>
      </x:c>
      <x:c r="M102" s="3" t="str">
        <x:f>IF(L102&lt;=30,"Current",IF(L102&lt;=60,"31-60",IF(L102&lt;=90,"61-90","90+")))</x:f>
        <x:v>31-60</x:v>
      </x:c>
      <x:c r="N102" s="3" t="str">
        <x:f>IF(OR(M102="90+",I102&gt;150000,J102="Yes"),"High",IF(OR(M102="61-90",I102&gt;75000),"Medium","Low"))</x:f>
        <x:v>High</x:v>
      </x:c>
      <x:c r="O102" s="3" t="str">
        <x:f>IF(J102="Yes","Resolve dispute",IF(M102="90+","Escalate collections",IF(M102="61-90","Collector call","Standard follow-up")))</x:f>
        <x:v>Standard follow-up</x:v>
      </x:c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 t="str">
        <x:v>INV-10102</x:v>
      </x:c>
      <x:c r="B103" s="3" t="str">
        <x:v>Prairie Logistics</x:v>
      </x:c>
      <x:c r="C103" s="3" t="str">
        <x:v>Mid-Market</x:v>
      </x:c>
      <x:c r="D103" s="3" t="str">
        <x:v>Nashville</x:v>
      </x:c>
      <x:c r="E103" s="3" t="n">
        <x:v>46112</x:v>
      </x:c>
      <x:c r="F103" s="3" t="n">
        <x:v>45</x:v>
      </x:c>
      <x:c r="G103" s="3" t="n">
        <x:v>46157</x:v>
      </x:c>
      <x:c r="H103" s="3" t="n">
        <x:v>358254</x:v>
      </x:c>
      <x:c r="I103" s="3" t="n">
        <x:v>358254</x:v>
      </x:c>
      <x:c r="J103" s="3" t="str">
        <x:v>No</x:v>
      </x:c>
      <x:c r="K103" s="3" t="str">
        <x:v>M. Rivera</x:v>
      </x:c>
      <x:c r="L103" s="3" t="n">
        <x:f>TODAY()-E103</x:f>
        <x:v>33</x:v>
      </x:c>
      <x:c r="M103" s="3" t="str">
        <x:f>IF(L103&lt;=30,"Current",IF(L103&lt;=60,"31-60",IF(L103&lt;=90,"61-90","90+")))</x:f>
        <x:v>31-60</x:v>
      </x:c>
      <x:c r="N103" s="3" t="str">
        <x:f>IF(OR(M103="90+",I103&gt;150000,J103="Yes"),"High",IF(OR(M103="61-90",I103&gt;75000),"Medium","Low"))</x:f>
        <x:v>High</x:v>
      </x:c>
      <x:c r="O103" s="3" t="str">
        <x:f>IF(J103="Yes","Resolve dispute",IF(M103="90+","Escalate collections",IF(M103="61-90","Collector call","Standard follow-up")))</x:f>
        <x:v>Standard follow-up</x:v>
      </x:c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 t="str">
        <x:v>INV-10103</x:v>
      </x:c>
      <x:c r="B104" s="3" t="str">
        <x:v>Oakline Retail</x:v>
      </x:c>
      <x:c r="C104" s="3" t="str">
        <x:v>Enterprise</x:v>
      </x:c>
      <x:c r="D104" s="3" t="str">
        <x:v>Dallas</x:v>
      </x:c>
      <x:c r="E104" s="3" t="n">
        <x:v>46139</x:v>
      </x:c>
      <x:c r="F104" s="3" t="n">
        <x:v>45</x:v>
      </x:c>
      <x:c r="G104" s="3" t="n">
        <x:v>46184</x:v>
      </x:c>
      <x:c r="H104" s="3" t="n">
        <x:v>248193</x:v>
      </x:c>
      <x:c r="I104" s="3" t="n">
        <x:v>62048</x:v>
      </x:c>
      <x:c r="J104" s="3" t="str">
        <x:v>No</x:v>
      </x:c>
      <x:c r="K104" s="3" t="str">
        <x:v>J. Chen</x:v>
      </x:c>
      <x:c r="L104" s="3" t="n">
        <x:f>TODAY()-E104</x:f>
        <x:v>6</x:v>
      </x:c>
      <x:c r="M104" s="3" t="str">
        <x:f>IF(L104&lt;=30,"Current",IF(L104&lt;=60,"31-60",IF(L104&lt;=90,"61-90","90+")))</x:f>
        <x:v>Current</x:v>
      </x:c>
      <x:c r="N104" s="3" t="str">
        <x:f>IF(OR(M104="90+",I104&gt;150000,J104="Yes"),"High",IF(OR(M104="61-90",I104&gt;75000),"Medium","Low"))</x:f>
        <x:v>Low</x:v>
      </x:c>
      <x:c r="O104" s="3" t="str">
        <x:f>IF(J104="Yes","Resolve dispute",IF(M104="90+","Escalate collections",IF(M104="61-90","Collector call","Standard follow-up")))</x:f>
        <x:v>Standard follow-up</x:v>
      </x:c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 t="str">
        <x:v>INV-10104</x:v>
      </x:c>
      <x:c r="B105" s="3" t="str">
        <x:v>Apex Industrial</x:v>
      </x:c>
      <x:c r="C105" s="3" t="str">
        <x:v>Mid-Market</x:v>
      </x:c>
      <x:c r="D105" s="3" t="str">
        <x:v>Atlanta</x:v>
      </x:c>
      <x:c r="E105" s="3" t="n">
        <x:v>46049</x:v>
      </x:c>
      <x:c r="F105" s="3" t="n">
        <x:v>45</x:v>
      </x:c>
      <x:c r="G105" s="3" t="n">
        <x:v>46094</x:v>
      </x:c>
      <x:c r="H105" s="3" t="n">
        <x:v>380567</x:v>
      </x:c>
      <x:c r="I105" s="3" t="n">
        <x:v>285425</x:v>
      </x:c>
      <x:c r="J105" s="3" t="str">
        <x:v>Yes</x:v>
      </x:c>
      <x:c r="K105" s="3" t="str">
        <x:v>M. Rivera</x:v>
      </x:c>
      <x:c r="L105" s="3" t="n">
        <x:f>TODAY()-E105</x:f>
        <x:v>96</x:v>
      </x:c>
      <x:c r="M105" s="3" t="str">
        <x:f>IF(L105&lt;=30,"Current",IF(L105&lt;=60,"31-60",IF(L105&lt;=90,"61-90","90+")))</x:f>
        <x:v>90+</x:v>
      </x:c>
      <x:c r="N105" s="3" t="str">
        <x:f>IF(OR(M105="90+",I105&gt;150000,J105="Yes"),"High",IF(OR(M105="61-90",I105&gt;75000),"Medium","Low"))</x:f>
        <x:v>High</x:v>
      </x:c>
      <x:c r="O105" s="3" t="str">
        <x:f>IF(J105="Yes","Resolve dispute",IF(M105="90+","Escalate collections",IF(M105="61-90","Collector call","Standard follow-up")))</x:f>
        <x:v>Resolve dispute</x:v>
      </x:c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 t="str">
        <x:v>INV-10105</x:v>
      </x:c>
      <x:c r="B106" s="3" t="str">
        <x:v>Ironwood Systems</x:v>
      </x:c>
      <x:c r="C106" s="3" t="str">
        <x:v>SMB</x:v>
      </x:c>
      <x:c r="D106" s="3" t="str">
        <x:v>Nashville</x:v>
      </x:c>
      <x:c r="E106" s="3" t="n">
        <x:v>46064</x:v>
      </x:c>
      <x:c r="F106" s="3" t="n">
        <x:v>30</x:v>
      </x:c>
      <x:c r="G106" s="3" t="n">
        <x:v>46094</x:v>
      </x:c>
      <x:c r="H106" s="3" t="n">
        <x:v>234895</x:v>
      </x:c>
      <x:c r="I106" s="3" t="n">
        <x:v>234895</x:v>
      </x:c>
      <x:c r="J106" s="3" t="str">
        <x:v>No</x:v>
      </x:c>
      <x:c r="K106" s="3" t="str">
        <x:v>M. Rivera</x:v>
      </x:c>
      <x:c r="L106" s="3" t="n">
        <x:f>TODAY()-E106</x:f>
        <x:v>81</x:v>
      </x:c>
      <x:c r="M106" s="3" t="str">
        <x:f>IF(L106&lt;=30,"Current",IF(L106&lt;=60,"31-60",IF(L106&lt;=90,"61-90","90+")))</x:f>
        <x:v>61-90</x:v>
      </x:c>
      <x:c r="N106" s="3" t="str">
        <x:f>IF(OR(M106="90+",I106&gt;150000,J106="Yes"),"High",IF(OR(M106="61-90",I106&gt;75000),"Medium","Low"))</x:f>
        <x:v>High</x:v>
      </x:c>
      <x:c r="O106" s="3" t="str">
        <x:f>IF(J106="Yes","Resolve dispute",IF(M106="90+","Escalate collections",IF(M106="61-90","Collector call","Standard follow-up")))</x:f>
        <x:v>Collector call</x:v>
      </x:c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 t="str">
        <x:v>INV-10106</x:v>
      </x:c>
      <x:c r="B107" s="3" t="str">
        <x:v>Ironwood Systems</x:v>
      </x:c>
      <x:c r="C107" s="3" t="str">
        <x:v>SMB</x:v>
      </x:c>
      <x:c r="D107" s="3" t="str">
        <x:v>Dallas</x:v>
      </x:c>
      <x:c r="E107" s="3" t="n">
        <x:v>46130</x:v>
      </x:c>
      <x:c r="F107" s="3" t="n">
        <x:v>30</x:v>
      </x:c>
      <x:c r="G107" s="3" t="n">
        <x:v>46160</x:v>
      </x:c>
      <x:c r="H107" s="3" t="n">
        <x:v>98991</x:v>
      </x:c>
      <x:c r="I107" s="3" t="n">
        <x:v>98991</x:v>
      </x:c>
      <x:c r="J107" s="3" t="str">
        <x:v>No</x:v>
      </x:c>
      <x:c r="K107" s="3" t="str">
        <x:v>J. Chen</x:v>
      </x:c>
      <x:c r="L107" s="3" t="n">
        <x:f>TODAY()-E107</x:f>
        <x:v>15</x:v>
      </x:c>
      <x:c r="M107" s="3" t="str">
        <x:f>IF(L107&lt;=30,"Current",IF(L107&lt;=60,"31-60",IF(L107&lt;=90,"61-90","90+")))</x:f>
        <x:v>Current</x:v>
      </x:c>
      <x:c r="N107" s="3" t="str">
        <x:f>IF(OR(M107="90+",I107&gt;150000,J107="Yes"),"High",IF(OR(M107="61-90",I107&gt;75000),"Medium","Low"))</x:f>
        <x:v>Medium</x:v>
      </x:c>
      <x:c r="O107" s="3" t="str">
        <x:f>IF(J107="Yes","Resolve dispute",IF(M107="90+","Escalate collections",IF(M107="61-90","Collector call","Standard follow-up")))</x:f>
        <x:v>Standard follow-up</x:v>
      </x:c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 t="str">
        <x:v>INV-10107</x:v>
      </x:c>
      <x:c r="B108" s="3" t="str">
        <x:v>Harbor Health</x:v>
      </x:c>
      <x:c r="C108" s="3" t="str">
        <x:v>Enterprise</x:v>
      </x:c>
      <x:c r="D108" s="3" t="str">
        <x:v>Phoenix</x:v>
      </x:c>
      <x:c r="E108" s="3" t="n">
        <x:v>46051</x:v>
      </x:c>
      <x:c r="F108" s="3" t="n">
        <x:v>45</x:v>
      </x:c>
      <x:c r="G108" s="3" t="n">
        <x:v>46096</x:v>
      </x:c>
      <x:c r="H108" s="3" t="n">
        <x:v>378861</x:v>
      </x:c>
      <x:c r="I108" s="3" t="n">
        <x:v>284146</x:v>
      </x:c>
      <x:c r="J108" s="3" t="str">
        <x:v>No</x:v>
      </x:c>
      <x:c r="K108" s="3" t="str">
        <x:v>S. Brooks</x:v>
      </x:c>
      <x:c r="L108" s="3" t="n">
        <x:f>TODAY()-E108</x:f>
        <x:v>94</x:v>
      </x:c>
      <x:c r="M108" s="3" t="str">
        <x:f>IF(L108&lt;=30,"Current",IF(L108&lt;=60,"31-60",IF(L108&lt;=90,"61-90","90+")))</x:f>
        <x:v>90+</x:v>
      </x:c>
      <x:c r="N108" s="3" t="str">
        <x:f>IF(OR(M108="90+",I108&gt;150000,J108="Yes"),"High",IF(OR(M108="61-90",I108&gt;75000),"Medium","Low"))</x:f>
        <x:v>High</x:v>
      </x:c>
      <x:c r="O108" s="3" t="str">
        <x:f>IF(J108="Yes","Resolve dispute",IF(M108="90+","Escalate collections",IF(M108="61-90","Collector call","Standard follow-up")))</x:f>
        <x:v>Escalate collections</x:v>
      </x:c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 t="str">
        <x:v>INV-10108</x:v>
      </x:c>
      <x:c r="B109" s="3" t="str">
        <x:v>Harbor Health</x:v>
      </x:c>
      <x:c r="C109" s="3" t="str">
        <x:v>Enterprise</x:v>
      </x:c>
      <x:c r="D109" s="3" t="str">
        <x:v>Columbus</x:v>
      </x:c>
      <x:c r="E109" s="3" t="n">
        <x:v>46134</x:v>
      </x:c>
      <x:c r="F109" s="3" t="n">
        <x:v>45</x:v>
      </x:c>
      <x:c r="G109" s="3" t="n">
        <x:v>46179</x:v>
      </x:c>
      <x:c r="H109" s="3" t="n">
        <x:v>397107</x:v>
      </x:c>
      <x:c r="I109" s="3" t="n">
        <x:v>397107</x:v>
      </x:c>
      <x:c r="J109" s="3" t="str">
        <x:v>No</x:v>
      </x:c>
      <x:c r="K109" s="3" t="str">
        <x:v>A. Patel</x:v>
      </x:c>
      <x:c r="L109" s="3" t="n">
        <x:f>TODAY()-E109</x:f>
        <x:v>11</x:v>
      </x:c>
      <x:c r="M109" s="3" t="str">
        <x:f>IF(L109&lt;=30,"Current",IF(L109&lt;=60,"31-60",IF(L109&lt;=90,"61-90","90+")))</x:f>
        <x:v>Current</x:v>
      </x:c>
      <x:c r="N109" s="3" t="str">
        <x:f>IF(OR(M109="90+",I109&gt;150000,J109="Yes"),"High",IF(OR(M109="61-90",I109&gt;75000),"Medium","Low"))</x:f>
        <x:v>High</x:v>
      </x:c>
      <x:c r="O109" s="3" t="str">
        <x:f>IF(J109="Yes","Resolve dispute",IF(M109="90+","Escalate collections",IF(M109="61-90","Collector call","Standard follow-up")))</x:f>
        <x:v>Standard follow-up</x:v>
      </x:c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 t="str">
        <x:v>INV-10109</x:v>
      </x:c>
      <x:c r="B110" s="3" t="str">
        <x:v>Northstar Medical</x:v>
      </x:c>
      <x:c r="C110" s="3" t="str">
        <x:v>Mid-Market</x:v>
      </x:c>
      <x:c r="D110" s="3" t="str">
        <x:v>Nashville</x:v>
      </x:c>
      <x:c r="E110" s="3" t="n">
        <x:v>46032</x:v>
      </x:c>
      <x:c r="F110" s="3" t="n">
        <x:v>60</x:v>
      </x:c>
      <x:c r="G110" s="3" t="n">
        <x:v>46092</x:v>
      </x:c>
      <x:c r="H110" s="3" t="n">
        <x:v>319821</x:v>
      </x:c>
      <x:c r="I110" s="3" t="n">
        <x:v>319821</x:v>
      </x:c>
      <x:c r="J110" s="3" t="str">
        <x:v>No</x:v>
      </x:c>
      <x:c r="K110" s="3" t="str">
        <x:v>J. Chen</x:v>
      </x:c>
      <x:c r="L110" s="3" t="n">
        <x:f>TODAY()-E110</x:f>
        <x:v>113</x:v>
      </x:c>
      <x:c r="M110" s="3" t="str">
        <x:f>IF(L110&lt;=30,"Current",IF(L110&lt;=60,"31-60",IF(L110&lt;=90,"61-90","90+")))</x:f>
        <x:v>90+</x:v>
      </x:c>
      <x:c r="N110" s="3" t="str">
        <x:f>IF(OR(M110="90+",I110&gt;150000,J110="Yes"),"High",IF(OR(M110="61-90",I110&gt;75000),"Medium","Low"))</x:f>
        <x:v>High</x:v>
      </x:c>
      <x:c r="O110" s="3" t="str">
        <x:f>IF(J110="Yes","Resolve dispute",IF(M110="90+","Escalate collections",IF(M110="61-90","Collector call","Standard follow-up")))</x:f>
        <x:v>Escalate collections</x:v>
      </x:c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 t="str">
        <x:v>INV-10110</x:v>
      </x:c>
      <x:c r="B111" s="3" t="str">
        <x:v>Vantage Components</x:v>
      </x:c>
      <x:c r="C111" s="3" t="str">
        <x:v>Enterprise</x:v>
      </x:c>
      <x:c r="D111" s="3" t="str">
        <x:v>Dallas</x:v>
      </x:c>
      <x:c r="E111" s="3" t="n">
        <x:v>46079</x:v>
      </x:c>
      <x:c r="F111" s="3" t="n">
        <x:v>60</x:v>
      </x:c>
      <x:c r="G111" s="3" t="n">
        <x:v>46139</x:v>
      </x:c>
      <x:c r="H111" s="3" t="n">
        <x:v>353578</x:v>
      </x:c>
      <x:c r="I111" s="3" t="n">
        <x:v>265184</x:v>
      </x:c>
      <x:c r="J111" s="3" t="str">
        <x:v>No</x:v>
      </x:c>
      <x:c r="K111" s="3" t="str">
        <x:v>M. Rivera</x:v>
      </x:c>
      <x:c r="L111" s="3" t="n">
        <x:f>TODAY()-E111</x:f>
        <x:v>66</x:v>
      </x:c>
      <x:c r="M111" s="3" t="str">
        <x:f>IF(L111&lt;=30,"Current",IF(L111&lt;=60,"31-60",IF(L111&lt;=90,"61-90","90+")))</x:f>
        <x:v>61-90</x:v>
      </x:c>
      <x:c r="N111" s="3" t="str">
        <x:f>IF(OR(M111="90+",I111&gt;150000,J111="Yes"),"High",IF(OR(M111="61-90",I111&gt;75000),"Medium","Low"))</x:f>
        <x:v>High</x:v>
      </x:c>
      <x:c r="O111" s="3" t="str">
        <x:f>IF(J111="Yes","Resolve dispute",IF(M111="90+","Escalate collections",IF(M111="61-90","Collector call","Standard follow-up")))</x:f>
        <x:v>Collector call</x:v>
      </x:c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 t="str">
        <x:v>INV-10111</x:v>
      </x:c>
      <x:c r="B112" s="3" t="str">
        <x:v>Vantage Components</x:v>
      </x:c>
      <x:c r="C112" s="3" t="str">
        <x:v>Healthcare</x:v>
      </x:c>
      <x:c r="D112" s="3" t="str">
        <x:v>Nashville</x:v>
      </x:c>
      <x:c r="E112" s="3" t="n">
        <x:v>46035</x:v>
      </x:c>
      <x:c r="F112" s="3" t="n">
        <x:v>45</x:v>
      </x:c>
      <x:c r="G112" s="3" t="n">
        <x:v>46080</x:v>
      </x:c>
      <x:c r="H112" s="3" t="n">
        <x:v>59837</x:v>
      </x:c>
      <x:c r="I112" s="3" t="n">
        <x:v>44878</x:v>
      </x:c>
      <x:c r="J112" s="3" t="str">
        <x:v>No</x:v>
      </x:c>
      <x:c r="K112" s="3" t="str">
        <x:v>J. Chen</x:v>
      </x:c>
      <x:c r="L112" s="3" t="n">
        <x:f>TODAY()-E112</x:f>
        <x:v>110</x:v>
      </x:c>
      <x:c r="M112" s="3" t="str">
        <x:f>IF(L112&lt;=30,"Current",IF(L112&lt;=60,"31-60",IF(L112&lt;=90,"61-90","90+")))</x:f>
        <x:v>90+</x:v>
      </x:c>
      <x:c r="N112" s="3" t="str">
        <x:f>IF(OR(M112="90+",I112&gt;150000,J112="Yes"),"High",IF(OR(M112="61-90",I112&gt;75000),"Medium","Low"))</x:f>
        <x:v>High</x:v>
      </x:c>
      <x:c r="O112" s="3" t="str">
        <x:f>IF(J112="Yes","Resolve dispute",IF(M112="90+","Escalate collections",IF(M112="61-90","Collector call","Standard follow-up")))</x:f>
        <x:v>Escalate collections</x:v>
      </x:c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 t="str">
        <x:v>INV-10112</x:v>
      </x:c>
      <x:c r="B113" s="3" t="str">
        <x:v>BluePeak Manufacturing</x:v>
      </x:c>
      <x:c r="C113" s="3" t="str">
        <x:v>Enterprise</x:v>
      </x:c>
      <x:c r="D113" s="3" t="str">
        <x:v>Dallas</x:v>
      </x:c>
      <x:c r="E113" s="3" t="n">
        <x:v>46097</x:v>
      </x:c>
      <x:c r="F113" s="3" t="n">
        <x:v>45</x:v>
      </x:c>
      <x:c r="G113" s="3" t="n">
        <x:v>46142</x:v>
      </x:c>
      <x:c r="H113" s="3" t="n">
        <x:v>375684</x:v>
      </x:c>
      <x:c r="I113" s="3" t="n">
        <x:v>281763</x:v>
      </x:c>
      <x:c r="J113" s="3" t="str">
        <x:v>No</x:v>
      </x:c>
      <x:c r="K113" s="3" t="str">
        <x:v>S. Brooks</x:v>
      </x:c>
      <x:c r="L113" s="3" t="n">
        <x:f>TODAY()-E113</x:f>
        <x:v>48</x:v>
      </x:c>
      <x:c r="M113" s="3" t="str">
        <x:f>IF(L113&lt;=30,"Current",IF(L113&lt;=60,"31-60",IF(L113&lt;=90,"61-90","90+")))</x:f>
        <x:v>31-60</x:v>
      </x:c>
      <x:c r="N113" s="3" t="str">
        <x:f>IF(OR(M113="90+",I113&gt;150000,J113="Yes"),"High",IF(OR(M113="61-90",I113&gt;75000),"Medium","Low"))</x:f>
        <x:v>High</x:v>
      </x:c>
      <x:c r="O113" s="3" t="str">
        <x:f>IF(J113="Yes","Resolve dispute",IF(M113="90+","Escalate collections",IF(M113="61-90","Collector call","Standard follow-up")))</x:f>
        <x:v>Standard follow-up</x:v>
      </x:c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 t="str">
        <x:v>INV-10113</x:v>
      </x:c>
      <x:c r="B114" s="3" t="str">
        <x:v>BrightPath Clinics</x:v>
      </x:c>
      <x:c r="C114" s="3" t="str">
        <x:v>Industrial</x:v>
      </x:c>
      <x:c r="D114" s="3" t="str">
        <x:v>Chicago</x:v>
      </x:c>
      <x:c r="E114" s="3" t="n">
        <x:v>46081</x:v>
      </x:c>
      <x:c r="F114" s="3" t="n">
        <x:v>30</x:v>
      </x:c>
      <x:c r="G114" s="3" t="n">
        <x:v>46111</x:v>
      </x:c>
      <x:c r="H114" s="3" t="n">
        <x:v>176897</x:v>
      </x:c>
      <x:c r="I114" s="3" t="n">
        <x:v>176897</x:v>
      </x:c>
      <x:c r="J114" s="3" t="str">
        <x:v>No</x:v>
      </x:c>
      <x:c r="K114" s="3" t="str">
        <x:v>S. Brooks</x:v>
      </x:c>
      <x:c r="L114" s="3" t="n">
        <x:f>TODAY()-E114</x:f>
        <x:v>64</x:v>
      </x:c>
      <x:c r="M114" s="3" t="str">
        <x:f>IF(L114&lt;=30,"Current",IF(L114&lt;=60,"31-60",IF(L114&lt;=90,"61-90","90+")))</x:f>
        <x:v>61-90</x:v>
      </x:c>
      <x:c r="N114" s="3" t="str">
        <x:f>IF(OR(M114="90+",I114&gt;150000,J114="Yes"),"High",IF(OR(M114="61-90",I114&gt;75000),"Medium","Low"))</x:f>
        <x:v>High</x:v>
      </x:c>
      <x:c r="O114" s="3" t="str">
        <x:f>IF(J114="Yes","Resolve dispute",IF(M114="90+","Escalate collections",IF(M114="61-90","Collector call","Standard follow-up")))</x:f>
        <x:v>Collector call</x:v>
      </x:c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 t="str">
        <x:v>INV-10114</x:v>
      </x:c>
      <x:c r="B115" s="3" t="str">
        <x:v>BrightPath Clinics</x:v>
      </x:c>
      <x:c r="C115" s="3" t="str">
        <x:v>Industrial</x:v>
      </x:c>
      <x:c r="D115" s="3" t="str">
        <x:v>Chicago</x:v>
      </x:c>
      <x:c r="E115" s="3" t="n">
        <x:v>46055</x:v>
      </x:c>
      <x:c r="F115" s="3" t="n">
        <x:v>60</x:v>
      </x:c>
      <x:c r="G115" s="3" t="n">
        <x:v>46115</x:v>
      </x:c>
      <x:c r="H115" s="3" t="n">
        <x:v>254208</x:v>
      </x:c>
      <x:c r="I115" s="3" t="n">
        <x:v>190656</x:v>
      </x:c>
      <x:c r="J115" s="3" t="str">
        <x:v>Yes</x:v>
      </x:c>
      <x:c r="K115" s="3" t="str">
        <x:v>J. Chen</x:v>
      </x:c>
      <x:c r="L115" s="3" t="n">
        <x:f>TODAY()-E115</x:f>
        <x:v>90</x:v>
      </x:c>
      <x:c r="M115" s="3" t="str">
        <x:f>IF(L115&lt;=30,"Current",IF(L115&lt;=60,"31-60",IF(L115&lt;=90,"61-90","90+")))</x:f>
        <x:v>61-90</x:v>
      </x:c>
      <x:c r="N115" s="3" t="str">
        <x:f>IF(OR(M115="90+",I115&gt;150000,J115="Yes"),"High",IF(OR(M115="61-90",I115&gt;75000),"Medium","Low"))</x:f>
        <x:v>High</x:v>
      </x:c>
      <x:c r="O115" s="3" t="str">
        <x:f>IF(J115="Yes","Resolve dispute",IF(M115="90+","Escalate collections",IF(M115="61-90","Collector call","Standard follow-up")))</x:f>
        <x:v>Resolve dispute</x:v>
      </x:c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 t="str">
        <x:v>INV-10115</x:v>
      </x:c>
      <x:c r="B116" s="3" t="str">
        <x:v>Vantage Components</x:v>
      </x:c>
      <x:c r="C116" s="3" t="str">
        <x:v>Healthcare</x:v>
      </x:c>
      <x:c r="D116" s="3" t="str">
        <x:v>Nashville</x:v>
      </x:c>
      <x:c r="E116" s="3" t="n">
        <x:v>46083</x:v>
      </x:c>
      <x:c r="F116" s="3" t="n">
        <x:v>30</x:v>
      </x:c>
      <x:c r="G116" s="3" t="n">
        <x:v>46113</x:v>
      </x:c>
      <x:c r="H116" s="3" t="n">
        <x:v>118723</x:v>
      </x:c>
      <x:c r="I116" s="3" t="n">
        <x:v>118723</x:v>
      </x:c>
      <x:c r="J116" s="3" t="str">
        <x:v>No</x:v>
      </x:c>
      <x:c r="K116" s="3" t="str">
        <x:v>J. Chen</x:v>
      </x:c>
      <x:c r="L116" s="3" t="n">
        <x:f>TODAY()-E116</x:f>
        <x:v>62</x:v>
      </x:c>
      <x:c r="M116" s="3" t="str">
        <x:f>IF(L116&lt;=30,"Current",IF(L116&lt;=60,"31-60",IF(L116&lt;=90,"61-90","90+")))</x:f>
        <x:v>61-90</x:v>
      </x:c>
      <x:c r="N116" s="3" t="str">
        <x:f>IF(OR(M116="90+",I116&gt;150000,J116="Yes"),"High",IF(OR(M116="61-90",I116&gt;75000),"Medium","Low"))</x:f>
        <x:v>Medium</x:v>
      </x:c>
      <x:c r="O116" s="3" t="str">
        <x:f>IF(J116="Yes","Resolve dispute",IF(M116="90+","Escalate collections",IF(M116="61-90","Collector call","Standard follow-up")))</x:f>
        <x:v>Collector call</x:v>
      </x:c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 t="str">
        <x:v>INV-10116</x:v>
      </x:c>
      <x:c r="B117" s="3" t="str">
        <x:v>Harbor Health</x:v>
      </x:c>
      <x:c r="C117" s="3" t="str">
        <x:v>Healthcare</x:v>
      </x:c>
      <x:c r="D117" s="3" t="str">
        <x:v>Chicago</x:v>
      </x:c>
      <x:c r="E117" s="3" t="n">
        <x:v>46136</x:v>
      </x:c>
      <x:c r="F117" s="3" t="n">
        <x:v>60</x:v>
      </x:c>
      <x:c r="G117" s="3" t="n">
        <x:v>46196</x:v>
      </x:c>
      <x:c r="H117" s="3" t="n">
        <x:v>431070</x:v>
      </x:c>
      <x:c r="I117" s="3" t="n">
        <x:v>431070</x:v>
      </x:c>
      <x:c r="J117" s="3" t="str">
        <x:v>No</x:v>
      </x:c>
      <x:c r="K117" s="3" t="str">
        <x:v>J. Chen</x:v>
      </x:c>
      <x:c r="L117" s="3" t="n">
        <x:f>TODAY()-E117</x:f>
        <x:v>9</x:v>
      </x:c>
      <x:c r="M117" s="3" t="str">
        <x:f>IF(L117&lt;=30,"Current",IF(L117&lt;=60,"31-60",IF(L117&lt;=90,"61-90","90+")))</x:f>
        <x:v>Current</x:v>
      </x:c>
      <x:c r="N117" s="3" t="str">
        <x:f>IF(OR(M117="90+",I117&gt;150000,J117="Yes"),"High",IF(OR(M117="61-90",I117&gt;75000),"Medium","Low"))</x:f>
        <x:v>High</x:v>
      </x:c>
      <x:c r="O117" s="3" t="str">
        <x:f>IF(J117="Yes","Resolve dispute",IF(M117="90+","Escalate collections",IF(M117="61-90","Collector call","Standard follow-up")))</x:f>
        <x:v>Standard follow-up</x:v>
      </x:c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 t="str">
        <x:v>INV-10117</x:v>
      </x:c>
      <x:c r="B118" s="3" t="str">
        <x:v>Oakline Retail</x:v>
      </x:c>
      <x:c r="C118" s="3" t="str">
        <x:v>Enterprise</x:v>
      </x:c>
      <x:c r="D118" s="3" t="str">
        <x:v>Columbus</x:v>
      </x:c>
      <x:c r="E118" s="3" t="n">
        <x:v>46087</x:v>
      </x:c>
      <x:c r="F118" s="3" t="n">
        <x:v>30</x:v>
      </x:c>
      <x:c r="G118" s="3" t="n">
        <x:v>46117</x:v>
      </x:c>
      <x:c r="H118" s="3" t="n">
        <x:v>129807</x:v>
      </x:c>
      <x:c r="I118" s="3" t="n">
        <x:v>129807</x:v>
      </x:c>
      <x:c r="J118" s="3" t="str">
        <x:v>No</x:v>
      </x:c>
      <x:c r="K118" s="3" t="str">
        <x:v>A. Patel</x:v>
      </x:c>
      <x:c r="L118" s="3" t="n">
        <x:f>TODAY()-E118</x:f>
        <x:v>58</x:v>
      </x:c>
      <x:c r="M118" s="3" t="str">
        <x:f>IF(L118&lt;=30,"Current",IF(L118&lt;=60,"31-60",IF(L118&lt;=90,"61-90","90+")))</x:f>
        <x:v>31-60</x:v>
      </x:c>
      <x:c r="N118" s="3" t="str">
        <x:f>IF(OR(M118="90+",I118&gt;150000,J118="Yes"),"High",IF(OR(M118="61-90",I118&gt;75000),"Medium","Low"))</x:f>
        <x:v>Medium</x:v>
      </x:c>
      <x:c r="O118" s="3" t="str">
        <x:f>IF(J118="Yes","Resolve dispute",IF(M118="90+","Escalate collections",IF(M118="61-90","Collector call","Standard follow-up")))</x:f>
        <x:v>Standard follow-up</x:v>
      </x:c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 t="str">
        <x:v>INV-10118</x:v>
      </x:c>
      <x:c r="B119" s="3" t="str">
        <x:v>Metro Facilities</x:v>
      </x:c>
      <x:c r="C119" s="3" t="str">
        <x:v>Mid-Market</x:v>
      </x:c>
      <x:c r="D119" s="3" t="str">
        <x:v>Phoenix</x:v>
      </x:c>
      <x:c r="E119" s="3" t="n">
        <x:v>46048</x:v>
      </x:c>
      <x:c r="F119" s="3" t="n">
        <x:v>45</x:v>
      </x:c>
      <x:c r="G119" s="3" t="n">
        <x:v>46093</x:v>
      </x:c>
      <x:c r="H119" s="3" t="n">
        <x:v>278795</x:v>
      </x:c>
      <x:c r="I119" s="3" t="n">
        <x:v>69699</x:v>
      </x:c>
      <x:c r="J119" s="3" t="str">
        <x:v>No</x:v>
      </x:c>
      <x:c r="K119" s="3" t="str">
        <x:v>S. Brooks</x:v>
      </x:c>
      <x:c r="L119" s="3" t="n">
        <x:f>TODAY()-E119</x:f>
        <x:v>97</x:v>
      </x:c>
      <x:c r="M119" s="3" t="str">
        <x:f>IF(L119&lt;=30,"Current",IF(L119&lt;=60,"31-60",IF(L119&lt;=90,"61-90","90+")))</x:f>
        <x:v>90+</x:v>
      </x:c>
      <x:c r="N119" s="3" t="str">
        <x:f>IF(OR(M119="90+",I119&gt;150000,J119="Yes"),"High",IF(OR(M119="61-90",I119&gt;75000),"Medium","Low"))</x:f>
        <x:v>High</x:v>
      </x:c>
      <x:c r="O119" s="3" t="str">
        <x:f>IF(J119="Yes","Resolve dispute",IF(M119="90+","Escalate collections",IF(M119="61-90","Collector call","Standard follow-up")))</x:f>
        <x:v>Escalate collections</x:v>
      </x:c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 t="str">
        <x:v>INV-10119</x:v>
      </x:c>
      <x:c r="B120" s="3" t="str">
        <x:v>Harbor Health</x:v>
      </x:c>
      <x:c r="C120" s="3" t="str">
        <x:v>Mid-Market</x:v>
      </x:c>
      <x:c r="D120" s="3" t="str">
        <x:v>Phoenix</x:v>
      </x:c>
      <x:c r="E120" s="3" t="n">
        <x:v>46069</x:v>
      </x:c>
      <x:c r="F120" s="3" t="n">
        <x:v>30</x:v>
      </x:c>
      <x:c r="G120" s="3" t="n">
        <x:v>46099</x:v>
      </x:c>
      <x:c r="H120" s="3" t="n">
        <x:v>213109</x:v>
      </x:c>
      <x:c r="I120" s="3" t="n">
        <x:v>213109</x:v>
      </x:c>
      <x:c r="J120" s="3" t="str">
        <x:v>No</x:v>
      </x:c>
      <x:c r="K120" s="3" t="str">
        <x:v>M. Rivera</x:v>
      </x:c>
      <x:c r="L120" s="3" t="n">
        <x:f>TODAY()-E120</x:f>
        <x:v>76</x:v>
      </x:c>
      <x:c r="M120" s="3" t="str">
        <x:f>IF(L120&lt;=30,"Current",IF(L120&lt;=60,"31-60",IF(L120&lt;=90,"61-90","90+")))</x:f>
        <x:v>61-90</x:v>
      </x:c>
      <x:c r="N120" s="3" t="str">
        <x:f>IF(OR(M120="90+",I120&gt;150000,J120="Yes"),"High",IF(OR(M120="61-90",I120&gt;75000),"Medium","Low"))</x:f>
        <x:v>High</x:v>
      </x:c>
      <x:c r="O120" s="3" t="str">
        <x:f>IF(J120="Yes","Resolve dispute",IF(M120="90+","Escalate collections",IF(M120="61-90","Collector call","Standard follow-up")))</x:f>
        <x:v>Collector call</x:v>
      </x:c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 t="str">
        <x:v>INV-10120</x:v>
      </x:c>
      <x:c r="B121" s="3" t="str">
        <x:v>BrightPath Clinics</x:v>
      </x:c>
      <x:c r="C121" s="3" t="str">
        <x:v>Enterprise</x:v>
      </x:c>
      <x:c r="D121" s="3" t="str">
        <x:v>Atlanta</x:v>
      </x:c>
      <x:c r="E121" s="3" t="n">
        <x:v>46041</x:v>
      </x:c>
      <x:c r="F121" s="3" t="n">
        <x:v>45</x:v>
      </x:c>
      <x:c r="G121" s="3" t="n">
        <x:v>46086</x:v>
      </x:c>
      <x:c r="H121" s="3" t="n">
        <x:v>190192</x:v>
      </x:c>
      <x:c r="I121" s="3" t="n">
        <x:v>95096</x:v>
      </x:c>
      <x:c r="J121" s="3" t="str">
        <x:v>No</x:v>
      </x:c>
      <x:c r="K121" s="3" t="str">
        <x:v>A. Patel</x:v>
      </x:c>
      <x:c r="L121" s="3" t="n">
        <x:f>TODAY()-E121</x:f>
        <x:v>104</x:v>
      </x:c>
      <x:c r="M121" s="3" t="str">
        <x:f>IF(L121&lt;=30,"Current",IF(L121&lt;=60,"31-60",IF(L121&lt;=90,"61-90","90+")))</x:f>
        <x:v>90+</x:v>
      </x:c>
      <x:c r="N121" s="3" t="str">
        <x:f>IF(OR(M121="90+",I121&gt;150000,J121="Yes"),"High",IF(OR(M121="61-90",I121&gt;75000),"Medium","Low"))</x:f>
        <x:v>High</x:v>
      </x:c>
      <x:c r="O121" s="3" t="str">
        <x:f>IF(J121="Yes","Resolve dispute",IF(M121="90+","Escalate collections",IF(M121="61-90","Collector call","Standard follow-up")))</x:f>
        <x:v>Escalate collections</x:v>
      </x:c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 t="str">
        <x:v>INV-10121</x:v>
      </x:c>
      <x:c r="B122" s="3" t="str">
        <x:v>Keystone Services</x:v>
      </x:c>
      <x:c r="C122" s="3" t="str">
        <x:v>SMB</x:v>
      </x:c>
      <x:c r="D122" s="3" t="str">
        <x:v>Columbus</x:v>
      </x:c>
      <x:c r="E122" s="3" t="n">
        <x:v>46065</x:v>
      </x:c>
      <x:c r="F122" s="3" t="n">
        <x:v>45</x:v>
      </x:c>
      <x:c r="G122" s="3" t="n">
        <x:v>46110</x:v>
      </x:c>
      <x:c r="H122" s="3" t="n">
        <x:v>89906</x:v>
      </x:c>
      <x:c r="I122" s="3" t="n">
        <x:v>67430</x:v>
      </x:c>
      <x:c r="J122" s="3" t="str">
        <x:v>No</x:v>
      </x:c>
      <x:c r="K122" s="3" t="str">
        <x:v>J. Chen</x:v>
      </x:c>
      <x:c r="L122" s="3" t="n">
        <x:f>TODAY()-E122</x:f>
        <x:v>80</x:v>
      </x:c>
      <x:c r="M122" s="3" t="str">
        <x:f>IF(L122&lt;=30,"Current",IF(L122&lt;=60,"31-60",IF(L122&lt;=90,"61-90","90+")))</x:f>
        <x:v>61-90</x:v>
      </x:c>
      <x:c r="N122" s="3" t="str">
        <x:f>IF(OR(M122="90+",I122&gt;150000,J122="Yes"),"High",IF(OR(M122="61-90",I122&gt;75000),"Medium","Low"))</x:f>
        <x:v>Medium</x:v>
      </x:c>
      <x:c r="O122" s="3" t="str">
        <x:f>IF(J122="Yes","Resolve dispute",IF(M122="90+","Escalate collections",IF(M122="61-90","Collector call","Standard follow-up")))</x:f>
        <x:v>Collector call</x:v>
      </x:c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 t="str">
        <x:v>INV-10122</x:v>
      </x:c>
      <x:c r="B123" s="3" t="str">
        <x:v>BluePeak Manufacturing</x:v>
      </x:c>
      <x:c r="C123" s="3" t="str">
        <x:v>Industrial</x:v>
      </x:c>
      <x:c r="D123" s="3" t="str">
        <x:v>Columbus</x:v>
      </x:c>
      <x:c r="E123" s="3" t="n">
        <x:v>46091</x:v>
      </x:c>
      <x:c r="F123" s="3" t="n">
        <x:v>45</x:v>
      </x:c>
      <x:c r="G123" s="3" t="n">
        <x:v>46136</x:v>
      </x:c>
      <x:c r="H123" s="3" t="n">
        <x:v>180704</x:v>
      </x:c>
      <x:c r="I123" s="3" t="n">
        <x:v>180704</x:v>
      </x:c>
      <x:c r="J123" s="3" t="str">
        <x:v>No</x:v>
      </x:c>
      <x:c r="K123" s="3" t="str">
        <x:v>M. Rivera</x:v>
      </x:c>
      <x:c r="L123" s="3" t="n">
        <x:f>TODAY()-E123</x:f>
        <x:v>54</x:v>
      </x:c>
      <x:c r="M123" s="3" t="str">
        <x:f>IF(L123&lt;=30,"Current",IF(L123&lt;=60,"31-60",IF(L123&lt;=90,"61-90","90+")))</x:f>
        <x:v>31-60</x:v>
      </x:c>
      <x:c r="N123" s="3" t="str">
        <x:f>IF(OR(M123="90+",I123&gt;150000,J123="Yes"),"High",IF(OR(M123="61-90",I123&gt;75000),"Medium","Low"))</x:f>
        <x:v>High</x:v>
      </x:c>
      <x:c r="O123" s="3" t="str">
        <x:f>IF(J123="Yes","Resolve dispute",IF(M123="90+","Escalate collections",IF(M123="61-90","Collector call","Standard follow-up")))</x:f>
        <x:v>Standard follow-up</x:v>
      </x:c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 t="str">
        <x:v>INV-10123</x:v>
      </x:c>
      <x:c r="B124" s="3" t="str">
        <x:v>Vantage Components</x:v>
      </x:c>
      <x:c r="C124" s="3" t="str">
        <x:v>Healthcare</x:v>
      </x:c>
      <x:c r="D124" s="3" t="str">
        <x:v>Dallas</x:v>
      </x:c>
      <x:c r="E124" s="3" t="n">
        <x:v>46030</x:v>
      </x:c>
      <x:c r="F124" s="3" t="n">
        <x:v>45</x:v>
      </x:c>
      <x:c r="G124" s="3" t="n">
        <x:v>46075</x:v>
      </x:c>
      <x:c r="H124" s="3" t="n">
        <x:v>34883</x:v>
      </x:c>
      <x:c r="I124" s="3" t="n">
        <x:v>34883</x:v>
      </x:c>
      <x:c r="J124" s="3" t="str">
        <x:v>No</x:v>
      </x:c>
      <x:c r="K124" s="3" t="str">
        <x:v>S. Brooks</x:v>
      </x:c>
      <x:c r="L124" s="3" t="n">
        <x:f>TODAY()-E124</x:f>
        <x:v>115</x:v>
      </x:c>
      <x:c r="M124" s="3" t="str">
        <x:f>IF(L124&lt;=30,"Current",IF(L124&lt;=60,"31-60",IF(L124&lt;=90,"61-90","90+")))</x:f>
        <x:v>90+</x:v>
      </x:c>
      <x:c r="N124" s="3" t="str">
        <x:f>IF(OR(M124="90+",I124&gt;150000,J124="Yes"),"High",IF(OR(M124="61-90",I124&gt;75000),"Medium","Low"))</x:f>
        <x:v>High</x:v>
      </x:c>
      <x:c r="O124" s="3" t="str">
        <x:f>IF(J124="Yes","Resolve dispute",IF(M124="90+","Escalate collections",IF(M124="61-90","Collector call","Standard follow-up")))</x:f>
        <x:v>Escalate collections</x:v>
      </x:c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 t="str">
        <x:v>INV-10124</x:v>
      </x:c>
      <x:c r="B125" s="3" t="str">
        <x:v>Canyon Distribution</x:v>
      </x:c>
      <x:c r="C125" s="3" t="str">
        <x:v>Mid-Market</x:v>
      </x:c>
      <x:c r="D125" s="3" t="str">
        <x:v>Phoenix</x:v>
      </x:c>
      <x:c r="E125" s="3" t="n">
        <x:v>46135</x:v>
      </x:c>
      <x:c r="F125" s="3" t="n">
        <x:v>30</x:v>
      </x:c>
      <x:c r="G125" s="3" t="n">
        <x:v>46165</x:v>
      </x:c>
      <x:c r="H125" s="3" t="n">
        <x:v>275345</x:v>
      </x:c>
      <x:c r="I125" s="3" t="n">
        <x:v>137672</x:v>
      </x:c>
      <x:c r="J125" s="3" t="str">
        <x:v>No</x:v>
      </x:c>
      <x:c r="K125" s="3" t="str">
        <x:v>A. Patel</x:v>
      </x:c>
      <x:c r="L125" s="3" t="n">
        <x:f>TODAY()-E125</x:f>
        <x:v>10</x:v>
      </x:c>
      <x:c r="M125" s="3" t="str">
        <x:f>IF(L125&lt;=30,"Current",IF(L125&lt;=60,"31-60",IF(L125&lt;=90,"61-90","90+")))</x:f>
        <x:v>Current</x:v>
      </x:c>
      <x:c r="N125" s="3" t="str">
        <x:f>IF(OR(M125="90+",I125&gt;150000,J125="Yes"),"High",IF(OR(M125="61-90",I125&gt;75000),"Medium","Low"))</x:f>
        <x:v>Medium</x:v>
      </x:c>
      <x:c r="O125" s="3" t="str">
        <x:f>IF(J125="Yes","Resolve dispute",IF(M125="90+","Escalate collections",IF(M125="61-90","Collector call","Standard follow-up")))</x:f>
        <x:v>Standard follow-up</x:v>
      </x:c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 t="str">
        <x:v>INV-10125</x:v>
      </x:c>
      <x:c r="B126" s="3" t="str">
        <x:v>BrightPath Clinics</x:v>
      </x:c>
      <x:c r="C126" s="3" t="str">
        <x:v>Healthcare</x:v>
      </x:c>
      <x:c r="D126" s="3" t="str">
        <x:v>Chicago</x:v>
      </x:c>
      <x:c r="E126" s="3" t="n">
        <x:v>46072</x:v>
      </x:c>
      <x:c r="F126" s="3" t="n">
        <x:v>45</x:v>
      </x:c>
      <x:c r="G126" s="3" t="n">
        <x:v>46117</x:v>
      </x:c>
      <x:c r="H126" s="3" t="n">
        <x:v>20046</x:v>
      </x:c>
      <x:c r="I126" s="3" t="n">
        <x:v>5012</x:v>
      </x:c>
      <x:c r="J126" s="3" t="str">
        <x:v>No</x:v>
      </x:c>
      <x:c r="K126" s="3" t="str">
        <x:v>M. Rivera</x:v>
      </x:c>
      <x:c r="L126" s="3" t="n">
        <x:f>TODAY()-E126</x:f>
        <x:v>73</x:v>
      </x:c>
      <x:c r="M126" s="3" t="str">
        <x:f>IF(L126&lt;=30,"Current",IF(L126&lt;=60,"31-60",IF(L126&lt;=90,"61-90","90+")))</x:f>
        <x:v>61-90</x:v>
      </x:c>
      <x:c r="N126" s="3" t="str">
        <x:f>IF(OR(M126="90+",I126&gt;150000,J126="Yes"),"High",IF(OR(M126="61-90",I126&gt;75000),"Medium","Low"))</x:f>
        <x:v>Medium</x:v>
      </x:c>
      <x:c r="O126" s="3" t="str">
        <x:f>IF(J126="Yes","Resolve dispute",IF(M126="90+","Escalate collections",IF(M126="61-90","Collector call","Standard follow-up")))</x:f>
        <x:v>Collector call</x:v>
      </x:c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 t="str">
        <x:v>INV-10126</x:v>
      </x:c>
      <x:c r="B127" s="3" t="str">
        <x:v>Northstar Medical</x:v>
      </x:c>
      <x:c r="C127" s="3" t="str">
        <x:v>Healthcare</x:v>
      </x:c>
      <x:c r="D127" s="3" t="str">
        <x:v>Atlanta</x:v>
      </x:c>
      <x:c r="E127" s="3" t="n">
        <x:v>46096</x:v>
      </x:c>
      <x:c r="F127" s="3" t="n">
        <x:v>60</x:v>
      </x:c>
      <x:c r="G127" s="3" t="n">
        <x:v>46156</x:v>
      </x:c>
      <x:c r="H127" s="3" t="n">
        <x:v>375176</x:v>
      </x:c>
      <x:c r="I127" s="3" t="n">
        <x:v>281382</x:v>
      </x:c>
      <x:c r="J127" s="3" t="str">
        <x:v>No</x:v>
      </x:c>
      <x:c r="K127" s="3" t="str">
        <x:v>J. Chen</x:v>
      </x:c>
      <x:c r="L127" s="3" t="n">
        <x:f>TODAY()-E127</x:f>
        <x:v>49</x:v>
      </x:c>
      <x:c r="M127" s="3" t="str">
        <x:f>IF(L127&lt;=30,"Current",IF(L127&lt;=60,"31-60",IF(L127&lt;=90,"61-90","90+")))</x:f>
        <x:v>31-60</x:v>
      </x:c>
      <x:c r="N127" s="3" t="str">
        <x:f>IF(OR(M127="90+",I127&gt;150000,J127="Yes"),"High",IF(OR(M127="61-90",I127&gt;75000),"Medium","Low"))</x:f>
        <x:v>High</x:v>
      </x:c>
      <x:c r="O127" s="3" t="str">
        <x:f>IF(J127="Yes","Resolve dispute",IF(M127="90+","Escalate collections",IF(M127="61-90","Collector call","Standard follow-up")))</x:f>
        <x:v>Standard follow-up</x:v>
      </x:c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 t="str">
        <x:v>INV-10127</x:v>
      </x:c>
      <x:c r="B128" s="3" t="str">
        <x:v>BrightPath Clinics</x:v>
      </x:c>
      <x:c r="C128" s="3" t="str">
        <x:v>Industrial</x:v>
      </x:c>
      <x:c r="D128" s="3" t="str">
        <x:v>Phoenix</x:v>
      </x:c>
      <x:c r="E128" s="3" t="n">
        <x:v>46099</x:v>
      </x:c>
      <x:c r="F128" s="3" t="n">
        <x:v>45</x:v>
      </x:c>
      <x:c r="G128" s="3" t="n">
        <x:v>46144</x:v>
      </x:c>
      <x:c r="H128" s="3" t="n">
        <x:v>295648</x:v>
      </x:c>
      <x:c r="I128" s="3" t="n">
        <x:v>295648</x:v>
      </x:c>
      <x:c r="J128" s="3" t="str">
        <x:v>No</x:v>
      </x:c>
      <x:c r="K128" s="3" t="str">
        <x:v>M. Rivera</x:v>
      </x:c>
      <x:c r="L128" s="3" t="n">
        <x:f>TODAY()-E128</x:f>
        <x:v>46</x:v>
      </x:c>
      <x:c r="M128" s="3" t="str">
        <x:f>IF(L128&lt;=30,"Current",IF(L128&lt;=60,"31-60",IF(L128&lt;=90,"61-90","90+")))</x:f>
        <x:v>31-60</x:v>
      </x:c>
      <x:c r="N128" s="3" t="str">
        <x:f>IF(OR(M128="90+",I128&gt;150000,J128="Yes"),"High",IF(OR(M128="61-90",I128&gt;75000),"Medium","Low"))</x:f>
        <x:v>High</x:v>
      </x:c>
      <x:c r="O128" s="3" t="str">
        <x:f>IF(J128="Yes","Resolve dispute",IF(M128="90+","Escalate collections",IF(M128="61-90","Collector call","Standard follow-up")))</x:f>
        <x:v>Standard follow-up</x:v>
      </x:c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 t="str">
        <x:v>INV-10128</x:v>
      </x:c>
      <x:c r="B129" s="3" t="str">
        <x:v>Metro Facilities</x:v>
      </x:c>
      <x:c r="C129" s="3" t="str">
        <x:v>SMB</x:v>
      </x:c>
      <x:c r="D129" s="3" t="str">
        <x:v>Dallas</x:v>
      </x:c>
      <x:c r="E129" s="3" t="n">
        <x:v>46044</x:v>
      </x:c>
      <x:c r="F129" s="3" t="n">
        <x:v>30</x:v>
      </x:c>
      <x:c r="G129" s="3" t="n">
        <x:v>46074</x:v>
      </x:c>
      <x:c r="H129" s="3" t="n">
        <x:v>239526</x:v>
      </x:c>
      <x:c r="I129" s="3" t="n">
        <x:v>239526</x:v>
      </x:c>
      <x:c r="J129" s="3" t="str">
        <x:v>No</x:v>
      </x:c>
      <x:c r="K129" s="3" t="str">
        <x:v>A. Patel</x:v>
      </x:c>
      <x:c r="L129" s="3" t="n">
        <x:f>TODAY()-E129</x:f>
        <x:v>101</x:v>
      </x:c>
      <x:c r="M129" s="3" t="str">
        <x:f>IF(L129&lt;=30,"Current",IF(L129&lt;=60,"31-60",IF(L129&lt;=90,"61-90","90+")))</x:f>
        <x:v>90+</x:v>
      </x:c>
      <x:c r="N129" s="3" t="str">
        <x:f>IF(OR(M129="90+",I129&gt;150000,J129="Yes"),"High",IF(OR(M129="61-90",I129&gt;75000),"Medium","Low"))</x:f>
        <x:v>High</x:v>
      </x:c>
      <x:c r="O129" s="3" t="str">
        <x:f>IF(J129="Yes","Resolve dispute",IF(M129="90+","Escalate collections",IF(M129="61-90","Collector call","Standard follow-up")))</x:f>
        <x:v>Escalate collections</x:v>
      </x:c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 t="str">
        <x:v>INV-10129</x:v>
      </x:c>
      <x:c r="B130" s="3" t="str">
        <x:v>Harbor Health</x:v>
      </x:c>
      <x:c r="C130" s="3" t="str">
        <x:v>Mid-Market</x:v>
      </x:c>
      <x:c r="D130" s="3" t="str">
        <x:v>Nashville</x:v>
      </x:c>
      <x:c r="E130" s="3" t="n">
        <x:v>46101</x:v>
      </x:c>
      <x:c r="F130" s="3" t="n">
        <x:v>30</x:v>
      </x:c>
      <x:c r="G130" s="3" t="n">
        <x:v>46131</x:v>
      </x:c>
      <x:c r="H130" s="3" t="n">
        <x:v>36112</x:v>
      </x:c>
      <x:c r="I130" s="3" t="n">
        <x:v>36112</x:v>
      </x:c>
      <x:c r="J130" s="3" t="str">
        <x:v>No</x:v>
      </x:c>
      <x:c r="K130" s="3" t="str">
        <x:v>J. Chen</x:v>
      </x:c>
      <x:c r="L130" s="3" t="n">
        <x:f>TODAY()-E130</x:f>
        <x:v>44</x:v>
      </x:c>
      <x:c r="M130" s="3" t="str">
        <x:f>IF(L130&lt;=30,"Current",IF(L130&lt;=60,"31-60",IF(L130&lt;=90,"61-90","90+")))</x:f>
        <x:v>31-60</x:v>
      </x:c>
      <x:c r="N130" s="3" t="str">
        <x:f>IF(OR(M130="90+",I130&gt;150000,J130="Yes"),"High",IF(OR(M130="61-90",I130&gt;75000),"Medium","Low"))</x:f>
        <x:v>Low</x:v>
      </x:c>
      <x:c r="O130" s="3" t="str">
        <x:f>IF(J130="Yes","Resolve dispute",IF(M130="90+","Escalate collections",IF(M130="61-90","Collector call","Standard follow-up")))</x:f>
        <x:v>Standard follow-up</x:v>
      </x:c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 t="str">
        <x:v>INV-10130</x:v>
      </x:c>
      <x:c r="B131" s="3" t="str">
        <x:v>BluePeak Manufacturing</x:v>
      </x:c>
      <x:c r="C131" s="3" t="str">
        <x:v>SMB</x:v>
      </x:c>
      <x:c r="D131" s="3" t="str">
        <x:v>Phoenix</x:v>
      </x:c>
      <x:c r="E131" s="3" t="n">
        <x:v>46121</x:v>
      </x:c>
      <x:c r="F131" s="3" t="n">
        <x:v>30</x:v>
      </x:c>
      <x:c r="G131" s="3" t="n">
        <x:v>46151</x:v>
      </x:c>
      <x:c r="H131" s="3" t="n">
        <x:v>290484</x:v>
      </x:c>
      <x:c r="I131" s="3" t="n">
        <x:v>217863</x:v>
      </x:c>
      <x:c r="J131" s="3" t="str">
        <x:v>No</x:v>
      </x:c>
      <x:c r="K131" s="3" t="str">
        <x:v>M. Rivera</x:v>
      </x:c>
      <x:c r="L131" s="3" t="n">
        <x:f>TODAY()-E131</x:f>
        <x:v>24</x:v>
      </x:c>
      <x:c r="M131" s="3" t="str">
        <x:f>IF(L131&lt;=30,"Current",IF(L131&lt;=60,"31-60",IF(L131&lt;=90,"61-90","90+")))</x:f>
        <x:v>Current</x:v>
      </x:c>
      <x:c r="N131" s="3" t="str">
        <x:f>IF(OR(M131="90+",I131&gt;150000,J131="Yes"),"High",IF(OR(M131="61-90",I131&gt;75000),"Medium","Low"))</x:f>
        <x:v>High</x:v>
      </x:c>
      <x:c r="O131" s="3" t="str">
        <x:f>IF(J131="Yes","Resolve dispute",IF(M131="90+","Escalate collections",IF(M131="61-90","Collector call","Standard follow-up")))</x:f>
        <x:v>Standard follow-up</x:v>
      </x:c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 t="str">
        <x:v>INV-10131</x:v>
      </x:c>
      <x:c r="B132" s="3" t="str">
        <x:v>Riverbend Supply</x:v>
      </x:c>
      <x:c r="C132" s="3" t="str">
        <x:v>Mid-Market</x:v>
      </x:c>
      <x:c r="D132" s="3" t="str">
        <x:v>Chicago</x:v>
      </x:c>
      <x:c r="E132" s="3" t="n">
        <x:v>46061</x:v>
      </x:c>
      <x:c r="F132" s="3" t="n">
        <x:v>45</x:v>
      </x:c>
      <x:c r="G132" s="3" t="n">
        <x:v>46106</x:v>
      </x:c>
      <x:c r="H132" s="3" t="n">
        <x:v>336906</x:v>
      </x:c>
      <x:c r="I132" s="3" t="n">
        <x:v>84226</x:v>
      </x:c>
      <x:c r="J132" s="3" t="str">
        <x:v>No</x:v>
      </x:c>
      <x:c r="K132" s="3" t="str">
        <x:v>M. Rivera</x:v>
      </x:c>
      <x:c r="L132" s="3" t="n">
        <x:f>TODAY()-E132</x:f>
        <x:v>84</x:v>
      </x:c>
      <x:c r="M132" s="3" t="str">
        <x:f>IF(L132&lt;=30,"Current",IF(L132&lt;=60,"31-60",IF(L132&lt;=90,"61-90","90+")))</x:f>
        <x:v>61-90</x:v>
      </x:c>
      <x:c r="N132" s="3" t="str">
        <x:f>IF(OR(M132="90+",I132&gt;150000,J132="Yes"),"High",IF(OR(M132="61-90",I132&gt;75000),"Medium","Low"))</x:f>
        <x:v>Medium</x:v>
      </x:c>
      <x:c r="O132" s="3" t="str">
        <x:f>IF(J132="Yes","Resolve dispute",IF(M132="90+","Escalate collections",IF(M132="61-90","Collector call","Standard follow-up")))</x:f>
        <x:v>Collector call</x:v>
      </x:c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 t="str">
        <x:v>INV-10132</x:v>
      </x:c>
      <x:c r="B133" s="3" t="str">
        <x:v>Summit Foods</x:v>
      </x:c>
      <x:c r="C133" s="3" t="str">
        <x:v>Healthcare</x:v>
      </x:c>
      <x:c r="D133" s="3" t="str">
        <x:v>Nashville</x:v>
      </x:c>
      <x:c r="E133" s="3" t="n">
        <x:v>46107</x:v>
      </x:c>
      <x:c r="F133" s="3" t="n">
        <x:v>45</x:v>
      </x:c>
      <x:c r="G133" s="3" t="n">
        <x:v>46152</x:v>
      </x:c>
      <x:c r="H133" s="3" t="n">
        <x:v>145864</x:v>
      </x:c>
      <x:c r="I133" s="3" t="n">
        <x:v>36466</x:v>
      </x:c>
      <x:c r="J133" s="3" t="str">
        <x:v>Yes</x:v>
      </x:c>
      <x:c r="K133" s="3" t="str">
        <x:v>S. Brooks</x:v>
      </x:c>
      <x:c r="L133" s="3" t="n">
        <x:f>TODAY()-E133</x:f>
        <x:v>38</x:v>
      </x:c>
      <x:c r="M133" s="3" t="str">
        <x:f>IF(L133&lt;=30,"Current",IF(L133&lt;=60,"31-60",IF(L133&lt;=90,"61-90","90+")))</x:f>
        <x:v>31-60</x:v>
      </x:c>
      <x:c r="N133" s="3" t="str">
        <x:f>IF(OR(M133="90+",I133&gt;150000,J133="Yes"),"High",IF(OR(M133="61-90",I133&gt;75000),"Medium","Low"))</x:f>
        <x:v>High</x:v>
      </x:c>
      <x:c r="O133" s="3" t="str">
        <x:f>IF(J133="Yes","Resolve dispute",IF(M133="90+","Escalate collections",IF(M133="61-90","Collector call","Standard follow-up")))</x:f>
        <x:v>Resolve dispute</x:v>
      </x:c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 t="str">
        <x:v>INV-10133</x:v>
      </x:c>
      <x:c r="B134" s="3" t="str">
        <x:v>Ironwood Systems</x:v>
      </x:c>
      <x:c r="C134" s="3" t="str">
        <x:v>SMB</x:v>
      </x:c>
      <x:c r="D134" s="3" t="str">
        <x:v>Nashville</x:v>
      </x:c>
      <x:c r="E134" s="3" t="n">
        <x:v>46070</x:v>
      </x:c>
      <x:c r="F134" s="3" t="n">
        <x:v>30</x:v>
      </x:c>
      <x:c r="G134" s="3" t="n">
        <x:v>46100</x:v>
      </x:c>
      <x:c r="H134" s="3" t="n">
        <x:v>50724</x:v>
      </x:c>
      <x:c r="I134" s="3" t="n">
        <x:v>38043</x:v>
      </x:c>
      <x:c r="J134" s="3" t="str">
        <x:v>No</x:v>
      </x:c>
      <x:c r="K134" s="3" t="str">
        <x:v>J. Chen</x:v>
      </x:c>
      <x:c r="L134" s="3" t="n">
        <x:f>TODAY()-E134</x:f>
        <x:v>75</x:v>
      </x:c>
      <x:c r="M134" s="3" t="str">
        <x:f>IF(L134&lt;=30,"Current",IF(L134&lt;=60,"31-60",IF(L134&lt;=90,"61-90","90+")))</x:f>
        <x:v>61-90</x:v>
      </x:c>
      <x:c r="N134" s="3" t="str">
        <x:f>IF(OR(M134="90+",I134&gt;150000,J134="Yes"),"High",IF(OR(M134="61-90",I134&gt;75000),"Medium","Low"))</x:f>
        <x:v>Medium</x:v>
      </x:c>
      <x:c r="O134" s="3" t="str">
        <x:f>IF(J134="Yes","Resolve dispute",IF(M134="90+","Escalate collections",IF(M134="61-90","Collector call","Standard follow-up")))</x:f>
        <x:v>Collector call</x:v>
      </x:c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 t="str">
        <x:v>INV-10134</x:v>
      </x:c>
      <x:c r="B135" s="3" t="str">
        <x:v>Metro Facilities</x:v>
      </x:c>
      <x:c r="C135" s="3" t="str">
        <x:v>Healthcare</x:v>
      </x:c>
      <x:c r="D135" s="3" t="str">
        <x:v>Nashville</x:v>
      </x:c>
      <x:c r="E135" s="3" t="n">
        <x:v>46107</x:v>
      </x:c>
      <x:c r="F135" s="3" t="n">
        <x:v>45</x:v>
      </x:c>
      <x:c r="G135" s="3" t="n">
        <x:v>46152</x:v>
      </x:c>
      <x:c r="H135" s="3" t="n">
        <x:v>170398</x:v>
      </x:c>
      <x:c r="I135" s="3" t="n">
        <x:v>170398</x:v>
      </x:c>
      <x:c r="J135" s="3" t="str">
        <x:v>No</x:v>
      </x:c>
      <x:c r="K135" s="3" t="str">
        <x:v>S. Brooks</x:v>
      </x:c>
      <x:c r="L135" s="3" t="n">
        <x:f>TODAY()-E135</x:f>
        <x:v>38</x:v>
      </x:c>
      <x:c r="M135" s="3" t="str">
        <x:f>IF(L135&lt;=30,"Current",IF(L135&lt;=60,"31-60",IF(L135&lt;=90,"61-90","90+")))</x:f>
        <x:v>31-60</x:v>
      </x:c>
      <x:c r="N135" s="3" t="str">
        <x:f>IF(OR(M135="90+",I135&gt;150000,J135="Yes"),"High",IF(OR(M135="61-90",I135&gt;75000),"Medium","Low"))</x:f>
        <x:v>High</x:v>
      </x:c>
      <x:c r="O135" s="3" t="str">
        <x:f>IF(J135="Yes","Resolve dispute",IF(M135="90+","Escalate collections",IF(M135="61-90","Collector call","Standard follow-up")))</x:f>
        <x:v>Standard follow-up</x:v>
      </x:c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 t="str">
        <x:v>INV-10135</x:v>
      </x:c>
      <x:c r="B136" s="3" t="str">
        <x:v>Northstar Medical</x:v>
      </x:c>
      <x:c r="C136" s="3" t="str">
        <x:v>Mid-Market</x:v>
      </x:c>
      <x:c r="D136" s="3" t="str">
        <x:v>Phoenix</x:v>
      </x:c>
      <x:c r="E136" s="3" t="n">
        <x:v>46066</x:v>
      </x:c>
      <x:c r="F136" s="3" t="n">
        <x:v>45</x:v>
      </x:c>
      <x:c r="G136" s="3" t="n">
        <x:v>46111</x:v>
      </x:c>
      <x:c r="H136" s="3" t="n">
        <x:v>313366</x:v>
      </x:c>
      <x:c r="I136" s="3" t="n">
        <x:v>313366</x:v>
      </x:c>
      <x:c r="J136" s="3" t="str">
        <x:v>No</x:v>
      </x:c>
      <x:c r="K136" s="3" t="str">
        <x:v>J. Chen</x:v>
      </x:c>
      <x:c r="L136" s="3" t="n">
        <x:f>TODAY()-E136</x:f>
        <x:v>79</x:v>
      </x:c>
      <x:c r="M136" s="3" t="str">
        <x:f>IF(L136&lt;=30,"Current",IF(L136&lt;=60,"31-60",IF(L136&lt;=90,"61-90","90+")))</x:f>
        <x:v>61-90</x:v>
      </x:c>
      <x:c r="N136" s="3" t="str">
        <x:f>IF(OR(M136="90+",I136&gt;150000,J136="Yes"),"High",IF(OR(M136="61-90",I136&gt;75000),"Medium","Low"))</x:f>
        <x:v>High</x:v>
      </x:c>
      <x:c r="O136" s="3" t="str">
        <x:f>IF(J136="Yes","Resolve dispute",IF(M136="90+","Escalate collections",IF(M136="61-90","Collector call","Standard follow-up")))</x:f>
        <x:v>Collector call</x:v>
      </x:c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 t="str">
        <x:v>INV-10136</x:v>
      </x:c>
      <x:c r="B137" s="3" t="str">
        <x:v>Apex Industrial</x:v>
      </x:c>
      <x:c r="C137" s="3" t="str">
        <x:v>Healthcare</x:v>
      </x:c>
      <x:c r="D137" s="3" t="str">
        <x:v>Atlanta</x:v>
      </x:c>
      <x:c r="E137" s="3" t="n">
        <x:v>46138</x:v>
      </x:c>
      <x:c r="F137" s="3" t="n">
        <x:v>60</x:v>
      </x:c>
      <x:c r="G137" s="3" t="n">
        <x:v>46198</x:v>
      </x:c>
      <x:c r="H137" s="3" t="n">
        <x:v>371556</x:v>
      </x:c>
      <x:c r="I137" s="3" t="n">
        <x:v>92889</x:v>
      </x:c>
      <x:c r="J137" s="3" t="str">
        <x:v>No</x:v>
      </x:c>
      <x:c r="K137" s="3" t="str">
        <x:v>S. Brooks</x:v>
      </x:c>
      <x:c r="L137" s="3" t="n">
        <x:f>TODAY()-E137</x:f>
        <x:v>7</x:v>
      </x:c>
      <x:c r="M137" s="3" t="str">
        <x:f>IF(L137&lt;=30,"Current",IF(L137&lt;=60,"31-60",IF(L137&lt;=90,"61-90","90+")))</x:f>
        <x:v>Current</x:v>
      </x:c>
      <x:c r="N137" s="3" t="str">
        <x:f>IF(OR(M137="90+",I137&gt;150000,J137="Yes"),"High",IF(OR(M137="61-90",I137&gt;75000),"Medium","Low"))</x:f>
        <x:v>Medium</x:v>
      </x:c>
      <x:c r="O137" s="3" t="str">
        <x:f>IF(J137="Yes","Resolve dispute",IF(M137="90+","Escalate collections",IF(M137="61-90","Collector call","Standard follow-up")))</x:f>
        <x:v>Standard follow-up</x:v>
      </x:c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 t="str">
        <x:v>INV-10137</x:v>
      </x:c>
      <x:c r="B138" s="3" t="str">
        <x:v>BrightPath Clinics</x:v>
      </x:c>
      <x:c r="C138" s="3" t="str">
        <x:v>SMB</x:v>
      </x:c>
      <x:c r="D138" s="3" t="str">
        <x:v>Dallas</x:v>
      </x:c>
      <x:c r="E138" s="3" t="n">
        <x:v>46062</x:v>
      </x:c>
      <x:c r="F138" s="3" t="n">
        <x:v>45</x:v>
      </x:c>
      <x:c r="G138" s="3" t="n">
        <x:v>46107</x:v>
      </x:c>
      <x:c r="H138" s="3" t="n">
        <x:v>126821</x:v>
      </x:c>
      <x:c r="I138" s="3" t="n">
        <x:v>31705</x:v>
      </x:c>
      <x:c r="J138" s="3" t="str">
        <x:v>No</x:v>
      </x:c>
      <x:c r="K138" s="3" t="str">
        <x:v>J. Chen</x:v>
      </x:c>
      <x:c r="L138" s="3" t="n">
        <x:f>TODAY()-E138</x:f>
        <x:v>83</x:v>
      </x:c>
      <x:c r="M138" s="3" t="str">
        <x:f>IF(L138&lt;=30,"Current",IF(L138&lt;=60,"31-60",IF(L138&lt;=90,"61-90","90+")))</x:f>
        <x:v>61-90</x:v>
      </x:c>
      <x:c r="N138" s="3" t="str">
        <x:f>IF(OR(M138="90+",I138&gt;150000,J138="Yes"),"High",IF(OR(M138="61-90",I138&gt;75000),"Medium","Low"))</x:f>
        <x:v>Medium</x:v>
      </x:c>
      <x:c r="O138" s="3" t="str">
        <x:f>IF(J138="Yes","Resolve dispute",IF(M138="90+","Escalate collections",IF(M138="61-90","Collector call","Standard follow-up")))</x:f>
        <x:v>Collector call</x:v>
      </x:c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 t="str">
        <x:v>INV-10138</x:v>
      </x:c>
      <x:c r="B139" s="3" t="str">
        <x:v>Metro Facilities</x:v>
      </x:c>
      <x:c r="C139" s="3" t="str">
        <x:v>Mid-Market</x:v>
      </x:c>
      <x:c r="D139" s="3" t="str">
        <x:v>Nashville</x:v>
      </x:c>
      <x:c r="E139" s="3" t="n">
        <x:v>46127</x:v>
      </x:c>
      <x:c r="F139" s="3" t="n">
        <x:v>30</x:v>
      </x:c>
      <x:c r="G139" s="3" t="n">
        <x:v>46157</x:v>
      </x:c>
      <x:c r="H139" s="3" t="n">
        <x:v>173969</x:v>
      </x:c>
      <x:c r="I139" s="3" t="n">
        <x:v>130477</x:v>
      </x:c>
      <x:c r="J139" s="3" t="str">
        <x:v>Yes</x:v>
      </x:c>
      <x:c r="K139" s="3" t="str">
        <x:v>J. Chen</x:v>
      </x:c>
      <x:c r="L139" s="3" t="n">
        <x:f>TODAY()-E139</x:f>
        <x:v>18</x:v>
      </x:c>
      <x:c r="M139" s="3" t="str">
        <x:f>IF(L139&lt;=30,"Current",IF(L139&lt;=60,"31-60",IF(L139&lt;=90,"61-90","90+")))</x:f>
        <x:v>Current</x:v>
      </x:c>
      <x:c r="N139" s="3" t="str">
        <x:f>IF(OR(M139="90+",I139&gt;150000,J139="Yes"),"High",IF(OR(M139="61-90",I139&gt;75000),"Medium","Low"))</x:f>
        <x:v>High</x:v>
      </x:c>
      <x:c r="O139" s="3" t="str">
        <x:f>IF(J139="Yes","Resolve dispute",IF(M139="90+","Escalate collections",IF(M139="61-90","Collector call","Standard follow-up")))</x:f>
        <x:v>Resolve dispute</x:v>
      </x:c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 t="str">
        <x:v>INV-10139</x:v>
      </x:c>
      <x:c r="B140" s="3" t="str">
        <x:v>Evergreen Labs</x:v>
      </x:c>
      <x:c r="C140" s="3" t="str">
        <x:v>Mid-Market</x:v>
      </x:c>
      <x:c r="D140" s="3" t="str">
        <x:v>Chicago</x:v>
      </x:c>
      <x:c r="E140" s="3" t="n">
        <x:v>46102</x:v>
      </x:c>
      <x:c r="F140" s="3" t="n">
        <x:v>45</x:v>
      </x:c>
      <x:c r="G140" s="3" t="n">
        <x:v>46147</x:v>
      </x:c>
      <x:c r="H140" s="3" t="n">
        <x:v>403895</x:v>
      </x:c>
      <x:c r="I140" s="3" t="n">
        <x:v>302921</x:v>
      </x:c>
      <x:c r="J140" s="3" t="str">
        <x:v>No</x:v>
      </x:c>
      <x:c r="K140" s="3" t="str">
        <x:v>M. Rivera</x:v>
      </x:c>
      <x:c r="L140" s="3" t="n">
        <x:f>TODAY()-E140</x:f>
        <x:v>43</x:v>
      </x:c>
      <x:c r="M140" s="3" t="str">
        <x:f>IF(L140&lt;=30,"Current",IF(L140&lt;=60,"31-60",IF(L140&lt;=90,"61-90","90+")))</x:f>
        <x:v>31-60</x:v>
      </x:c>
      <x:c r="N140" s="3" t="str">
        <x:f>IF(OR(M140="90+",I140&gt;150000,J140="Yes"),"High",IF(OR(M140="61-90",I140&gt;75000),"Medium","Low"))</x:f>
        <x:v>High</x:v>
      </x:c>
      <x:c r="O140" s="3" t="str">
        <x:f>IF(J140="Yes","Resolve dispute",IF(M140="90+","Escalate collections",IF(M140="61-90","Collector call","Standard follow-up")))</x:f>
        <x:v>Standard follow-up</x:v>
      </x:c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 t="str">
        <x:v>INV-10140</x:v>
      </x:c>
      <x:c r="B141" s="3" t="str">
        <x:v>Prairie Logistics</x:v>
      </x:c>
      <x:c r="C141" s="3" t="str">
        <x:v>Industrial</x:v>
      </x:c>
      <x:c r="D141" s="3" t="str">
        <x:v>Atlanta</x:v>
      </x:c>
      <x:c r="E141" s="3" t="n">
        <x:v>46072</x:v>
      </x:c>
      <x:c r="F141" s="3" t="n">
        <x:v>60</x:v>
      </x:c>
      <x:c r="G141" s="3" t="n">
        <x:v>46132</x:v>
      </x:c>
      <x:c r="H141" s="3" t="n">
        <x:v>154882</x:v>
      </x:c>
      <x:c r="I141" s="3" t="n">
        <x:v>154882</x:v>
      </x:c>
      <x:c r="J141" s="3" t="str">
        <x:v>No</x:v>
      </x:c>
      <x:c r="K141" s="3" t="str">
        <x:v>S. Brooks</x:v>
      </x:c>
      <x:c r="L141" s="3" t="n">
        <x:f>TODAY()-E141</x:f>
        <x:v>73</x:v>
      </x:c>
      <x:c r="M141" s="3" t="str">
        <x:f>IF(L141&lt;=30,"Current",IF(L141&lt;=60,"31-60",IF(L141&lt;=90,"61-90","90+")))</x:f>
        <x:v>61-90</x:v>
      </x:c>
      <x:c r="N141" s="3" t="str">
        <x:f>IF(OR(M141="90+",I141&gt;150000,J141="Yes"),"High",IF(OR(M141="61-90",I141&gt;75000),"Medium","Low"))</x:f>
        <x:v>High</x:v>
      </x:c>
      <x:c r="O141" s="3" t="str">
        <x:f>IF(J141="Yes","Resolve dispute",IF(M141="90+","Escalate collections",IF(M141="61-90","Collector call","Standard follow-up")))</x:f>
        <x:v>Collector call</x:v>
      </x:c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 t="str">
        <x:v>INV-10141</x:v>
      </x:c>
      <x:c r="B142" s="3" t="str">
        <x:v>Prairie Logistics</x:v>
      </x:c>
      <x:c r="C142" s="3" t="str">
        <x:v>SMB</x:v>
      </x:c>
      <x:c r="D142" s="3" t="str">
        <x:v>Nashville</x:v>
      </x:c>
      <x:c r="E142" s="3" t="n">
        <x:v>46028</x:v>
      </x:c>
      <x:c r="F142" s="3" t="n">
        <x:v>45</x:v>
      </x:c>
      <x:c r="G142" s="3" t="n">
        <x:v>46073</x:v>
      </x:c>
      <x:c r="H142" s="3" t="n">
        <x:v>433649</x:v>
      </x:c>
      <x:c r="I142" s="3" t="n">
        <x:v>433649</x:v>
      </x:c>
      <x:c r="J142" s="3" t="str">
        <x:v>No</x:v>
      </x:c>
      <x:c r="K142" s="3" t="str">
        <x:v>A. Patel</x:v>
      </x:c>
      <x:c r="L142" s="3" t="n">
        <x:f>TODAY()-E142</x:f>
        <x:v>117</x:v>
      </x:c>
      <x:c r="M142" s="3" t="str">
        <x:f>IF(L142&lt;=30,"Current",IF(L142&lt;=60,"31-60",IF(L142&lt;=90,"61-90","90+")))</x:f>
        <x:v>90+</x:v>
      </x:c>
      <x:c r="N142" s="3" t="str">
        <x:f>IF(OR(M142="90+",I142&gt;150000,J142="Yes"),"High",IF(OR(M142="61-90",I142&gt;75000),"Medium","Low"))</x:f>
        <x:v>High</x:v>
      </x:c>
      <x:c r="O142" s="3" t="str">
        <x:f>IF(J142="Yes","Resolve dispute",IF(M142="90+","Escalate collections",IF(M142="61-90","Collector call","Standard follow-up")))</x:f>
        <x:v>Escalate collections</x:v>
      </x:c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 t="str">
        <x:v>INV-10142</x:v>
      </x:c>
      <x:c r="B143" s="3" t="str">
        <x:v>Riverbend Supply</x:v>
      </x:c>
      <x:c r="C143" s="3" t="str">
        <x:v>Mid-Market</x:v>
      </x:c>
      <x:c r="D143" s="3" t="str">
        <x:v>Nashville</x:v>
      </x:c>
      <x:c r="E143" s="3" t="n">
        <x:v>46047</x:v>
      </x:c>
      <x:c r="F143" s="3" t="n">
        <x:v>45</x:v>
      </x:c>
      <x:c r="G143" s="3" t="n">
        <x:v>46092</x:v>
      </x:c>
      <x:c r="H143" s="3" t="n">
        <x:v>433835</x:v>
      </x:c>
      <x:c r="I143" s="3" t="n">
        <x:v>216918</x:v>
      </x:c>
      <x:c r="J143" s="3" t="str">
        <x:v>No</x:v>
      </x:c>
      <x:c r="K143" s="3" t="str">
        <x:v>S. Brooks</x:v>
      </x:c>
      <x:c r="L143" s="3" t="n">
        <x:f>TODAY()-E143</x:f>
        <x:v>98</x:v>
      </x:c>
      <x:c r="M143" s="3" t="str">
        <x:f>IF(L143&lt;=30,"Current",IF(L143&lt;=60,"31-60",IF(L143&lt;=90,"61-90","90+")))</x:f>
        <x:v>90+</x:v>
      </x:c>
      <x:c r="N143" s="3" t="str">
        <x:f>IF(OR(M143="90+",I143&gt;150000,J143="Yes"),"High",IF(OR(M143="61-90",I143&gt;75000),"Medium","Low"))</x:f>
        <x:v>High</x:v>
      </x:c>
      <x:c r="O143" s="3" t="str">
        <x:f>IF(J143="Yes","Resolve dispute",IF(M143="90+","Escalate collections",IF(M143="61-90","Collector call","Standard follow-up")))</x:f>
        <x:v>Escalate collections</x:v>
      </x:c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 t="str">
        <x:v>INV-10143</x:v>
      </x:c>
      <x:c r="B144" s="3" t="str">
        <x:v>Apex Industrial</x:v>
      </x:c>
      <x:c r="C144" s="3" t="str">
        <x:v>SMB</x:v>
      </x:c>
      <x:c r="D144" s="3" t="str">
        <x:v>Columbus</x:v>
      </x:c>
      <x:c r="E144" s="3" t="n">
        <x:v>46124</x:v>
      </x:c>
      <x:c r="F144" s="3" t="n">
        <x:v>45</x:v>
      </x:c>
      <x:c r="G144" s="3" t="n">
        <x:v>46169</x:v>
      </x:c>
      <x:c r="H144" s="3" t="n">
        <x:v>205245</x:v>
      </x:c>
      <x:c r="I144" s="3" t="n">
        <x:v>51311</x:v>
      </x:c>
      <x:c r="J144" s="3" t="str">
        <x:v>No</x:v>
      </x:c>
      <x:c r="K144" s="3" t="str">
        <x:v>J. Chen</x:v>
      </x:c>
      <x:c r="L144" s="3" t="n">
        <x:f>TODAY()-E144</x:f>
        <x:v>21</x:v>
      </x:c>
      <x:c r="M144" s="3" t="str">
        <x:f>IF(L144&lt;=30,"Current",IF(L144&lt;=60,"31-60",IF(L144&lt;=90,"61-90","90+")))</x:f>
        <x:v>Current</x:v>
      </x:c>
      <x:c r="N144" s="3" t="str">
        <x:f>IF(OR(M144="90+",I144&gt;150000,J144="Yes"),"High",IF(OR(M144="61-90",I144&gt;75000),"Medium","Low"))</x:f>
        <x:v>Low</x:v>
      </x:c>
      <x:c r="O144" s="3" t="str">
        <x:f>IF(J144="Yes","Resolve dispute",IF(M144="90+","Escalate collections",IF(M144="61-90","Collector call","Standard follow-up")))</x:f>
        <x:v>Standard follow-up</x:v>
      </x:c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 t="str">
        <x:v>INV-10144</x:v>
      </x:c>
      <x:c r="B145" s="3" t="str">
        <x:v>Vantage Components</x:v>
      </x:c>
      <x:c r="C145" s="3" t="str">
        <x:v>Healthcare</x:v>
      </x:c>
      <x:c r="D145" s="3" t="str">
        <x:v>Nashville</x:v>
      </x:c>
      <x:c r="E145" s="3" t="n">
        <x:v>46092</x:v>
      </x:c>
      <x:c r="F145" s="3" t="n">
        <x:v>30</x:v>
      </x:c>
      <x:c r="G145" s="3" t="n">
        <x:v>46122</x:v>
      </x:c>
      <x:c r="H145" s="3" t="n">
        <x:v>365808</x:v>
      </x:c>
      <x:c r="I145" s="3" t="n">
        <x:v>365808</x:v>
      </x:c>
      <x:c r="J145" s="3" t="str">
        <x:v>No</x:v>
      </x:c>
      <x:c r="K145" s="3" t="str">
        <x:v>J. Chen</x:v>
      </x:c>
      <x:c r="L145" s="3" t="n">
        <x:f>TODAY()-E145</x:f>
        <x:v>53</x:v>
      </x:c>
      <x:c r="M145" s="3" t="str">
        <x:f>IF(L145&lt;=30,"Current",IF(L145&lt;=60,"31-60",IF(L145&lt;=90,"61-90","90+")))</x:f>
        <x:v>31-60</x:v>
      </x:c>
      <x:c r="N145" s="3" t="str">
        <x:f>IF(OR(M145="90+",I145&gt;150000,J145="Yes"),"High",IF(OR(M145="61-90",I145&gt;75000),"Medium","Low"))</x:f>
        <x:v>High</x:v>
      </x:c>
      <x:c r="O145" s="3" t="str">
        <x:f>IF(J145="Yes","Resolve dispute",IF(M145="90+","Escalate collections",IF(M145="61-90","Collector call","Standard follow-up")))</x:f>
        <x:v>Standard follow-up</x:v>
      </x:c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 t="str">
        <x:v>INV-10145</x:v>
      </x:c>
      <x:c r="B146" s="3" t="str">
        <x:v>Ironwood Systems</x:v>
      </x:c>
      <x:c r="C146" s="3" t="str">
        <x:v>Industrial</x:v>
      </x:c>
      <x:c r="D146" s="3" t="str">
        <x:v>Dallas</x:v>
      </x:c>
      <x:c r="E146" s="3" t="n">
        <x:v>46057</x:v>
      </x:c>
      <x:c r="F146" s="3" t="n">
        <x:v>30</x:v>
      </x:c>
      <x:c r="G146" s="3" t="n">
        <x:v>46087</x:v>
      </x:c>
      <x:c r="H146" s="3" t="n">
        <x:v>345134</x:v>
      </x:c>
      <x:c r="I146" s="3" t="n">
        <x:v>258850</x:v>
      </x:c>
      <x:c r="J146" s="3" t="str">
        <x:v>No</x:v>
      </x:c>
      <x:c r="K146" s="3" t="str">
        <x:v>J. Chen</x:v>
      </x:c>
      <x:c r="L146" s="3" t="n">
        <x:f>TODAY()-E146</x:f>
        <x:v>88</x:v>
      </x:c>
      <x:c r="M146" s="3" t="str">
        <x:f>IF(L146&lt;=30,"Current",IF(L146&lt;=60,"31-60",IF(L146&lt;=90,"61-90","90+")))</x:f>
        <x:v>61-90</x:v>
      </x:c>
      <x:c r="N146" s="3" t="str">
        <x:f>IF(OR(M146="90+",I146&gt;150000,J146="Yes"),"High",IF(OR(M146="61-90",I146&gt;75000),"Medium","Low"))</x:f>
        <x:v>High</x:v>
      </x:c>
      <x:c r="O146" s="3" t="str">
        <x:f>IF(J146="Yes","Resolve dispute",IF(M146="90+","Escalate collections",IF(M146="61-90","Collector call","Standard follow-up")))</x:f>
        <x:v>Collector call</x:v>
      </x:c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 t="str">
        <x:v>INV-10146</x:v>
      </x:c>
      <x:c r="B147" s="3" t="str">
        <x:v>Metro Facilities</x:v>
      </x:c>
      <x:c r="C147" s="3" t="str">
        <x:v>Healthcare</x:v>
      </x:c>
      <x:c r="D147" s="3" t="str">
        <x:v>Chicago</x:v>
      </x:c>
      <x:c r="E147" s="3" t="n">
        <x:v>46122</x:v>
      </x:c>
      <x:c r="F147" s="3" t="n">
        <x:v>30</x:v>
      </x:c>
      <x:c r="G147" s="3" t="n">
        <x:v>46152</x:v>
      </x:c>
      <x:c r="H147" s="3" t="n">
        <x:v>31509</x:v>
      </x:c>
      <x:c r="I147" s="3" t="n">
        <x:v>31509</x:v>
      </x:c>
      <x:c r="J147" s="3" t="str">
        <x:v>No</x:v>
      </x:c>
      <x:c r="K147" s="3" t="str">
        <x:v>A. Patel</x:v>
      </x:c>
      <x:c r="L147" s="3" t="n">
        <x:f>TODAY()-E147</x:f>
        <x:v>23</x:v>
      </x:c>
      <x:c r="M147" s="3" t="str">
        <x:f>IF(L147&lt;=30,"Current",IF(L147&lt;=60,"31-60",IF(L147&lt;=90,"61-90","90+")))</x:f>
        <x:v>Current</x:v>
      </x:c>
      <x:c r="N147" s="3" t="str">
        <x:f>IF(OR(M147="90+",I147&gt;150000,J147="Yes"),"High",IF(OR(M147="61-90",I147&gt;75000),"Medium","Low"))</x:f>
        <x:v>Low</x:v>
      </x:c>
      <x:c r="O147" s="3" t="str">
        <x:f>IF(J147="Yes","Resolve dispute",IF(M147="90+","Escalate collections",IF(M147="61-90","Collector call","Standard follow-up")))</x:f>
        <x:v>Standard follow-up</x:v>
      </x:c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 t="str">
        <x:v>INV-10147</x:v>
      </x:c>
      <x:c r="B148" s="3" t="str">
        <x:v>Northstar Medical</x:v>
      </x:c>
      <x:c r="C148" s="3" t="str">
        <x:v>Mid-Market</x:v>
      </x:c>
      <x:c r="D148" s="3" t="str">
        <x:v>Columbus</x:v>
      </x:c>
      <x:c r="E148" s="3" t="n">
        <x:v>46122</x:v>
      </x:c>
      <x:c r="F148" s="3" t="n">
        <x:v>45</x:v>
      </x:c>
      <x:c r="G148" s="3" t="n">
        <x:v>46167</x:v>
      </x:c>
      <x:c r="H148" s="3" t="n">
        <x:v>249839</x:v>
      </x:c>
      <x:c r="I148" s="3" t="n">
        <x:v>249839</x:v>
      </x:c>
      <x:c r="J148" s="3" t="str">
        <x:v>No</x:v>
      </x:c>
      <x:c r="K148" s="3" t="str">
        <x:v>S. Brooks</x:v>
      </x:c>
      <x:c r="L148" s="3" t="n">
        <x:f>TODAY()-E148</x:f>
        <x:v>23</x:v>
      </x:c>
      <x:c r="M148" s="3" t="str">
        <x:f>IF(L148&lt;=30,"Current",IF(L148&lt;=60,"31-60",IF(L148&lt;=90,"61-90","90+")))</x:f>
        <x:v>Current</x:v>
      </x:c>
      <x:c r="N148" s="3" t="str">
        <x:f>IF(OR(M148="90+",I148&gt;150000,J148="Yes"),"High",IF(OR(M148="61-90",I148&gt;75000),"Medium","Low"))</x:f>
        <x:v>High</x:v>
      </x:c>
      <x:c r="O148" s="3" t="str">
        <x:f>IF(J148="Yes","Resolve dispute",IF(M148="90+","Escalate collections",IF(M148="61-90","Collector call","Standard follow-up")))</x:f>
        <x:v>Standard follow-up</x:v>
      </x:c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 t="str">
        <x:v>INV-10148</x:v>
      </x:c>
      <x:c r="B149" s="3" t="str">
        <x:v>Vantage Components</x:v>
      </x:c>
      <x:c r="C149" s="3" t="str">
        <x:v>Mid-Market</x:v>
      </x:c>
      <x:c r="D149" s="3" t="str">
        <x:v>Phoenix</x:v>
      </x:c>
      <x:c r="E149" s="3" t="n">
        <x:v>46056</x:v>
      </x:c>
      <x:c r="F149" s="3" t="n">
        <x:v>30</x:v>
      </x:c>
      <x:c r="G149" s="3" t="n">
        <x:v>46086</x:v>
      </x:c>
      <x:c r="H149" s="3" t="n">
        <x:v>449095</x:v>
      </x:c>
      <x:c r="I149" s="3" t="n">
        <x:v>336821</x:v>
      </x:c>
      <x:c r="J149" s="3" t="str">
        <x:v>No</x:v>
      </x:c>
      <x:c r="K149" s="3" t="str">
        <x:v>J. Chen</x:v>
      </x:c>
      <x:c r="L149" s="3" t="n">
        <x:f>TODAY()-E149</x:f>
        <x:v>89</x:v>
      </x:c>
      <x:c r="M149" s="3" t="str">
        <x:f>IF(L149&lt;=30,"Current",IF(L149&lt;=60,"31-60",IF(L149&lt;=90,"61-90","90+")))</x:f>
        <x:v>61-90</x:v>
      </x:c>
      <x:c r="N149" s="3" t="str">
        <x:f>IF(OR(M149="90+",I149&gt;150000,J149="Yes"),"High",IF(OR(M149="61-90",I149&gt;75000),"Medium","Low"))</x:f>
        <x:v>High</x:v>
      </x:c>
      <x:c r="O149" s="3" t="str">
        <x:f>IF(J149="Yes","Resolve dispute",IF(M149="90+","Escalate collections",IF(M149="61-90","Collector call","Standard follow-up")))</x:f>
        <x:v>Collector call</x:v>
      </x:c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 t="str">
        <x:v>INV-10149</x:v>
      </x:c>
      <x:c r="B150" s="3" t="str">
        <x:v>Apex Industrial</x:v>
      </x:c>
      <x:c r="C150" s="3" t="str">
        <x:v>SMB</x:v>
      </x:c>
      <x:c r="D150" s="3" t="str">
        <x:v>Dallas</x:v>
      </x:c>
      <x:c r="E150" s="3" t="n">
        <x:v>46083</x:v>
      </x:c>
      <x:c r="F150" s="3" t="n">
        <x:v>45</x:v>
      </x:c>
      <x:c r="G150" s="3" t="n">
        <x:v>46128</x:v>
      </x:c>
      <x:c r="H150" s="3" t="n">
        <x:v>135791</x:v>
      </x:c>
      <x:c r="I150" s="3" t="n">
        <x:v>135791</x:v>
      </x:c>
      <x:c r="J150" s="3" t="str">
        <x:v>Yes</x:v>
      </x:c>
      <x:c r="K150" s="3" t="str">
        <x:v>J. Chen</x:v>
      </x:c>
      <x:c r="L150" s="3" t="n">
        <x:f>TODAY()-E150</x:f>
        <x:v>62</x:v>
      </x:c>
      <x:c r="M150" s="3" t="str">
        <x:f>IF(L150&lt;=30,"Current",IF(L150&lt;=60,"31-60",IF(L150&lt;=90,"61-90","90+")))</x:f>
        <x:v>61-90</x:v>
      </x:c>
      <x:c r="N150" s="3" t="str">
        <x:f>IF(OR(M150="90+",I150&gt;150000,J150="Yes"),"High",IF(OR(M150="61-90",I150&gt;75000),"Medium","Low"))</x:f>
        <x:v>High</x:v>
      </x:c>
      <x:c r="O150" s="3" t="str">
        <x:f>IF(J150="Yes","Resolve dispute",IF(M150="90+","Escalate collections",IF(M150="61-90","Collector call","Standard follow-up")))</x:f>
        <x:v>Resolve dispute</x:v>
      </x:c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 t="str">
        <x:v>INV-10150</x:v>
      </x:c>
      <x:c r="B151" s="3" t="str">
        <x:v>Oakline Retail</x:v>
      </x:c>
      <x:c r="C151" s="3" t="str">
        <x:v>SMB</x:v>
      </x:c>
      <x:c r="D151" s="3" t="str">
        <x:v>Chicago</x:v>
      </x:c>
      <x:c r="E151" s="3" t="n">
        <x:v>46089</x:v>
      </x:c>
      <x:c r="F151" s="3" t="n">
        <x:v>45</x:v>
      </x:c>
      <x:c r="G151" s="3" t="n">
        <x:v>46134</x:v>
      </x:c>
      <x:c r="H151" s="3" t="n">
        <x:v>111514</x:v>
      </x:c>
      <x:c r="I151" s="3" t="n">
        <x:v>111514</x:v>
      </x:c>
      <x:c r="J151" s="3" t="str">
        <x:v>No</x:v>
      </x:c>
      <x:c r="K151" s="3" t="str">
        <x:v>S. Brooks</x:v>
      </x:c>
      <x:c r="L151" s="3" t="n">
        <x:f>TODAY()-E151</x:f>
        <x:v>56</x:v>
      </x:c>
      <x:c r="M151" s="3" t="str">
        <x:f>IF(L151&lt;=30,"Current",IF(L151&lt;=60,"31-60",IF(L151&lt;=90,"61-90","90+")))</x:f>
        <x:v>31-60</x:v>
      </x:c>
      <x:c r="N151" s="3" t="str">
        <x:f>IF(OR(M151="90+",I151&gt;150000,J151="Yes"),"High",IF(OR(M151="61-90",I151&gt;75000),"Medium","Low"))</x:f>
        <x:v>Medium</x:v>
      </x:c>
      <x:c r="O151" s="3" t="str">
        <x:f>IF(J151="Yes","Resolve dispute",IF(M151="90+","Escalate collections",IF(M151="61-90","Collector call","Standard follow-up")))</x:f>
        <x:v>Standard follow-up</x:v>
      </x:c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conditionalFormatting sqref="I2:I151">
    <x:cfRule type="dataBar" priority="1">
      <x:dataBar>
        <x:cfvo type="min"/>
        <x:cfvo type="max"/>
        <x:color rgb="B8862F"/>
      </x:dataBar>
      <x:extLst>
        <x:ext xmlns:x14="http://schemas.microsoft.com/office/spreadsheetml/2009/9/main" uri="{B025F937-C7B1-47D3-B67F-A62EFF666E3E}">
          <x14:id>{2A9E6D62-ABEA-D479-5790-FB9473D33B2D}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c11e4c5f1aa4d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A9E6D62-ABEA-D479-5790-FB9473D33B2D}">
            <x14:dataBar gradient="1">
              <x14:cfvo type="min"/>
              <x14:cfvo type="max"/>
              <x14:fillColor rgb="B8862F"/>
            </x14:dataBar>
          </x14:cfRule>
          <xm:sqref>I2:I151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5" t="str">
        <x:v>SKU</x:v>
      </x:c>
      <x:c r="B1" s="35" t="str">
        <x:v>Category</x:v>
      </x:c>
      <x:c r="C1" s="35" t="str">
        <x:v>Site</x:v>
      </x:c>
      <x:c r="D1" s="35" t="str">
        <x:v>On Hand Units</x:v>
      </x:c>
      <x:c r="E1" s="40" t="str">
        <x:v>Unit Cost ($)</x:v>
      </x:c>
      <x:c r="F1" s="40" t="str">
        <x:v>Annual COGS ($)</x:v>
      </x:c>
      <x:c r="G1" s="35" t="str">
        <x:v>Obsolete?</x:v>
      </x:c>
      <x:c r="H1" s="35" t="str">
        <x:v>Excess?</x:v>
      </x:c>
      <x:c r="I1" s="40" t="str">
        <x:v>Inventory Value ($)</x:v>
      </x:c>
      <x:c r="J1" s="44" t="str">
        <x:v>DIO</x:v>
      </x:c>
      <x:c r="K1" s="44" t="str">
        <x:v>Turns</x:v>
      </x:c>
      <x:c r="L1" s="35" t="str">
        <x:v>Action</x:v>
      </x:c>
      <x:c r="M1" s="40" t="str">
        <x:v>Cash Release Candidate ($)</x:v>
      </x:c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3" t="str">
        <x:v>SKU-20001</x:v>
      </x:c>
      <x:c r="B2" s="3" t="str">
        <x:v>Finished Goods</x:v>
      </x:c>
      <x:c r="C2" s="3" t="str">
        <x:v>Nashville</x:v>
      </x:c>
      <x:c r="D2" s="3" t="n">
        <x:v>1787</x:v>
      </x:c>
      <x:c r="E2" s="3" t="n">
        <x:v>419.97</x:v>
      </x:c>
      <x:c r="F2" s="3" t="n">
        <x:v>3948003</x:v>
      </x:c>
      <x:c r="G2" s="3" t="str">
        <x:v>Yes</x:v>
      </x:c>
      <x:c r="H2" s="3" t="str">
        <x:v>No</x:v>
      </x:c>
      <x:c r="I2" s="3" t="n">
        <x:f>D2*E2</x:f>
        <x:v>750486.39</x:v>
      </x:c>
      <x:c r="J2" s="3" t="n">
        <x:f>IFERROR(I2/F2*365,0)</x:f>
        <x:v>69.38382071898121</x:v>
      </x:c>
      <x:c r="K2" s="3" t="n">
        <x:f>IFERROR(F2/I2,0)</x:f>
        <x:v>5.2605924006163525</x:v>
      </x:c>
      <x:c r="L2" s="3" t="str">
        <x:f>IF(G2="Yes","Liquidate/Write-down",IF(H2="Yes","Reduce safety stock",IF(J2&gt;90,"Replenishment review","Maintain")))</x:f>
        <x:v>Liquidate/Write-down</x:v>
      </x:c>
      <x:c r="M2" s="3" t="n">
        <x:f>IF(OR(G2="Yes",H2="Yes",J2&gt;90),I2*0.25,0)</x:f>
        <x:v>187621.5975</x:v>
      </x:c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 t="str">
        <x:v>SKU-20002</x:v>
      </x:c>
      <x:c r="B3" s="3" t="str">
        <x:v>Raw Materials</x:v>
      </x:c>
      <x:c r="C3" s="3" t="str">
        <x:v>Dallas</x:v>
      </x:c>
      <x:c r="D3" s="3" t="n">
        <x:v>4675</x:v>
      </x:c>
      <x:c r="E3" s="3" t="n">
        <x:v>139.74</x:v>
      </x:c>
      <x:c r="F3" s="3" t="n">
        <x:v>4470270</x:v>
      </x:c>
      <x:c r="G3" s="3" t="str">
        <x:v>No</x:v>
      </x:c>
      <x:c r="H3" s="3" t="str">
        <x:v>No</x:v>
      </x:c>
      <x:c r="I3" s="3" t="n">
        <x:f>D3*E3</x:f>
        <x:v>653284.5</x:v>
      </x:c>
      <x:c r="J3" s="3" t="n">
        <x:f>IFERROR(I3/F3*365,0)</x:f>
        <x:v>53.34103812521391</x:v>
      </x:c>
      <x:c r="K3" s="3" t="n">
        <x:f>IFERROR(F3/I3,0)</x:f>
        <x:v>6.842761461507199</x:v>
      </x:c>
      <x:c r="L3" s="3" t="str">
        <x:f>IF(G3="Yes","Liquidate/Write-down",IF(H3="Yes","Reduce safety stock",IF(J3&gt;90,"Replenishment review","Maintain")))</x:f>
        <x:v>Maintain</x:v>
      </x:c>
      <x:c r="M3" s="3" t="n">
        <x:f>IF(OR(G3="Yes",H3="Yes",J3&gt;90),I3*0.25,0)</x:f>
        <x:v>0</x:v>
      </x:c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tr">
        <x:v>SKU-20003</x:v>
      </x:c>
      <x:c r="B4" s="3" t="str">
        <x:v>Raw Materials</x:v>
      </x:c>
      <x:c r="C4" s="3" t="str">
        <x:v>Atlanta</x:v>
      </x:c>
      <x:c r="D4" s="3" t="n">
        <x:v>1258</x:v>
      </x:c>
      <x:c r="E4" s="3" t="n">
        <x:v>514.31</x:v>
      </x:c>
      <x:c r="F4" s="3" t="n">
        <x:v>3398491</x:v>
      </x:c>
      <x:c r="G4" s="3" t="str">
        <x:v>No</x:v>
      </x:c>
      <x:c r="H4" s="3" t="str">
        <x:v>No</x:v>
      </x:c>
      <x:c r="I4" s="3" t="n">
        <x:f>D4*E4</x:f>
        <x:v>647001.98</x:v>
      </x:c>
      <x:c r="J4" s="3" t="n">
        <x:f>IFERROR(I4/F4*365,0)</x:f>
        <x:v>69.4884060896439</x:v>
      </x:c>
      <x:c r="K4" s="3" t="n">
        <x:f>IFERROR(F4/I4,0)</x:f>
        <x:v>5.2526748063429425</x:v>
      </x:c>
      <x:c r="L4" s="3" t="str">
        <x:f>IF(G4="Yes","Liquidate/Write-down",IF(H4="Yes","Reduce safety stock",IF(J4&gt;90,"Replenishment review","Maintain")))</x:f>
        <x:v>Maintain</x:v>
      </x:c>
      <x:c r="M4" s="3" t="n">
        <x:f>IF(OR(G4="Yes",H4="Yes",J4&gt;90),I4*0.25,0)</x:f>
        <x:v>0</x:v>
      </x:c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v>SKU-20004</x:v>
      </x:c>
      <x:c r="B5" s="3" t="str">
        <x:v>Raw Materials</x:v>
      </x:c>
      <x:c r="C5" s="3" t="str">
        <x:v>Columbus</x:v>
      </x:c>
      <x:c r="D5" s="3" t="n">
        <x:v>2103</x:v>
      </x:c>
      <x:c r="E5" s="3" t="n">
        <x:v>520.65</x:v>
      </x:c>
      <x:c r="F5" s="3" t="n">
        <x:v>2132369</x:v>
      </x:c>
      <x:c r="G5" s="3" t="str">
        <x:v>No</x:v>
      </x:c>
      <x:c r="H5" s="3" t="str">
        <x:v>Yes</x:v>
      </x:c>
      <x:c r="I5" s="3" t="n">
        <x:f>D5*E5</x:f>
        <x:v>1094926.95</x:v>
      </x:c>
      <x:c r="J5" s="3" t="n">
        <x:f>IFERROR(I5/F5*365,0)</x:f>
        <x:v>187.41987749306054</x:v>
      </x:c>
      <x:c r="K5" s="3" t="n">
        <x:f>IFERROR(F5/I5,0)</x:f>
        <x:v>1.9474988719567092</x:v>
      </x:c>
      <x:c r="L5" s="3" t="str">
        <x:f>IF(G5="Yes","Liquidate/Write-down",IF(H5="Yes","Reduce safety stock",IF(J5&gt;90,"Replenishment review","Maintain")))</x:f>
        <x:v>Reduce safety stock</x:v>
      </x:c>
      <x:c r="M5" s="3" t="n">
        <x:f>IF(OR(G5="Yes",H5="Yes",J5&gt;90),I5*0.25,0)</x:f>
        <x:v>273731.7375</x:v>
      </x:c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v>SKU-20005</x:v>
      </x:c>
      <x:c r="B6" s="3" t="str">
        <x:v>Packaging</x:v>
      </x:c>
      <x:c r="C6" s="3" t="str">
        <x:v>Dallas</x:v>
      </x:c>
      <x:c r="D6" s="3" t="n">
        <x:v>4873</x:v>
      </x:c>
      <x:c r="E6" s="3" t="n">
        <x:v>215.86</x:v>
      </x:c>
      <x:c r="F6" s="3" t="n">
        <x:v>2508615</x:v>
      </x:c>
      <x:c r="G6" s="3" t="str">
        <x:v>Yes</x:v>
      </x:c>
      <x:c r="H6" s="3" t="str">
        <x:v>No</x:v>
      </x:c>
      <x:c r="I6" s="3" t="n">
        <x:f>D6*E6</x:f>
        <x:v>1051885.78</x:v>
      </x:c>
      <x:c r="J6" s="3" t="n">
        <x:f>IFERROR(I6/F6*365,0)</x:f>
        <x:v>153.04792074511235</x:v>
      </x:c>
      <x:c r="K6" s="3" t="n">
        <x:f>IFERROR(F6/I6,0)</x:f>
        <x:v>2.3848739546607427</x:v>
      </x:c>
      <x:c r="L6" s="3" t="str">
        <x:f>IF(G6="Yes","Liquidate/Write-down",IF(H6="Yes","Reduce safety stock",IF(J6&gt;90,"Replenishment review","Maintain")))</x:f>
        <x:v>Liquidate/Write-down</x:v>
      </x:c>
      <x:c r="M6" s="3" t="n">
        <x:f>IF(OR(G6="Yes",H6="Yes",J6&gt;90),I6*0.25,0)</x:f>
        <x:v>262971.445</x:v>
      </x:c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 t="str">
        <x:v>SKU-20006</x:v>
      </x:c>
      <x:c r="B7" s="3" t="str">
        <x:v>WIP</x:v>
      </x:c>
      <x:c r="C7" s="3" t="str">
        <x:v>Chicago</x:v>
      </x:c>
      <x:c r="D7" s="3" t="n">
        <x:v>570</x:v>
      </x:c>
      <x:c r="E7" s="3" t="n">
        <x:v>313.75</x:v>
      </x:c>
      <x:c r="F7" s="3" t="n">
        <x:v>1160748</x:v>
      </x:c>
      <x:c r="G7" s="3" t="str">
        <x:v>No</x:v>
      </x:c>
      <x:c r="H7" s="3" t="str">
        <x:v>Yes</x:v>
      </x:c>
      <x:c r="I7" s="3" t="n">
        <x:f>D7*E7</x:f>
        <x:v>178837.5</x:v>
      </x:c>
      <x:c r="J7" s="3" t="n">
        <x:f>IFERROR(I7/F7*365,0)</x:f>
        <x:v>56.23588194853664</x:v>
      </x:c>
      <x:c r="K7" s="3" t="n">
        <x:f>IFERROR(F7/I7,0)</x:f>
        <x:v>6.490517928286852</x:v>
      </x:c>
      <x:c r="L7" s="3" t="str">
        <x:f>IF(G7="Yes","Liquidate/Write-down",IF(H7="Yes","Reduce safety stock",IF(J7&gt;90,"Replenishment review","Maintain")))</x:f>
        <x:v>Reduce safety stock</x:v>
      </x:c>
      <x:c r="M7" s="3" t="n">
        <x:f>IF(OR(G7="Yes",H7="Yes",J7&gt;90),I7*0.25,0)</x:f>
        <x:v>44709.375</x:v>
      </x:c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 t="str">
        <x:v>SKU-20007</x:v>
      </x:c>
      <x:c r="B8" s="3" t="str">
        <x:v>WIP</x:v>
      </x:c>
      <x:c r="C8" s="3" t="str">
        <x:v>Dallas</x:v>
      </x:c>
      <x:c r="D8" s="3" t="n">
        <x:v>5088</x:v>
      </x:c>
      <x:c r="E8" s="3" t="n">
        <x:v>35.84</x:v>
      </x:c>
      <x:c r="F8" s="3" t="n">
        <x:v>1190031</x:v>
      </x:c>
      <x:c r="G8" s="3" t="str">
        <x:v>No</x:v>
      </x:c>
      <x:c r="H8" s="3" t="str">
        <x:v>No</x:v>
      </x:c>
      <x:c r="I8" s="3" t="n">
        <x:f>D8*E8</x:f>
        <x:v>182353.92</x:v>
      </x:c>
      <x:c r="J8" s="3" t="n">
        <x:f>IFERROR(I8/F8*365,0)</x:f>
        <x:v>55.93062768953078</x:v>
      </x:c>
      <x:c r="K8" s="3" t="n">
        <x:f>IFERROR(F8/I8,0)</x:f>
        <x:v>6.525941422043463</x:v>
      </x:c>
      <x:c r="L8" s="3" t="str">
        <x:f>IF(G8="Yes","Liquidate/Write-down",IF(H8="Yes","Reduce safety stock",IF(J8&gt;90,"Replenishment review","Maintain")))</x:f>
        <x:v>Maintain</x:v>
      </x:c>
      <x:c r="M8" s="3" t="n">
        <x:f>IF(OR(G8="Yes",H8="Yes",J8&gt;90),I8*0.25,0)</x:f>
        <x:v>0</x:v>
      </x:c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 t="str">
        <x:v>SKU-20008</x:v>
      </x:c>
      <x:c r="B9" s="3" t="str">
        <x:v>Spare Parts</x:v>
      </x:c>
      <x:c r="C9" s="3" t="str">
        <x:v>Nashville</x:v>
      </x:c>
      <x:c r="D9" s="3" t="n">
        <x:v>305</x:v>
      </x:c>
      <x:c r="E9" s="3" t="n">
        <x:v>47.05</x:v>
      </x:c>
      <x:c r="F9" s="3" t="n">
        <x:v>63960</x:v>
      </x:c>
      <x:c r="G9" s="3" t="str">
        <x:v>No</x:v>
      </x:c>
      <x:c r="H9" s="3" t="str">
        <x:v>No</x:v>
      </x:c>
      <x:c r="I9" s="3" t="n">
        <x:f>D9*E9</x:f>
        <x:v>14350.25</x:v>
      </x:c>
      <x:c r="J9" s="3" t="n">
        <x:f>IFERROR(I9/F9*365,0)</x:f>
        <x:v>81.89245231394621</x:v>
      </x:c>
      <x:c r="K9" s="3" t="n">
        <x:f>IFERROR(F9/I9,0)</x:f>
        <x:v>4.457065207923207</x:v>
      </x:c>
      <x:c r="L9" s="3" t="str">
        <x:f>IF(G9="Yes","Liquidate/Write-down",IF(H9="Yes","Reduce safety stock",IF(J9&gt;90,"Replenishment review","Maintain")))</x:f>
        <x:v>Maintain</x:v>
      </x:c>
      <x:c r="M9" s="3" t="n">
        <x:f>IF(OR(G9="Yes",H9="Yes",J9&gt;90),I9*0.25,0)</x:f>
        <x:v>0</x:v>
      </x:c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 t="str">
        <x:v>SKU-20009</x:v>
      </x:c>
      <x:c r="B10" s="3" t="str">
        <x:v>Spare Parts</x:v>
      </x:c>
      <x:c r="C10" s="3" t="str">
        <x:v>Nashville</x:v>
      </x:c>
      <x:c r="D10" s="3" t="n">
        <x:v>3683</x:v>
      </x:c>
      <x:c r="E10" s="3" t="n">
        <x:v>55.18</x:v>
      </x:c>
      <x:c r="F10" s="3" t="n">
        <x:v>355522</x:v>
      </x:c>
      <x:c r="G10" s="3" t="str">
        <x:v>No</x:v>
      </x:c>
      <x:c r="H10" s="3" t="str">
        <x:v>Yes</x:v>
      </x:c>
      <x:c r="I10" s="3" t="n">
        <x:f>D10*E10</x:f>
        <x:v>203227.94</x:v>
      </x:c>
      <x:c r="J10" s="3" t="n">
        <x:f>IFERROR(I10/F10*365,0)</x:f>
        <x:v>208.6458731105248</x:v>
      </x:c>
      <x:c r="K10" s="3" t="n">
        <x:f>IFERROR(F10/I10,0)</x:f>
        <x:v>1.7493756025869278</x:v>
      </x:c>
      <x:c r="L10" s="3" t="str">
        <x:f>IF(G10="Yes","Liquidate/Write-down",IF(H10="Yes","Reduce safety stock",IF(J10&gt;90,"Replenishment review","Maintain")))</x:f>
        <x:v>Reduce safety stock</x:v>
      </x:c>
      <x:c r="M10" s="3" t="n">
        <x:f>IF(OR(G10="Yes",H10="Yes",J10&gt;90),I10*0.25,0)</x:f>
        <x:v>50806.985</x:v>
      </x:c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 t="str">
        <x:v>SKU-20010</x:v>
      </x:c>
      <x:c r="B11" s="3" t="str">
        <x:v>Packaging</x:v>
      </x:c>
      <x:c r="C11" s="3" t="str">
        <x:v>Columbus</x:v>
      </x:c>
      <x:c r="D11" s="3" t="n">
        <x:v>5236</x:v>
      </x:c>
      <x:c r="E11" s="3" t="n">
        <x:v>383.8</x:v>
      </x:c>
      <x:c r="F11" s="3" t="n">
        <x:v>12143147</x:v>
      </x:c>
      <x:c r="G11" s="3" t="str">
        <x:v>No</x:v>
      </x:c>
      <x:c r="H11" s="3" t="str">
        <x:v>No</x:v>
      </x:c>
      <x:c r="I11" s="3" t="n">
        <x:f>D11*E11</x:f>
        <x:v>2009576.8</x:v>
      </x:c>
      <x:c r="J11" s="3" t="n">
        <x:f>IFERROR(I11/F11*365,0)</x:f>
        <x:v>60.404072519257156</x:v>
      </x:c>
      <x:c r="K11" s="3" t="n">
        <x:f>IFERROR(F11/I11,0)</x:f>
        <x:v>6.042638927758322</x:v>
      </x:c>
      <x:c r="L11" s="3" t="str">
        <x:f>IF(G11="Yes","Liquidate/Write-down",IF(H11="Yes","Reduce safety stock",IF(J11&gt;90,"Replenishment review","Maintain")))</x:f>
        <x:v>Maintain</x:v>
      </x:c>
      <x:c r="M11" s="3" t="n">
        <x:f>IF(OR(G11="Yes",H11="Yes",J11&gt;90),I11*0.25,0)</x:f>
        <x:v>0</x:v>
      </x:c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 t="str">
        <x:v>SKU-20011</x:v>
      </x:c>
      <x:c r="B12" s="3" t="str">
        <x:v>Packaging</x:v>
      </x:c>
      <x:c r="C12" s="3" t="str">
        <x:v>Phoenix</x:v>
      </x:c>
      <x:c r="D12" s="3" t="n">
        <x:v>4191</x:v>
      </x:c>
      <x:c r="E12" s="3" t="n">
        <x:v>396.68</x:v>
      </x:c>
      <x:c r="F12" s="3" t="n">
        <x:v>3116186</x:v>
      </x:c>
      <x:c r="G12" s="3" t="str">
        <x:v>No</x:v>
      </x:c>
      <x:c r="H12" s="3" t="str">
        <x:v>No</x:v>
      </x:c>
      <x:c r="I12" s="3" t="n">
        <x:f>D12*E12</x:f>
        <x:v>1662485.8800000001</x:v>
      </x:c>
      <x:c r="J12" s="3" t="n">
        <x:f>IFERROR(I12/F12*365,0)</x:f>
        <x:v>194.72757601760614</x:v>
      </x:c>
      <x:c r="K12" s="3" t="n">
        <x:f>IFERROR(F12/I12,0)</x:f>
        <x:v>1.8744135138158284</x:v>
      </x:c>
      <x:c r="L12" s="3" t="str">
        <x:f>IF(G12="Yes","Liquidate/Write-down",IF(H12="Yes","Reduce safety stock",IF(J12&gt;90,"Replenishment review","Maintain")))</x:f>
        <x:v>Replenishment review</x:v>
      </x:c>
      <x:c r="M12" s="3" t="n">
        <x:f>IF(OR(G12="Yes",H12="Yes",J12&gt;90),I12*0.25,0)</x:f>
        <x:v>415621.47000000003</x:v>
      </x:c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 t="str">
        <x:v>SKU-20012</x:v>
      </x:c>
      <x:c r="B13" s="3" t="str">
        <x:v>Service Parts</x:v>
      </x:c>
      <x:c r="C13" s="3" t="str">
        <x:v>Columbus</x:v>
      </x:c>
      <x:c r="D13" s="3" t="n">
        <x:v>5955</x:v>
      </x:c>
      <x:c r="E13" s="3" t="n">
        <x:v>563.65</x:v>
      </x:c>
      <x:c r="F13" s="3" t="n">
        <x:v>13843950</x:v>
      </x:c>
      <x:c r="G13" s="3" t="str">
        <x:v>No</x:v>
      </x:c>
      <x:c r="H13" s="3" t="str">
        <x:v>No</x:v>
      </x:c>
      <x:c r="I13" s="3" t="n">
        <x:f>D13*E13</x:f>
        <x:v>3356535.75</x:v>
      </x:c>
      <x:c r="J13" s="3" t="n">
        <x:f>IFERROR(I13/F13*365,0)</x:f>
        <x:v>88.49609748301604</x:v>
      </x:c>
      <x:c r="K13" s="3" t="n">
        <x:f>IFERROR(F13/I13,0)</x:f>
        <x:v>4.124475659167342</x:v>
      </x:c>
      <x:c r="L13" s="3" t="str">
        <x:f>IF(G13="Yes","Liquidate/Write-down",IF(H13="Yes","Reduce safety stock",IF(J13&gt;90,"Replenishment review","Maintain")))</x:f>
        <x:v>Maintain</x:v>
      </x:c>
      <x:c r="M13" s="3" t="n">
        <x:f>IF(OR(G13="Yes",H13="Yes",J13&gt;90),I13*0.25,0)</x:f>
        <x:v>0</x:v>
      </x:c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 t="str">
        <x:v>SKU-20013</x:v>
      </x:c>
      <x:c r="B14" s="3" t="str">
        <x:v>Spare Parts</x:v>
      </x:c>
      <x:c r="C14" s="3" t="str">
        <x:v>Phoenix</x:v>
      </x:c>
      <x:c r="D14" s="3" t="n">
        <x:v>3457</x:v>
      </x:c>
      <x:c r="E14" s="3" t="n">
        <x:v>476.41</x:v>
      </x:c>
      <x:c r="F14" s="3" t="n">
        <x:v>5476648</x:v>
      </x:c>
      <x:c r="G14" s="3" t="str">
        <x:v>No</x:v>
      </x:c>
      <x:c r="H14" s="3" t="str">
        <x:v>No</x:v>
      </x:c>
      <x:c r="I14" s="3" t="n">
        <x:f>D14*E14</x:f>
        <x:v>1646949.37</x:v>
      </x:c>
      <x:c r="J14" s="3" t="n">
        <x:f>IFERROR(I14/F14*365,0)</x:f>
        <x:v>109.76358532627987</x:v>
      </x:c>
      <x:c r="K14" s="3" t="n">
        <x:f>IFERROR(F14/I14,0)</x:f>
        <x:v>3.3253286954413173</x:v>
      </x:c>
      <x:c r="L14" s="3" t="str">
        <x:f>IF(G14="Yes","Liquidate/Write-down",IF(H14="Yes","Reduce safety stock",IF(J14&gt;90,"Replenishment review","Maintain")))</x:f>
        <x:v>Replenishment review</x:v>
      </x:c>
      <x:c r="M14" s="3" t="n">
        <x:f>IF(OR(G14="Yes",H14="Yes",J14&gt;90),I14*0.25,0)</x:f>
        <x:v>411737.3425</x:v>
      </x:c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 t="str">
        <x:v>SKU-20014</x:v>
      </x:c>
      <x:c r="B15" s="3" t="str">
        <x:v>Raw Materials</x:v>
      </x:c>
      <x:c r="C15" s="3" t="str">
        <x:v>Nashville</x:v>
      </x:c>
      <x:c r="D15" s="3" t="n">
        <x:v>3935</x:v>
      </x:c>
      <x:c r="E15" s="3" t="n">
        <x:v>51.1</x:v>
      </x:c>
      <x:c r="F15" s="3" t="n">
        <x:v>1378604</x:v>
      </x:c>
      <x:c r="G15" s="3" t="str">
        <x:v>No</x:v>
      </x:c>
      <x:c r="H15" s="3" t="str">
        <x:v>Yes</x:v>
      </x:c>
      <x:c r="I15" s="3" t="n">
        <x:f>D15*E15</x:f>
        <x:v>201078.5</x:v>
      </x:c>
      <x:c r="J15" s="3" t="n">
        <x:f>IFERROR(I15/F15*365,0)</x:f>
        <x:v>53.237661068733296</x:v>
      </x:c>
      <x:c r="K15" s="3" t="n">
        <x:f>IFERROR(F15/I15,0)</x:f>
        <x:v>6.85604875707746</x:v>
      </x:c>
      <x:c r="L15" s="3" t="str">
        <x:f>IF(G15="Yes","Liquidate/Write-down",IF(H15="Yes","Reduce safety stock",IF(J15&gt;90,"Replenishment review","Maintain")))</x:f>
        <x:v>Reduce safety stock</x:v>
      </x:c>
      <x:c r="M15" s="3" t="n">
        <x:f>IF(OR(G15="Yes",H15="Yes",J15&gt;90),I15*0.25,0)</x:f>
        <x:v>50269.625</x:v>
      </x:c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 t="str">
        <x:v>SKU-20015</x:v>
      </x:c>
      <x:c r="B16" s="3" t="str">
        <x:v>Service Parts</x:v>
      </x:c>
      <x:c r="C16" s="3" t="str">
        <x:v>Atlanta</x:v>
      </x:c>
      <x:c r="D16" s="3" t="n">
        <x:v>1115</x:v>
      </x:c>
      <x:c r="E16" s="3" t="n">
        <x:v>365.19</x:v>
      </x:c>
      <x:c r="F16" s="3" t="n">
        <x:v>2112470</x:v>
      </x:c>
      <x:c r="G16" s="3" t="str">
        <x:v>No</x:v>
      </x:c>
      <x:c r="H16" s="3" t="str">
        <x:v>No</x:v>
      </x:c>
      <x:c r="I16" s="3" t="n">
        <x:f>D16*E16</x:f>
        <x:v>407186.85</x:v>
      </x:c>
      <x:c r="J16" s="3" t="n">
        <x:f>IFERROR(I16/F16*365,0)</x:f>
        <x:v>70.35517675990664</x:v>
      </x:c>
      <x:c r="K16" s="3" t="n">
        <x:f>IFERROR(F16/I16,0)</x:f>
        <x:v>5.1879622340456235</x:v>
      </x:c>
      <x:c r="L16" s="3" t="str">
        <x:f>IF(G16="Yes","Liquidate/Write-down",IF(H16="Yes","Reduce safety stock",IF(J16&gt;90,"Replenishment review","Maintain")))</x:f>
        <x:v>Maintain</x:v>
      </x:c>
      <x:c r="M16" s="3" t="n">
        <x:f>IF(OR(G16="Yes",H16="Yes",J16&gt;90),I16*0.25,0)</x:f>
        <x:v>0</x:v>
      </x:c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 t="str">
        <x:v>SKU-20016</x:v>
      </x:c>
      <x:c r="B17" s="3" t="str">
        <x:v>Finished Goods</x:v>
      </x:c>
      <x:c r="C17" s="3" t="str">
        <x:v>Phoenix</x:v>
      </x:c>
      <x:c r="D17" s="3" t="n">
        <x:v>2946</x:v>
      </x:c>
      <x:c r="E17" s="3" t="n">
        <x:v>568.86</x:v>
      </x:c>
      <x:c r="F17" s="3" t="n">
        <x:v>12736017</x:v>
      </x:c>
      <x:c r="G17" s="3" t="str">
        <x:v>No</x:v>
      </x:c>
      <x:c r="H17" s="3" t="str">
        <x:v>No</x:v>
      </x:c>
      <x:c r="I17" s="3" t="n">
        <x:f>D17*E17</x:f>
        <x:v>1675861.56</x:v>
      </x:c>
      <x:c r="J17" s="3" t="n">
        <x:f>IFERROR(I17/F17*365,0)</x:f>
        <x:v>48.02831759725195</x:v>
      </x:c>
      <x:c r="K17" s="3" t="n">
        <x:f>IFERROR(F17/I17,0)</x:f>
        <x:v>7.599683233977871</x:v>
      </x:c>
      <x:c r="L17" s="3" t="str">
        <x:f>IF(G17="Yes","Liquidate/Write-down",IF(H17="Yes","Reduce safety stock",IF(J17&gt;90,"Replenishment review","Maintain")))</x:f>
        <x:v>Maintain</x:v>
      </x:c>
      <x:c r="M17" s="3" t="n">
        <x:f>IF(OR(G17="Yes",H17="Yes",J17&gt;90),I17*0.25,0)</x:f>
        <x:v>0</x:v>
      </x:c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 t="str">
        <x:v>SKU-20017</x:v>
      </x:c>
      <x:c r="B18" s="3" t="str">
        <x:v>Finished Goods</x:v>
      </x:c>
      <x:c r="C18" s="3" t="str">
        <x:v>Atlanta</x:v>
      </x:c>
      <x:c r="D18" s="3" t="n">
        <x:v>4968</x:v>
      </x:c>
      <x:c r="E18" s="3" t="n">
        <x:v>208.59</x:v>
      </x:c>
      <x:c r="F18" s="3" t="n">
        <x:v>1973569</x:v>
      </x:c>
      <x:c r="G18" s="3" t="str">
        <x:v>No</x:v>
      </x:c>
      <x:c r="H18" s="3" t="str">
        <x:v>Yes</x:v>
      </x:c>
      <x:c r="I18" s="3" t="n">
        <x:f>D18*E18</x:f>
        <x:v>1036275.12</x:v>
      </x:c>
      <x:c r="J18" s="3" t="n">
        <x:f>IFERROR(I18/F18*365,0)</x:f>
        <x:v>191.65299961643095</x:v>
      </x:c>
      <x:c r="K18" s="3" t="n">
        <x:f>IFERROR(F18/I18,0)</x:f>
        <x:v>1.9044836278612962</x:v>
      </x:c>
      <x:c r="L18" s="3" t="str">
        <x:f>IF(G18="Yes","Liquidate/Write-down",IF(H18="Yes","Reduce safety stock",IF(J18&gt;90,"Replenishment review","Maintain")))</x:f>
        <x:v>Reduce safety stock</x:v>
      </x:c>
      <x:c r="M18" s="3" t="n">
        <x:f>IF(OR(G18="Yes",H18="Yes",J18&gt;90),I18*0.25,0)</x:f>
        <x:v>259068.78</x:v>
      </x:c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 t="str">
        <x:v>SKU-20018</x:v>
      </x:c>
      <x:c r="B19" s="3" t="str">
        <x:v>Spare Parts</x:v>
      </x:c>
      <x:c r="C19" s="3" t="str">
        <x:v>Dallas</x:v>
      </x:c>
      <x:c r="D19" s="3" t="n">
        <x:v>936</x:v>
      </x:c>
      <x:c r="E19" s="3" t="n">
        <x:v>232.77</x:v>
      </x:c>
      <x:c r="F19" s="3" t="n">
        <x:v>1085574</x:v>
      </x:c>
      <x:c r="G19" s="3" t="str">
        <x:v>No</x:v>
      </x:c>
      <x:c r="H19" s="3" t="str">
        <x:v>No</x:v>
      </x:c>
      <x:c r="I19" s="3" t="n">
        <x:f>D19*E19</x:f>
        <x:v>217872.72</x:v>
      </x:c>
      <x:c r="J19" s="3" t="n">
        <x:f>IFERROR(I19/F19*365,0)</x:f>
        <x:v>73.25483366403397</x:v>
      </x:c>
      <x:c r="K19" s="3" t="n">
        <x:f>IFERROR(F19/I19,0)</x:f>
        <x:v>4.982606358427985</x:v>
      </x:c>
      <x:c r="L19" s="3" t="str">
        <x:f>IF(G19="Yes","Liquidate/Write-down",IF(H19="Yes","Reduce safety stock",IF(J19&gt;90,"Replenishment review","Maintain")))</x:f>
        <x:v>Maintain</x:v>
      </x:c>
      <x:c r="M19" s="3" t="n">
        <x:f>IF(OR(G19="Yes",H19="Yes",J19&gt;90),I19*0.25,0)</x:f>
        <x:v>0</x:v>
      </x:c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 t="str">
        <x:v>SKU-20019</x:v>
      </x:c>
      <x:c r="B20" s="3" t="str">
        <x:v>Raw Materials</x:v>
      </x:c>
      <x:c r="C20" s="3" t="str">
        <x:v>Phoenix</x:v>
      </x:c>
      <x:c r="D20" s="3" t="n">
        <x:v>4645</x:v>
      </x:c>
      <x:c r="E20" s="3" t="n">
        <x:v>633.66</x:v>
      </x:c>
      <x:c r="F20" s="3" t="n">
        <x:v>19912658</x:v>
      </x:c>
      <x:c r="G20" s="3" t="str">
        <x:v>No</x:v>
      </x:c>
      <x:c r="H20" s="3" t="str">
        <x:v>No</x:v>
      </x:c>
      <x:c r="I20" s="3" t="n">
        <x:f>D20*E20</x:f>
        <x:v>2943350.6999999997</x:v>
      </x:c>
      <x:c r="J20" s="3" t="n">
        <x:f>IFERROR(I20/F20*365,0)</x:f>
        <x:v>53.9517630192815</x:v>
      </x:c>
      <x:c r="K20" s="3" t="n">
        <x:f>IFERROR(F20/I20,0)</x:f>
        <x:v>6.765302551272603</x:v>
      </x:c>
      <x:c r="L20" s="3" t="str">
        <x:f>IF(G20="Yes","Liquidate/Write-down",IF(H20="Yes","Reduce safety stock",IF(J20&gt;90,"Replenishment review","Maintain")))</x:f>
        <x:v>Maintain</x:v>
      </x:c>
      <x:c r="M20" s="3" t="n">
        <x:f>IF(OR(G20="Yes",H20="Yes",J20&gt;90),I20*0.25,0)</x:f>
        <x:v>0</x:v>
      </x:c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 t="str">
        <x:v>SKU-20020</x:v>
      </x:c>
      <x:c r="B21" s="3" t="str">
        <x:v>Finished Goods</x:v>
      </x:c>
      <x:c r="C21" s="3" t="str">
        <x:v>Columbus</x:v>
      </x:c>
      <x:c r="D21" s="3" t="n">
        <x:v>5438</x:v>
      </x:c>
      <x:c r="E21" s="3" t="n">
        <x:v>540.51</x:v>
      </x:c>
      <x:c r="F21" s="3" t="n">
        <x:v>8872682</x:v>
      </x:c>
      <x:c r="G21" s="3" t="str">
        <x:v>No</x:v>
      </x:c>
      <x:c r="H21" s="3" t="str">
        <x:v>No</x:v>
      </x:c>
      <x:c r="I21" s="3" t="n">
        <x:f>D21*E21</x:f>
        <x:v>2939293.38</x:v>
      </x:c>
      <x:c r="J21" s="3" t="n">
        <x:f>IFERROR(I21/F21*365,0)</x:f>
        <x:v>120.91519607036518</x:v>
      </x:c>
      <x:c r="K21" s="3" t="n">
        <x:f>IFERROR(F21/I21,0)</x:f>
        <x:v>3.0186445696006023</x:v>
      </x:c>
      <x:c r="L21" s="3" t="str">
        <x:f>IF(G21="Yes","Liquidate/Write-down",IF(H21="Yes","Reduce safety stock",IF(J21&gt;90,"Replenishment review","Maintain")))</x:f>
        <x:v>Replenishment review</x:v>
      </x:c>
      <x:c r="M21" s="3" t="n">
        <x:f>IF(OR(G21="Yes",H21="Yes",J21&gt;90),I21*0.25,0)</x:f>
        <x:v>734823.345</x:v>
      </x:c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 t="str">
        <x:v>SKU-20021</x:v>
      </x:c>
      <x:c r="B22" s="3" t="str">
        <x:v>Packaging</x:v>
      </x:c>
      <x:c r="C22" s="3" t="str">
        <x:v>Atlanta</x:v>
      </x:c>
      <x:c r="D22" s="3" t="n">
        <x:v>2925</x:v>
      </x:c>
      <x:c r="E22" s="3" t="n">
        <x:v>11.92</x:v>
      </x:c>
      <x:c r="F22" s="3" t="n">
        <x:v>248074</x:v>
      </x:c>
      <x:c r="G22" s="3" t="str">
        <x:v>No</x:v>
      </x:c>
      <x:c r="H22" s="3" t="str">
        <x:v>No</x:v>
      </x:c>
      <x:c r="I22" s="3" t="n">
        <x:f>D22*E22</x:f>
        <x:v>34866</x:v>
      </x:c>
      <x:c r="J22" s="3" t="n">
        <x:f>IFERROR(I22/F22*365,0)</x:f>
        <x:v>51.29957190193248</x:v>
      </x:c>
      <x:c r="K22" s="3" t="n">
        <x:f>IFERROR(F22/I22,0)</x:f>
        <x:v>7.1150691217805315</x:v>
      </x:c>
      <x:c r="L22" s="3" t="str">
        <x:f>IF(G22="Yes","Liquidate/Write-down",IF(H22="Yes","Reduce safety stock",IF(J22&gt;90,"Replenishment review","Maintain")))</x:f>
        <x:v>Maintain</x:v>
      </x:c>
      <x:c r="M22" s="3" t="n">
        <x:f>IF(OR(G22="Yes",H22="Yes",J22&gt;90),I22*0.25,0)</x:f>
        <x:v>0</x:v>
      </x:c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 t="str">
        <x:v>SKU-20022</x:v>
      </x:c>
      <x:c r="B23" s="3" t="str">
        <x:v>Raw Materials</x:v>
      </x:c>
      <x:c r="C23" s="3" t="str">
        <x:v>Nashville</x:v>
      </x:c>
      <x:c r="D23" s="3" t="n">
        <x:v>5236</x:v>
      </x:c>
      <x:c r="E23" s="3" t="n">
        <x:v>631.9</x:v>
      </x:c>
      <x:c r="F23" s="3" t="n">
        <x:v>6034780</x:v>
      </x:c>
      <x:c r="G23" s="3" t="str">
        <x:v>No</x:v>
      </x:c>
      <x:c r="H23" s="3" t="str">
        <x:v>No</x:v>
      </x:c>
      <x:c r="I23" s="3" t="n">
        <x:f>D23*E23</x:f>
        <x:v>3308628.4</x:v>
      </x:c>
      <x:c r="J23" s="3" t="n">
        <x:f>IFERROR(I23/F23*365,0)</x:f>
        <x:v>200.11489499202955</x:v>
      </x:c>
      <x:c r="K23" s="3" t="n">
        <x:f>IFERROR(F23/I23,0)</x:f>
        <x:v>1.8239521851411298</x:v>
      </x:c>
      <x:c r="L23" s="3" t="str">
        <x:f>IF(G23="Yes","Liquidate/Write-down",IF(H23="Yes","Reduce safety stock",IF(J23&gt;90,"Replenishment review","Maintain")))</x:f>
        <x:v>Replenishment review</x:v>
      </x:c>
      <x:c r="M23" s="3" t="n">
        <x:f>IF(OR(G23="Yes",H23="Yes",J23&gt;90),I23*0.25,0)</x:f>
        <x:v>827157.1</x:v>
      </x:c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 t="str">
        <x:v>SKU-20023</x:v>
      </x:c>
      <x:c r="B24" s="3" t="str">
        <x:v>Spare Parts</x:v>
      </x:c>
      <x:c r="C24" s="3" t="str">
        <x:v>Atlanta</x:v>
      </x:c>
      <x:c r="D24" s="3" t="n">
        <x:v>1339</x:v>
      </x:c>
      <x:c r="E24" s="3" t="n">
        <x:v>245.57</x:v>
      </x:c>
      <x:c r="F24" s="3" t="n">
        <x:v>2008044</x:v>
      </x:c>
      <x:c r="G24" s="3" t="str">
        <x:v>No</x:v>
      </x:c>
      <x:c r="H24" s="3" t="str">
        <x:v>No</x:v>
      </x:c>
      <x:c r="I24" s="3" t="n">
        <x:f>D24*E24</x:f>
        <x:v>328818.23</x:v>
      </x:c>
      <x:c r="J24" s="3" t="n">
        <x:f>IFERROR(I24/F24*365,0)</x:f>
        <x:v>59.76893631314851</x:v>
      </x:c>
      <x:c r="K24" s="3" t="n">
        <x:f>IFERROR(F24/I24,0)</x:f>
        <x:v>6.106851192526643</x:v>
      </x:c>
      <x:c r="L24" s="3" t="str">
        <x:f>IF(G24="Yes","Liquidate/Write-down",IF(H24="Yes","Reduce safety stock",IF(J24&gt;90,"Replenishment review","Maintain")))</x:f>
        <x:v>Maintain</x:v>
      </x:c>
      <x:c r="M24" s="3" t="n">
        <x:f>IF(OR(G24="Yes",H24="Yes",J24&gt;90),I24*0.25,0)</x:f>
        <x:v>0</x:v>
      </x:c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 t="str">
        <x:v>SKU-20024</x:v>
      </x:c>
      <x:c r="B25" s="3" t="str">
        <x:v>Finished Goods</x:v>
      </x:c>
      <x:c r="C25" s="3" t="str">
        <x:v>Chicago</x:v>
      </x:c>
      <x:c r="D25" s="3" t="n">
        <x:v>1324</x:v>
      </x:c>
      <x:c r="E25" s="3" t="n">
        <x:v>109.06</x:v>
      </x:c>
      <x:c r="F25" s="3" t="n">
        <x:v>779923</x:v>
      </x:c>
      <x:c r="G25" s="3" t="str">
        <x:v>No</x:v>
      </x:c>
      <x:c r="H25" s="3" t="str">
        <x:v>No</x:v>
      </x:c>
      <x:c r="I25" s="3" t="n">
        <x:f>D25*E25</x:f>
        <x:v>144395.44</x:v>
      </x:c>
      <x:c r="J25" s="3" t="n">
        <x:f>IFERROR(I25/F25*365,0)</x:f>
        <x:v>67.57633202252018</x:v>
      </x:c>
      <x:c r="K25" s="3" t="n">
        <x:f>IFERROR(F25/I25,0)</x:f>
        <x:v>5.401299376212989</x:v>
      </x:c>
      <x:c r="L25" s="3" t="str">
        <x:f>IF(G25="Yes","Liquidate/Write-down",IF(H25="Yes","Reduce safety stock",IF(J25&gt;90,"Replenishment review","Maintain")))</x:f>
        <x:v>Maintain</x:v>
      </x:c>
      <x:c r="M25" s="3" t="n">
        <x:f>IF(OR(G25="Yes",H25="Yes",J25&gt;90),I25*0.25,0)</x:f>
        <x:v>0</x:v>
      </x:c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 t="str">
        <x:v>SKU-20025</x:v>
      </x:c>
      <x:c r="B26" s="3" t="str">
        <x:v>Service Parts</x:v>
      </x:c>
      <x:c r="C26" s="3" t="str">
        <x:v>Phoenix</x:v>
      </x:c>
      <x:c r="D26" s="3" t="n">
        <x:v>4028</x:v>
      </x:c>
      <x:c r="E26" s="3" t="n">
        <x:v>397.74</x:v>
      </x:c>
      <x:c r="F26" s="3" t="n">
        <x:v>6434740</x:v>
      </x:c>
      <x:c r="G26" s="3" t="str">
        <x:v>No</x:v>
      </x:c>
      <x:c r="H26" s="3" t="str">
        <x:v>No</x:v>
      </x:c>
      <x:c r="I26" s="3" t="n">
        <x:f>D26*E26</x:f>
        <x:v>1602096.72</x:v>
      </x:c>
      <x:c r="J26" s="3" t="n">
        <x:f>IFERROR(I26/F26*365,0)</x:f>
        <x:v>90.87629069706003</x:v>
      </x:c>
      <x:c r="K26" s="3" t="n">
        <x:f>IFERROR(F26/I26,0)</x:f>
        <x:v>4.016449144218958</x:v>
      </x:c>
      <x:c r="L26" s="3" t="str">
        <x:f>IF(G26="Yes","Liquidate/Write-down",IF(H26="Yes","Reduce safety stock",IF(J26&gt;90,"Replenishment review","Maintain")))</x:f>
        <x:v>Replenishment review</x:v>
      </x:c>
      <x:c r="M26" s="3" t="n">
        <x:f>IF(OR(G26="Yes",H26="Yes",J26&gt;90),I26*0.25,0)</x:f>
        <x:v>400524.18</x:v>
      </x:c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 t="str">
        <x:v>SKU-20026</x:v>
      </x:c>
      <x:c r="B27" s="3" t="str">
        <x:v>Packaging</x:v>
      </x:c>
      <x:c r="C27" s="3" t="str">
        <x:v>Phoenix</x:v>
      </x:c>
      <x:c r="D27" s="3" t="n">
        <x:v>958</x:v>
      </x:c>
      <x:c r="E27" s="3" t="n">
        <x:v>189.84</x:v>
      </x:c>
      <x:c r="F27" s="3" t="n">
        <x:v>1057320</x:v>
      </x:c>
      <x:c r="G27" s="3" t="str">
        <x:v>No</x:v>
      </x:c>
      <x:c r="H27" s="3" t="str">
        <x:v>No</x:v>
      </x:c>
      <x:c r="I27" s="3" t="n">
        <x:f>D27*E27</x:f>
        <x:v>181866.72</x:v>
      </x:c>
      <x:c r="J27" s="3" t="n">
        <x:f>IFERROR(I27/F27*365,0)</x:f>
        <x:v>62.78265123141528</x:v>
      </x:c>
      <x:c r="K27" s="3" t="n">
        <x:f>IFERROR(F27/I27,0)</x:f>
        <x:v>5.813707972519656</x:v>
      </x:c>
      <x:c r="L27" s="3" t="str">
        <x:f>IF(G27="Yes","Liquidate/Write-down",IF(H27="Yes","Reduce safety stock",IF(J27&gt;90,"Replenishment review","Maintain")))</x:f>
        <x:v>Maintain</x:v>
      </x:c>
      <x:c r="M27" s="3" t="n">
        <x:f>IF(OR(G27="Yes",H27="Yes",J27&gt;90),I27*0.25,0)</x:f>
        <x:v>0</x:v>
      </x:c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 t="str">
        <x:v>SKU-20027</x:v>
      </x:c>
      <x:c r="B28" s="3" t="str">
        <x:v>Finished Goods</x:v>
      </x:c>
      <x:c r="C28" s="3" t="str">
        <x:v>Dallas</x:v>
      </x:c>
      <x:c r="D28" s="3" t="n">
        <x:v>3287</x:v>
      </x:c>
      <x:c r="E28" s="3" t="n">
        <x:v>640.01</x:v>
      </x:c>
      <x:c r="F28" s="3" t="n">
        <x:v>3308125</x:v>
      </x:c>
      <x:c r="G28" s="3" t="str">
        <x:v>No</x:v>
      </x:c>
      <x:c r="H28" s="3" t="str">
        <x:v>No</x:v>
      </x:c>
      <x:c r="I28" s="3" t="n">
        <x:f>D28*E28</x:f>
        <x:v>2103712.87</x:v>
      </x:c>
      <x:c r="J28" s="3" t="n">
        <x:f>IFERROR(I28/F28*365,0)</x:f>
        <x:v>232.11190555072739</x:v>
      </x:c>
      <x:c r="K28" s="3" t="n">
        <x:f>IFERROR(F28/I28,0)</x:f>
        <x:v>1.572517355945063</x:v>
      </x:c>
      <x:c r="L28" s="3" t="str">
        <x:f>IF(G28="Yes","Liquidate/Write-down",IF(H28="Yes","Reduce safety stock",IF(J28&gt;90,"Replenishment review","Maintain")))</x:f>
        <x:v>Replenishment review</x:v>
      </x:c>
      <x:c r="M28" s="3" t="n">
        <x:f>IF(OR(G28="Yes",H28="Yes",J28&gt;90),I28*0.25,0)</x:f>
        <x:v>525928.2175</x:v>
      </x:c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 t="str">
        <x:v>SKU-20028</x:v>
      </x:c>
      <x:c r="B29" s="3" t="str">
        <x:v>Raw Materials</x:v>
      </x:c>
      <x:c r="C29" s="3" t="str">
        <x:v>Atlanta</x:v>
      </x:c>
      <x:c r="D29" s="3" t="n">
        <x:v>2421</x:v>
      </x:c>
      <x:c r="E29" s="3" t="n">
        <x:v>218.65</x:v>
      </x:c>
      <x:c r="F29" s="3" t="n">
        <x:v>663046</x:v>
      </x:c>
      <x:c r="G29" s="3" t="str">
        <x:v>No</x:v>
      </x:c>
      <x:c r="H29" s="3" t="str">
        <x:v>Yes</x:v>
      </x:c>
      <x:c r="I29" s="3" t="n">
        <x:f>D29*E29</x:f>
        <x:v>529351.65</x:v>
      </x:c>
      <x:c r="J29" s="3" t="n">
        <x:f>IFERROR(I29/F29*365,0)</x:f>
        <x:v>291.40263609161354</x:v>
      </x:c>
      <x:c r="K29" s="3" t="n">
        <x:f>IFERROR(F29/I29,0)</x:f>
        <x:v>1.2525624506884978</x:v>
      </x:c>
      <x:c r="L29" s="3" t="str">
        <x:f>IF(G29="Yes","Liquidate/Write-down",IF(H29="Yes","Reduce safety stock",IF(J29&gt;90,"Replenishment review","Maintain")))</x:f>
        <x:v>Reduce safety stock</x:v>
      </x:c>
      <x:c r="M29" s="3" t="n">
        <x:f>IF(OR(G29="Yes",H29="Yes",J29&gt;90),I29*0.25,0)</x:f>
        <x:v>132337.9125</x:v>
      </x:c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 t="str">
        <x:v>SKU-20029</x:v>
      </x:c>
      <x:c r="B30" s="3" t="str">
        <x:v>Spare Parts</x:v>
      </x:c>
      <x:c r="C30" s="3" t="str">
        <x:v>Columbus</x:v>
      </x:c>
      <x:c r="D30" s="3" t="n">
        <x:v>5814</x:v>
      </x:c>
      <x:c r="E30" s="3" t="n">
        <x:v>155.73</x:v>
      </x:c>
      <x:c r="F30" s="3" t="n">
        <x:v>4526456</x:v>
      </x:c>
      <x:c r="G30" s="3" t="str">
        <x:v>No</x:v>
      </x:c>
      <x:c r="H30" s="3" t="str">
        <x:v>No</x:v>
      </x:c>
      <x:c r="I30" s="3" t="n">
        <x:f>D30*E30</x:f>
        <x:v>905414.22</x:v>
      </x:c>
      <x:c r="J30" s="3" t="n">
        <x:f>IFERROR(I30/F30*365,0)</x:f>
        <x:v>73.00991996829308</x:v>
      </x:c>
      <x:c r="K30" s="3" t="n">
        <x:f>IFERROR(F30/I30,0)</x:f>
        <x:v>4.999320642434797</x:v>
      </x:c>
      <x:c r="L30" s="3" t="str">
        <x:f>IF(G30="Yes","Liquidate/Write-down",IF(H30="Yes","Reduce safety stock",IF(J30&gt;90,"Replenishment review","Maintain")))</x:f>
        <x:v>Maintain</x:v>
      </x:c>
      <x:c r="M30" s="3" t="n">
        <x:f>IF(OR(G30="Yes",H30="Yes",J30&gt;90),I30*0.25,0)</x:f>
        <x:v>0</x:v>
      </x:c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 t="str">
        <x:v>SKU-20030</x:v>
      </x:c>
      <x:c r="B31" s="3" t="str">
        <x:v>Spare Parts</x:v>
      </x:c>
      <x:c r="C31" s="3" t="str">
        <x:v>Nashville</x:v>
      </x:c>
      <x:c r="D31" s="3" t="n">
        <x:v>396</x:v>
      </x:c>
      <x:c r="E31" s="3" t="n">
        <x:v>288.05</x:v>
      </x:c>
      <x:c r="F31" s="3" t="n">
        <x:v>493495</x:v>
      </x:c>
      <x:c r="G31" s="3" t="str">
        <x:v>Yes</x:v>
      </x:c>
      <x:c r="H31" s="3" t="str">
        <x:v>No</x:v>
      </x:c>
      <x:c r="I31" s="3" t="n">
        <x:f>D31*E31</x:f>
        <x:v>114067.8</x:v>
      </x:c>
      <x:c r="J31" s="3" t="n">
        <x:f>IFERROR(I31/F31*365,0)</x:f>
        <x:v>84.36711010243265</x:v>
      </x:c>
      <x:c r="K31" s="3" t="n">
        <x:f>IFERROR(F31/I31,0)</x:f>
        <x:v>4.326330480643968</x:v>
      </x:c>
      <x:c r="L31" s="3" t="str">
        <x:f>IF(G31="Yes","Liquidate/Write-down",IF(H31="Yes","Reduce safety stock",IF(J31&gt;90,"Replenishment review","Maintain")))</x:f>
        <x:v>Liquidate/Write-down</x:v>
      </x:c>
      <x:c r="M31" s="3" t="n">
        <x:f>IF(OR(G31="Yes",H31="Yes",J31&gt;90),I31*0.25,0)</x:f>
        <x:v>28516.95</x:v>
      </x:c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 t="str">
        <x:v>SKU-20031</x:v>
      </x:c>
      <x:c r="B32" s="3" t="str">
        <x:v>Spare Parts</x:v>
      </x:c>
      <x:c r="C32" s="3" t="str">
        <x:v>Columbus</x:v>
      </x:c>
      <x:c r="D32" s="3" t="n">
        <x:v>3363</x:v>
      </x:c>
      <x:c r="E32" s="3" t="n">
        <x:v>463.5</x:v>
      </x:c>
      <x:c r="F32" s="3" t="n">
        <x:v>6297849</x:v>
      </x:c>
      <x:c r="G32" s="3" t="str">
        <x:v>No</x:v>
      </x:c>
      <x:c r="H32" s="3" t="str">
        <x:v>Yes</x:v>
      </x:c>
      <x:c r="I32" s="3" t="n">
        <x:f>D32*E32</x:f>
        <x:v>1558750.5</x:v>
      </x:c>
      <x:c r="J32" s="3" t="n">
        <x:f>IFERROR(I32/F32*365,0)</x:f>
        <x:v>90.33940516833606</x:v>
      </x:c>
      <x:c r="K32" s="3" t="n">
        <x:f>IFERROR(F32/I32,0)</x:f>
        <x:v>4.040318832295482</x:v>
      </x:c>
      <x:c r="L32" s="3" t="str">
        <x:f>IF(G32="Yes","Liquidate/Write-down",IF(H32="Yes","Reduce safety stock",IF(J32&gt;90,"Replenishment review","Maintain")))</x:f>
        <x:v>Reduce safety stock</x:v>
      </x:c>
      <x:c r="M32" s="3" t="n">
        <x:f>IF(OR(G32="Yes",H32="Yes",J32&gt;90),I32*0.25,0)</x:f>
        <x:v>389687.625</x:v>
      </x:c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 t="str">
        <x:v>SKU-20032</x:v>
      </x:c>
      <x:c r="B33" s="3" t="str">
        <x:v>Packaging</x:v>
      </x:c>
      <x:c r="C33" s="3" t="str">
        <x:v>Dallas</x:v>
      </x:c>
      <x:c r="D33" s="3" t="n">
        <x:v>5113</x:v>
      </x:c>
      <x:c r="E33" s="3" t="n">
        <x:v>303.38</x:v>
      </x:c>
      <x:c r="F33" s="3" t="n">
        <x:v>9135451</x:v>
      </x:c>
      <x:c r="G33" s="3" t="str">
        <x:v>No</x:v>
      </x:c>
      <x:c r="H33" s="3" t="str">
        <x:v>No</x:v>
      </x:c>
      <x:c r="I33" s="3" t="n">
        <x:f>D33*E33</x:f>
        <x:v>1551181.94</x:v>
      </x:c>
      <x:c r="J33" s="3" t="n">
        <x:f>IFERROR(I33/F33*365,0)</x:f>
        <x:v>61.97629521520065</x:v>
      </x:c>
      <x:c r="K33" s="3" t="n">
        <x:f>IFERROR(F33/I33,0)</x:f>
        <x:v>5.889348479650298</x:v>
      </x:c>
      <x:c r="L33" s="3" t="str">
        <x:f>IF(G33="Yes","Liquidate/Write-down",IF(H33="Yes","Reduce safety stock",IF(J33&gt;90,"Replenishment review","Maintain")))</x:f>
        <x:v>Maintain</x:v>
      </x:c>
      <x:c r="M33" s="3" t="n">
        <x:f>IF(OR(G33="Yes",H33="Yes",J33&gt;90),I33*0.25,0)</x:f>
        <x:v>0</x:v>
      </x:c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 t="str">
        <x:v>SKU-20033</x:v>
      </x:c>
      <x:c r="B34" s="3" t="str">
        <x:v>Finished Goods</x:v>
      </x:c>
      <x:c r="C34" s="3" t="str">
        <x:v>Dallas</x:v>
      </x:c>
      <x:c r="D34" s="3" t="n">
        <x:v>3619</x:v>
      </x:c>
      <x:c r="E34" s="3" t="n">
        <x:v>386.06</x:v>
      </x:c>
      <x:c r="F34" s="3" t="n">
        <x:v>6654554</x:v>
      </x:c>
      <x:c r="G34" s="3" t="str">
        <x:v>No</x:v>
      </x:c>
      <x:c r="H34" s="3" t="str">
        <x:v>No</x:v>
      </x:c>
      <x:c r="I34" s="3" t="n">
        <x:f>D34*E34</x:f>
        <x:v>1397151.14</x:v>
      </x:c>
      <x:c r="J34" s="3" t="n">
        <x:f>IFERROR(I34/F34*365,0)</x:f>
        <x:v>76.63325988488484</x:v>
      </x:c>
      <x:c r="K34" s="3" t="n">
        <x:f>IFERROR(F34/I34,0)</x:f>
        <x:v>4.762944973870186</x:v>
      </x:c>
      <x:c r="L34" s="3" t="str">
        <x:f>IF(G34="Yes","Liquidate/Write-down",IF(H34="Yes","Reduce safety stock",IF(J34&gt;90,"Replenishment review","Maintain")))</x:f>
        <x:v>Maintain</x:v>
      </x:c>
      <x:c r="M34" s="3" t="n">
        <x:f>IF(OR(G34="Yes",H34="Yes",J34&gt;90),I34*0.25,0)</x:f>
        <x:v>0</x:v>
      </x:c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 t="str">
        <x:v>SKU-20034</x:v>
      </x:c>
      <x:c r="B35" s="3" t="str">
        <x:v>Packaging</x:v>
      </x:c>
      <x:c r="C35" s="3" t="str">
        <x:v>Dallas</x:v>
      </x:c>
      <x:c r="D35" s="3" t="n">
        <x:v>2778</x:v>
      </x:c>
      <x:c r="E35" s="3" t="n">
        <x:v>508.19</x:v>
      </x:c>
      <x:c r="F35" s="3" t="n">
        <x:v>2427338</x:v>
      </x:c>
      <x:c r="G35" s="3" t="str">
        <x:v>No</x:v>
      </x:c>
      <x:c r="H35" s="3" t="str">
        <x:v>No</x:v>
      </x:c>
      <x:c r="I35" s="3" t="n">
        <x:f>D35*E35</x:f>
        <x:v>1411751.82</x:v>
      </x:c>
      <x:c r="J35" s="3" t="n">
        <x:f>IFERROR(I35/F35*365,0)</x:f>
        <x:v>212.28581034038112</x:v>
      </x:c>
      <x:c r="K35" s="3" t="n">
        <x:f>IFERROR(F35/I35,0)</x:f>
        <x:v>1.7193801103086235</x:v>
      </x:c>
      <x:c r="L35" s="3" t="str">
        <x:f>IF(G35="Yes","Liquidate/Write-down",IF(H35="Yes","Reduce safety stock",IF(J35&gt;90,"Replenishment review","Maintain")))</x:f>
        <x:v>Replenishment review</x:v>
      </x:c>
      <x:c r="M35" s="3" t="n">
        <x:f>IF(OR(G35="Yes",H35="Yes",J35&gt;90),I35*0.25,0)</x:f>
        <x:v>352937.955</x:v>
      </x:c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 t="str">
        <x:v>SKU-20035</x:v>
      </x:c>
      <x:c r="B36" s="3" t="str">
        <x:v>Raw Materials</x:v>
      </x:c>
      <x:c r="C36" s="3" t="str">
        <x:v>Atlanta</x:v>
      </x:c>
      <x:c r="D36" s="3" t="n">
        <x:v>2926</x:v>
      </x:c>
      <x:c r="E36" s="3" t="n">
        <x:v>474.98</x:v>
      </x:c>
      <x:c r="F36" s="3" t="n">
        <x:v>9407291</x:v>
      </x:c>
      <x:c r="G36" s="3" t="str">
        <x:v>No</x:v>
      </x:c>
      <x:c r="H36" s="3" t="str">
        <x:v>No</x:v>
      </x:c>
      <x:c r="I36" s="3" t="n">
        <x:f>D36*E36</x:f>
        <x:v>1389791.48</x:v>
      </x:c>
      <x:c r="J36" s="3" t="n">
        <x:f>IFERROR(I36/F36*365,0)</x:f>
        <x:v>53.92348235001979</x:v>
      </x:c>
      <x:c r="K36" s="3" t="n">
        <x:f>IFERROR(F36/I36,0)</x:f>
        <x:v>6.768850676793615</x:v>
      </x:c>
      <x:c r="L36" s="3" t="str">
        <x:f>IF(G36="Yes","Liquidate/Write-down",IF(H36="Yes","Reduce safety stock",IF(J36&gt;90,"Replenishment review","Maintain")))</x:f>
        <x:v>Maintain</x:v>
      </x:c>
      <x:c r="M36" s="3" t="n">
        <x:f>IF(OR(G36="Yes",H36="Yes",J36&gt;90),I36*0.25,0)</x:f>
        <x:v>0</x:v>
      </x:c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 t="str">
        <x:v>SKU-20036</x:v>
      </x:c>
      <x:c r="B37" s="3" t="str">
        <x:v>Raw Materials</x:v>
      </x:c>
      <x:c r="C37" s="3" t="str">
        <x:v>Atlanta</x:v>
      </x:c>
      <x:c r="D37" s="3" t="n">
        <x:v>1666</x:v>
      </x:c>
      <x:c r="E37" s="3" t="n">
        <x:v>119.39</x:v>
      </x:c>
      <x:c r="F37" s="3" t="n">
        <x:v>445448</x:v>
      </x:c>
      <x:c r="G37" s="3" t="str">
        <x:v>No</x:v>
      </x:c>
      <x:c r="H37" s="3" t="str">
        <x:v>Yes</x:v>
      </x:c>
      <x:c r="I37" s="3" t="n">
        <x:f>D37*E37</x:f>
        <x:v>198903.74</x:v>
      </x:c>
      <x:c r="J37" s="3" t="n">
        <x:f>IFERROR(I37/F37*365,0)</x:f>
        <x:v>162.9816838329053</x:v>
      </x:c>
      <x:c r="K37" s="3" t="n">
        <x:f>IFERROR(F37/I37,0)</x:f>
        <x:v>2.239515456069353</x:v>
      </x:c>
      <x:c r="L37" s="3" t="str">
        <x:f>IF(G37="Yes","Liquidate/Write-down",IF(H37="Yes","Reduce safety stock",IF(J37&gt;90,"Replenishment review","Maintain")))</x:f>
        <x:v>Reduce safety stock</x:v>
      </x:c>
      <x:c r="M37" s="3" t="n">
        <x:f>IF(OR(G37="Yes",H37="Yes",J37&gt;90),I37*0.25,0)</x:f>
        <x:v>49725.935</x:v>
      </x:c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 t="str">
        <x:v>SKU-20037</x:v>
      </x:c>
      <x:c r="B38" s="3" t="str">
        <x:v>Service Parts</x:v>
      </x:c>
      <x:c r="C38" s="3" t="str">
        <x:v>Phoenix</x:v>
      </x:c>
      <x:c r="D38" s="3" t="n">
        <x:v>3850</x:v>
      </x:c>
      <x:c r="E38" s="3" t="n">
        <x:v>492.35</x:v>
      </x:c>
      <x:c r="F38" s="3" t="n">
        <x:v>12069263</x:v>
      </x:c>
      <x:c r="G38" s="3" t="str">
        <x:v>No</x:v>
      </x:c>
      <x:c r="H38" s="3" t="str">
        <x:v>No</x:v>
      </x:c>
      <x:c r="I38" s="3" t="n">
        <x:f>D38*E38</x:f>
        <x:v>1895547.5</x:v>
      </x:c>
      <x:c r="J38" s="3" t="n">
        <x:f>IFERROR(I38/F38*365,0)</x:f>
        <x:v>57.32535926178756</x:v>
      </x:c>
      <x:c r="K38" s="3" t="n">
        <x:f>IFERROR(F38/I38,0)</x:f>
        <x:v>6.367164631854385</x:v>
      </x:c>
      <x:c r="L38" s="3" t="str">
        <x:f>IF(G38="Yes","Liquidate/Write-down",IF(H38="Yes","Reduce safety stock",IF(J38&gt;90,"Replenishment review","Maintain")))</x:f>
        <x:v>Maintain</x:v>
      </x:c>
      <x:c r="M38" s="3" t="n">
        <x:f>IF(OR(G38="Yes",H38="Yes",J38&gt;90),I38*0.25,0)</x:f>
        <x:v>0</x:v>
      </x:c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 t="str">
        <x:v>SKU-20038</x:v>
      </x:c>
      <x:c r="B39" s="3" t="str">
        <x:v>WIP</x:v>
      </x:c>
      <x:c r="C39" s="3" t="str">
        <x:v>Nashville</x:v>
      </x:c>
      <x:c r="D39" s="3" t="n">
        <x:v>5254</x:v>
      </x:c>
      <x:c r="E39" s="3" t="n">
        <x:v>641.35</x:v>
      </x:c>
      <x:c r="F39" s="3" t="n">
        <x:v>11449461</x:v>
      </x:c>
      <x:c r="G39" s="3" t="str">
        <x:v>No</x:v>
      </x:c>
      <x:c r="H39" s="3" t="str">
        <x:v>No</x:v>
      </x:c>
      <x:c r="I39" s="3" t="n">
        <x:f>D39*E39</x:f>
        <x:v>3369652.9</x:v>
      </x:c>
      <x:c r="J39" s="3" t="n">
        <x:f>IFERROR(I39/F39*365,0)</x:f>
        <x:v>107.4219396441457</x:v>
      </x:c>
      <x:c r="K39" s="3" t="n">
        <x:f>IFERROR(F39/I39,0)</x:f>
        <x:v>3.3978161370864046</x:v>
      </x:c>
      <x:c r="L39" s="3" t="str">
        <x:f>IF(G39="Yes","Liquidate/Write-down",IF(H39="Yes","Reduce safety stock",IF(J39&gt;90,"Replenishment review","Maintain")))</x:f>
        <x:v>Replenishment review</x:v>
      </x:c>
      <x:c r="M39" s="3" t="n">
        <x:f>IF(OR(G39="Yes",H39="Yes",J39&gt;90),I39*0.25,0)</x:f>
        <x:v>842413.225</x:v>
      </x:c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 t="str">
        <x:v>SKU-20039</x:v>
      </x:c>
      <x:c r="B40" s="3" t="str">
        <x:v>Spare Parts</x:v>
      </x:c>
      <x:c r="C40" s="3" t="str">
        <x:v>Chicago</x:v>
      </x:c>
      <x:c r="D40" s="3" t="n">
        <x:v>3891</x:v>
      </x:c>
      <x:c r="E40" s="3" t="n">
        <x:v>291.9</x:v>
      </x:c>
      <x:c r="F40" s="3" t="n">
        <x:v>3701720</x:v>
      </x:c>
      <x:c r="G40" s="3" t="str">
        <x:v>No</x:v>
      </x:c>
      <x:c r="H40" s="3" t="str">
        <x:v>Yes</x:v>
      </x:c>
      <x:c r="I40" s="3" t="n">
        <x:f>D40*E40</x:f>
        <x:v>1135782.9</x:v>
      </x:c>
      <x:c r="J40" s="3" t="n">
        <x:f>IFERROR(I40/F40*365,0)</x:f>
        <x:v>111.99138738208184</x:v>
      </x:c>
      <x:c r="K40" s="3" t="n">
        <x:f>IFERROR(F40/I40,0)</x:f>
        <x:v>3.259179197010274</x:v>
      </x:c>
      <x:c r="L40" s="3" t="str">
        <x:f>IF(G40="Yes","Liquidate/Write-down",IF(H40="Yes","Reduce safety stock",IF(J40&gt;90,"Replenishment review","Maintain")))</x:f>
        <x:v>Reduce safety stock</x:v>
      </x:c>
      <x:c r="M40" s="3" t="n">
        <x:f>IF(OR(G40="Yes",H40="Yes",J40&gt;90),I40*0.25,0)</x:f>
        <x:v>283945.725</x:v>
      </x:c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 t="str">
        <x:v>SKU-20040</x:v>
      </x:c>
      <x:c r="B41" s="3" t="str">
        <x:v>WIP</x:v>
      </x:c>
      <x:c r="C41" s="3" t="str">
        <x:v>Chicago</x:v>
      </x:c>
      <x:c r="D41" s="3" t="n">
        <x:v>2592</x:v>
      </x:c>
      <x:c r="E41" s="3" t="n">
        <x:v>304.44</x:v>
      </x:c>
      <x:c r="F41" s="3" t="n">
        <x:v>1148728</x:v>
      </x:c>
      <x:c r="G41" s="3" t="str">
        <x:v>No</x:v>
      </x:c>
      <x:c r="H41" s="3" t="str">
        <x:v>No</x:v>
      </x:c>
      <x:c r="I41" s="3" t="n">
        <x:f>D41*E41</x:f>
        <x:v>789108.48</x:v>
      </x:c>
      <x:c r="J41" s="3" t="n">
        <x:f>IFERROR(I41/F41*365,0)</x:f>
        <x:v>250.73350279613624</x:v>
      </x:c>
      <x:c r="K41" s="3" t="n">
        <x:f>IFERROR(F41/I41,0)</x:f>
        <x:v>1.4557288751985025</x:v>
      </x:c>
      <x:c r="L41" s="3" t="str">
        <x:f>IF(G41="Yes","Liquidate/Write-down",IF(H41="Yes","Reduce safety stock",IF(J41&gt;90,"Replenishment review","Maintain")))</x:f>
        <x:v>Replenishment review</x:v>
      </x:c>
      <x:c r="M41" s="3" t="n">
        <x:f>IF(OR(G41="Yes",H41="Yes",J41&gt;90),I41*0.25,0)</x:f>
        <x:v>197277.12</x:v>
      </x:c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 t="str">
        <x:v>SKU-20041</x:v>
      </x:c>
      <x:c r="B42" s="3" t="str">
        <x:v>Service Parts</x:v>
      </x:c>
      <x:c r="C42" s="3" t="str">
        <x:v>Chicago</x:v>
      </x:c>
      <x:c r="D42" s="3" t="n">
        <x:v>5088</x:v>
      </x:c>
      <x:c r="E42" s="3" t="n">
        <x:v>389.4</x:v>
      </x:c>
      <x:c r="F42" s="3" t="n">
        <x:v>7557506</x:v>
      </x:c>
      <x:c r="G42" s="3" t="str">
        <x:v>No</x:v>
      </x:c>
      <x:c r="H42" s="3" t="str">
        <x:v>No</x:v>
      </x:c>
      <x:c r="I42" s="3" t="n">
        <x:f>D42*E42</x:f>
        <x:v>1981267.2</x:v>
      </x:c>
      <x:c r="J42" s="3" t="n">
        <x:f>IFERROR(I42/F42*365,0)</x:f>
        <x:v>95.68798595727215</x:v>
      </x:c>
      <x:c r="K42" s="3" t="n">
        <x:f>IFERROR(F42/I42,0)</x:f>
        <x:v>3.814480954411399</x:v>
      </x:c>
      <x:c r="L42" s="3" t="str">
        <x:f>IF(G42="Yes","Liquidate/Write-down",IF(H42="Yes","Reduce safety stock",IF(J42&gt;90,"Replenishment review","Maintain")))</x:f>
        <x:v>Replenishment review</x:v>
      </x:c>
      <x:c r="M42" s="3" t="n">
        <x:f>IF(OR(G42="Yes",H42="Yes",J42&gt;90),I42*0.25,0)</x:f>
        <x:v>495316.8</x:v>
      </x:c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 t="str">
        <x:v>SKU-20042</x:v>
      </x:c>
      <x:c r="B43" s="3" t="str">
        <x:v>Service Parts</x:v>
      </x:c>
      <x:c r="C43" s="3" t="str">
        <x:v>Chicago</x:v>
      </x:c>
      <x:c r="D43" s="3" t="n">
        <x:v>3734</x:v>
      </x:c>
      <x:c r="E43" s="3" t="n">
        <x:v>591.61</x:v>
      </x:c>
      <x:c r="F43" s="3" t="n">
        <x:v>11238134</x:v>
      </x:c>
      <x:c r="G43" s="3" t="str">
        <x:v>No</x:v>
      </x:c>
      <x:c r="H43" s="3" t="str">
        <x:v>No</x:v>
      </x:c>
      <x:c r="I43" s="3" t="n">
        <x:f>D43*E43</x:f>
        <x:v>2209071.74</x:v>
      </x:c>
      <x:c r="J43" s="3" t="n">
        <x:f>IFERROR(I43/F43*365,0)</x:f>
        <x:v>71.74778171358342</x:v>
      </x:c>
      <x:c r="K43" s="3" t="n">
        <x:f>IFERROR(F43/I43,0)</x:f>
        <x:v>5.087265296327588</x:v>
      </x:c>
      <x:c r="L43" s="3" t="str">
        <x:f>IF(G43="Yes","Liquidate/Write-down",IF(H43="Yes","Reduce safety stock",IF(J43&gt;90,"Replenishment review","Maintain")))</x:f>
        <x:v>Maintain</x:v>
      </x:c>
      <x:c r="M43" s="3" t="n">
        <x:f>IF(OR(G43="Yes",H43="Yes",J43&gt;90),I43*0.25,0)</x:f>
        <x:v>0</x:v>
      </x:c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 t="str">
        <x:v>SKU-20043</x:v>
      </x:c>
      <x:c r="B44" s="3" t="str">
        <x:v>WIP</x:v>
      </x:c>
      <x:c r="C44" s="3" t="str">
        <x:v>Dallas</x:v>
      </x:c>
      <x:c r="D44" s="3" t="n">
        <x:v>556</x:v>
      </x:c>
      <x:c r="E44" s="3" t="n">
        <x:v>297.24</x:v>
      </x:c>
      <x:c r="F44" s="3" t="n">
        <x:v>1109687</x:v>
      </x:c>
      <x:c r="G44" s="3" t="str">
        <x:v>No</x:v>
      </x:c>
      <x:c r="H44" s="3" t="str">
        <x:v>No</x:v>
      </x:c>
      <x:c r="I44" s="3" t="n">
        <x:f>D44*E44</x:f>
        <x:v>165265.44</x:v>
      </x:c>
      <x:c r="J44" s="3" t="n">
        <x:f>IFERROR(I44/F44*365,0)</x:f>
        <x:v>54.35936944381614</x:v>
      </x:c>
      <x:c r="K44" s="3" t="n">
        <x:f>IFERROR(F44/I44,0)</x:f>
        <x:v>6.714573839515388</x:v>
      </x:c>
      <x:c r="L44" s="3" t="str">
        <x:f>IF(G44="Yes","Liquidate/Write-down",IF(H44="Yes","Reduce safety stock",IF(J44&gt;90,"Replenishment review","Maintain")))</x:f>
        <x:v>Maintain</x:v>
      </x:c>
      <x:c r="M44" s="3" t="n">
        <x:f>IF(OR(G44="Yes",H44="Yes",J44&gt;90),I44*0.25,0)</x:f>
        <x:v>0</x:v>
      </x:c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 t="str">
        <x:v>SKU-20044</x:v>
      </x:c>
      <x:c r="B45" s="3" t="str">
        <x:v>Finished Goods</x:v>
      </x:c>
      <x:c r="C45" s="3" t="str">
        <x:v>Columbus</x:v>
      </x:c>
      <x:c r="D45" s="3" t="n">
        <x:v>5343</x:v>
      </x:c>
      <x:c r="E45" s="3" t="n">
        <x:v>118.78</x:v>
      </x:c>
      <x:c r="F45" s="3" t="n">
        <x:v>1830723</x:v>
      </x:c>
      <x:c r="G45" s="3" t="str">
        <x:v>No</x:v>
      </x:c>
      <x:c r="H45" s="3" t="str">
        <x:v>No</x:v>
      </x:c>
      <x:c r="I45" s="3" t="n">
        <x:f>D45*E45</x:f>
        <x:v>634641.54</x:v>
      </x:c>
      <x:c r="J45" s="3" t="n">
        <x:f>IFERROR(I45/F45*365,0)</x:f>
        <x:v>126.5315190228123</x:v>
      </x:c>
      <x:c r="K45" s="3" t="n">
        <x:f>IFERROR(F45/I45,0)</x:f>
        <x:v>2.884656746547035</x:v>
      </x:c>
      <x:c r="L45" s="3" t="str">
        <x:f>IF(G45="Yes","Liquidate/Write-down",IF(H45="Yes","Reduce safety stock",IF(J45&gt;90,"Replenishment review","Maintain")))</x:f>
        <x:v>Replenishment review</x:v>
      </x:c>
      <x:c r="M45" s="3" t="n">
        <x:f>IF(OR(G45="Yes",H45="Yes",J45&gt;90),I45*0.25,0)</x:f>
        <x:v>158660.385</x:v>
      </x:c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 t="str">
        <x:v>SKU-20045</x:v>
      </x:c>
      <x:c r="B46" s="3" t="str">
        <x:v>WIP</x:v>
      </x:c>
      <x:c r="C46" s="3" t="str">
        <x:v>Columbus</x:v>
      </x:c>
      <x:c r="D46" s="3" t="n">
        <x:v>1350</x:v>
      </x:c>
      <x:c r="E46" s="3" t="n">
        <x:v>241.62</x:v>
      </x:c>
      <x:c r="F46" s="3" t="n">
        <x:v>2427474</x:v>
      </x:c>
      <x:c r="G46" s="3" t="str">
        <x:v>No</x:v>
      </x:c>
      <x:c r="H46" s="3" t="str">
        <x:v>No</x:v>
      </x:c>
      <x:c r="I46" s="3" t="n">
        <x:f>D46*E46</x:f>
        <x:v>326187</x:v>
      </x:c>
      <x:c r="J46" s="3" t="n">
        <x:f>IFERROR(I46/F46*365,0)</x:f>
        <x:v>49.04615044280598</x:v>
      </x:c>
      <x:c r="K46" s="3" t="n">
        <x:f>IFERROR(F46/I46,0)</x:f>
        <x:v>7.441970403480212</x:v>
      </x:c>
      <x:c r="L46" s="3" t="str">
        <x:f>IF(G46="Yes","Liquidate/Write-down",IF(H46="Yes","Reduce safety stock",IF(J46&gt;90,"Replenishment review","Maintain")))</x:f>
        <x:v>Maintain</x:v>
      </x:c>
      <x:c r="M46" s="3" t="n">
        <x:f>IF(OR(G46="Yes",H46="Yes",J46&gt;90),I46*0.25,0)</x:f>
        <x:v>0</x:v>
      </x:c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 t="str">
        <x:v>SKU-20046</x:v>
      </x:c>
      <x:c r="B47" s="3" t="str">
        <x:v>Service Parts</x:v>
      </x:c>
      <x:c r="C47" s="3" t="str">
        <x:v>Columbus</x:v>
      </x:c>
      <x:c r="D47" s="3" t="n">
        <x:v>478</x:v>
      </x:c>
      <x:c r="E47" s="3" t="n">
        <x:v>514.68</x:v>
      </x:c>
      <x:c r="F47" s="3" t="n">
        <x:v>1378108</x:v>
      </x:c>
      <x:c r="G47" s="3" t="str">
        <x:v>Yes</x:v>
      </x:c>
      <x:c r="H47" s="3" t="str">
        <x:v>Yes</x:v>
      </x:c>
      <x:c r="I47" s="3" t="n">
        <x:f>D47*E47</x:f>
        <x:v>246017.03999999998</x:v>
      </x:c>
      <x:c r="J47" s="3" t="n">
        <x:f>IFERROR(I47/F47*365,0)</x:f>
        <x:v>65.15905836117342</x:v>
      </x:c>
      <x:c r="K47" s="3" t="n">
        <x:f>IFERROR(F47/I47,0)</x:f>
        <x:v>5.601677022046928</x:v>
      </x:c>
      <x:c r="L47" s="3" t="str">
        <x:f>IF(G47="Yes","Liquidate/Write-down",IF(H47="Yes","Reduce safety stock",IF(J47&gt;90,"Replenishment review","Maintain")))</x:f>
        <x:v>Liquidate/Write-down</x:v>
      </x:c>
      <x:c r="M47" s="3" t="n">
        <x:f>IF(OR(G47="Yes",H47="Yes",J47&gt;90),I47*0.25,0)</x:f>
        <x:v>61504.259999999995</x:v>
      </x:c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 t="str">
        <x:v>SKU-20047</x:v>
      </x:c>
      <x:c r="B48" s="3" t="str">
        <x:v>Service Parts</x:v>
      </x:c>
      <x:c r="C48" s="3" t="str">
        <x:v>Phoenix</x:v>
      </x:c>
      <x:c r="D48" s="3" t="n">
        <x:v>2377</x:v>
      </x:c>
      <x:c r="E48" s="3" t="n">
        <x:v>169.78</x:v>
      </x:c>
      <x:c r="F48" s="3" t="n">
        <x:v>2821196</x:v>
      </x:c>
      <x:c r="G48" s="3" t="str">
        <x:v>No</x:v>
      </x:c>
      <x:c r="H48" s="3" t="str">
        <x:v>No</x:v>
      </x:c>
      <x:c r="I48" s="3" t="n">
        <x:f>D48*E48</x:f>
        <x:v>403567.06</x:v>
      </x:c>
      <x:c r="J48" s="3" t="n">
        <x:f>IFERROR(I48/F48*365,0)</x:f>
        <x:v>52.21259951453213</x:v>
      </x:c>
      <x:c r="K48" s="3" t="n">
        <x:f>IFERROR(F48/I48,0)</x:f>
        <x:v>6.990649831529858</x:v>
      </x:c>
      <x:c r="L48" s="3" t="str">
        <x:f>IF(G48="Yes","Liquidate/Write-down",IF(H48="Yes","Reduce safety stock",IF(J48&gt;90,"Replenishment review","Maintain")))</x:f>
        <x:v>Maintain</x:v>
      </x:c>
      <x:c r="M48" s="3" t="n">
        <x:f>IF(OR(G48="Yes",H48="Yes",J48&gt;90),I48*0.25,0)</x:f>
        <x:v>0</x:v>
      </x:c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 t="str">
        <x:v>SKU-20048</x:v>
      </x:c>
      <x:c r="B49" s="3" t="str">
        <x:v>Raw Materials</x:v>
      </x:c>
      <x:c r="C49" s="3" t="str">
        <x:v>Atlanta</x:v>
      </x:c>
      <x:c r="D49" s="3" t="n">
        <x:v>717</x:v>
      </x:c>
      <x:c r="E49" s="3" t="n">
        <x:v>382.12</x:v>
      </x:c>
      <x:c r="F49" s="3" t="n">
        <x:v>592266</x:v>
      </x:c>
      <x:c r="G49" s="3" t="str">
        <x:v>No</x:v>
      </x:c>
      <x:c r="H49" s="3" t="str">
        <x:v>No</x:v>
      </x:c>
      <x:c r="I49" s="3" t="n">
        <x:f>D49*E49</x:f>
        <x:v>273980.04</x:v>
      </x:c>
      <x:c r="J49" s="3" t="n">
        <x:f>IFERROR(I49/F49*365,0)</x:f>
        <x:v>168.84763704146445</x:v>
      </x:c>
      <x:c r="K49" s="3" t="n">
        <x:f>IFERROR(F49/I49,0)</x:f>
        <x:v>2.161712218160126</x:v>
      </x:c>
      <x:c r="L49" s="3" t="str">
        <x:f>IF(G49="Yes","Liquidate/Write-down",IF(H49="Yes","Reduce safety stock",IF(J49&gt;90,"Replenishment review","Maintain")))</x:f>
        <x:v>Replenishment review</x:v>
      </x:c>
      <x:c r="M49" s="3" t="n">
        <x:f>IF(OR(G49="Yes",H49="Yes",J49&gt;90),I49*0.25,0)</x:f>
        <x:v>68495.01</x:v>
      </x:c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 t="str">
        <x:v>SKU-20049</x:v>
      </x:c>
      <x:c r="B50" s="3" t="str">
        <x:v>Service Parts</x:v>
      </x:c>
      <x:c r="C50" s="3" t="str">
        <x:v>Nashville</x:v>
      </x:c>
      <x:c r="D50" s="3" t="n">
        <x:v>3260</x:v>
      </x:c>
      <x:c r="E50" s="3" t="n">
        <x:v>90.79</x:v>
      </x:c>
      <x:c r="F50" s="3" t="n">
        <x:v>1781793</x:v>
      </x:c>
      <x:c r="G50" s="3" t="str">
        <x:v>Yes</x:v>
      </x:c>
      <x:c r="H50" s="3" t="str">
        <x:v>No</x:v>
      </x:c>
      <x:c r="I50" s="3" t="n">
        <x:f>D50*E50</x:f>
        <x:v>295975.4</x:v>
      </x:c>
      <x:c r="J50" s="3" t="n">
        <x:f>IFERROR(I50/F50*365,0)</x:f>
        <x:v>60.63051151284128</x:v>
      </x:c>
      <x:c r="K50" s="3" t="n">
        <x:f>IFERROR(F50/I50,0)</x:f>
        <x:v>6.020071262679263</x:v>
      </x:c>
      <x:c r="L50" s="3" t="str">
        <x:f>IF(G50="Yes","Liquidate/Write-down",IF(H50="Yes","Reduce safety stock",IF(J50&gt;90,"Replenishment review","Maintain")))</x:f>
        <x:v>Liquidate/Write-down</x:v>
      </x:c>
      <x:c r="M50" s="3" t="n">
        <x:f>IF(OR(G50="Yes",H50="Yes",J50&gt;90),I50*0.25,0)</x:f>
        <x:v>73993.85</x:v>
      </x:c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 t="str">
        <x:v>SKU-20050</x:v>
      </x:c>
      <x:c r="B51" s="3" t="str">
        <x:v>Service Parts</x:v>
      </x:c>
      <x:c r="C51" s="3" t="str">
        <x:v>Atlanta</x:v>
      </x:c>
      <x:c r="D51" s="3" t="n">
        <x:v>1096</x:v>
      </x:c>
      <x:c r="E51" s="3" t="n">
        <x:v>438.21</x:v>
      </x:c>
      <x:c r="F51" s="3" t="n">
        <x:v>3283624</x:v>
      </x:c>
      <x:c r="G51" s="3" t="str">
        <x:v>No</x:v>
      </x:c>
      <x:c r="H51" s="3" t="str">
        <x:v>No</x:v>
      </x:c>
      <x:c r="I51" s="3" t="n">
        <x:f>D51*E51</x:f>
        <x:v>480278.16</x:v>
      </x:c>
      <x:c r="J51" s="3" t="n">
        <x:f>IFERROR(I51/F51*365,0)</x:f>
        <x:v>53.3866022419132</x:v>
      </x:c>
      <x:c r="K51" s="3" t="n">
        <x:f>IFERROR(F51/I51,0)</x:f>
        <x:v>6.8369213374183</x:v>
      </x:c>
      <x:c r="L51" s="3" t="str">
        <x:f>IF(G51="Yes","Liquidate/Write-down",IF(H51="Yes","Reduce safety stock",IF(J51&gt;90,"Replenishment review","Maintain")))</x:f>
        <x:v>Maintain</x:v>
      </x:c>
      <x:c r="M51" s="3" t="n">
        <x:f>IF(OR(G51="Yes",H51="Yes",J51&gt;90),I51*0.25,0)</x:f>
        <x:v>0</x:v>
      </x:c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 t="str">
        <x:v>SKU-20051</x:v>
      </x:c>
      <x:c r="B52" s="3" t="str">
        <x:v>WIP</x:v>
      </x:c>
      <x:c r="C52" s="3" t="str">
        <x:v>Chicago</x:v>
      </x:c>
      <x:c r="D52" s="3" t="n">
        <x:v>5342</x:v>
      </x:c>
      <x:c r="E52" s="3" t="n">
        <x:v>438.43</x:v>
      </x:c>
      <x:c r="F52" s="3" t="n">
        <x:v>10908818</x:v>
      </x:c>
      <x:c r="G52" s="3" t="str">
        <x:v>Yes</x:v>
      </x:c>
      <x:c r="H52" s="3" t="str">
        <x:v>No</x:v>
      </x:c>
      <x:c r="I52" s="3" t="n">
        <x:f>D52*E52</x:f>
        <x:v>2342093.06</x:v>
      </x:c>
      <x:c r="J52" s="3" t="n">
        <x:f>IFERROR(I52/F52*365,0)</x:f>
        <x:v>78.36449071750945</x:v>
      </x:c>
      <x:c r="K52" s="3" t="n">
        <x:f>IFERROR(F52/I52,0)</x:f>
        <x:v>4.65772184133452</x:v>
      </x:c>
      <x:c r="L52" s="3" t="str">
        <x:f>IF(G52="Yes","Liquidate/Write-down",IF(H52="Yes","Reduce safety stock",IF(J52&gt;90,"Replenishment review","Maintain")))</x:f>
        <x:v>Liquidate/Write-down</x:v>
      </x:c>
      <x:c r="M52" s="3" t="n">
        <x:f>IF(OR(G52="Yes",H52="Yes",J52&gt;90),I52*0.25,0)</x:f>
        <x:v>585523.265</x:v>
      </x:c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 t="str">
        <x:v>SKU-20052</x:v>
      </x:c>
      <x:c r="B53" s="3" t="str">
        <x:v>Raw Materials</x:v>
      </x:c>
      <x:c r="C53" s="3" t="str">
        <x:v>Atlanta</x:v>
      </x:c>
      <x:c r="D53" s="3" t="n">
        <x:v>4033</x:v>
      </x:c>
      <x:c r="E53" s="3" t="n">
        <x:v>131.27</x:v>
      </x:c>
      <x:c r="F53" s="3" t="n">
        <x:v>4235211</x:v>
      </x:c>
      <x:c r="G53" s="3" t="str">
        <x:v>No</x:v>
      </x:c>
      <x:c r="H53" s="3" t="str">
        <x:v>No</x:v>
      </x:c>
      <x:c r="I53" s="3" t="n">
        <x:f>D53*E53</x:f>
        <x:v>529411.91</x:v>
      </x:c>
      <x:c r="J53" s="3" t="n">
        <x:f>IFERROR(I53/F53*365,0)</x:f>
        <x:v>45.62590792997091</x:v>
      </x:c>
      <x:c r="K53" s="3" t="n">
        <x:f>IFERROR(F53/I53,0)</x:f>
        <x:v>7.999840804488135</x:v>
      </x:c>
      <x:c r="L53" s="3" t="str">
        <x:f>IF(G53="Yes","Liquidate/Write-down",IF(H53="Yes","Reduce safety stock",IF(J53&gt;90,"Replenishment review","Maintain")))</x:f>
        <x:v>Maintain</x:v>
      </x:c>
      <x:c r="M53" s="3" t="n">
        <x:f>IF(OR(G53="Yes",H53="Yes",J53&gt;90),I53*0.25,0)</x:f>
        <x:v>0</x:v>
      </x:c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 t="str">
        <x:v>SKU-20053</x:v>
      </x:c>
      <x:c r="B54" s="3" t="str">
        <x:v>Finished Goods</x:v>
      </x:c>
      <x:c r="C54" s="3" t="str">
        <x:v>Columbus</x:v>
      </x:c>
      <x:c r="D54" s="3" t="n">
        <x:v>4471</x:v>
      </x:c>
      <x:c r="E54" s="3" t="n">
        <x:v>544.15</x:v>
      </x:c>
      <x:c r="F54" s="3" t="n">
        <x:v>17538832</x:v>
      </x:c>
      <x:c r="G54" s="3" t="str">
        <x:v>Yes</x:v>
      </x:c>
      <x:c r="H54" s="3" t="str">
        <x:v>No</x:v>
      </x:c>
      <x:c r="I54" s="3" t="n">
        <x:f>D54*E54</x:f>
        <x:v>2432894.65</x:v>
      </x:c>
      <x:c r="J54" s="3" t="n">
        <x:f>IFERROR(I54/F54*365,0)</x:f>
        <x:v>50.63088278911618</x:v>
      </x:c>
      <x:c r="K54" s="3" t="n">
        <x:f>IFERROR(F54/I54,0)</x:f>
        <x:v>7.209038829527617</x:v>
      </x:c>
      <x:c r="L54" s="3" t="str">
        <x:f>IF(G54="Yes","Liquidate/Write-down",IF(H54="Yes","Reduce safety stock",IF(J54&gt;90,"Replenishment review","Maintain")))</x:f>
        <x:v>Liquidate/Write-down</x:v>
      </x:c>
      <x:c r="M54" s="3" t="n">
        <x:f>IF(OR(G54="Yes",H54="Yes",J54&gt;90),I54*0.25,0)</x:f>
        <x:v>608223.6625</x:v>
      </x:c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 t="str">
        <x:v>SKU-20054</x:v>
      </x:c>
      <x:c r="B55" s="3" t="str">
        <x:v>WIP</x:v>
      </x:c>
      <x:c r="C55" s="3" t="str">
        <x:v>Dallas</x:v>
      </x:c>
      <x:c r="D55" s="3" t="n">
        <x:v>4942</x:v>
      </x:c>
      <x:c r="E55" s="3" t="n">
        <x:v>249.85</x:v>
      </x:c>
      <x:c r="F55" s="3" t="n">
        <x:v>2843996</x:v>
      </x:c>
      <x:c r="G55" s="3" t="str">
        <x:v>No</x:v>
      </x:c>
      <x:c r="H55" s="3" t="str">
        <x:v>No</x:v>
      </x:c>
      <x:c r="I55" s="3" t="n">
        <x:f>D55*E55</x:f>
        <x:v>1234758.7</x:v>
      </x:c>
      <x:c r="J55" s="3" t="n">
        <x:f>IFERROR(I55/F55*365,0)</x:f>
        <x:v>158.46960596990994</x:v>
      </x:c>
      <x:c r="K55" s="3" t="n">
        <x:f>IFERROR(F55/I55,0)</x:f>
        <x:v>2.3032807948629963</x:v>
      </x:c>
      <x:c r="L55" s="3" t="str">
        <x:f>IF(G55="Yes","Liquidate/Write-down",IF(H55="Yes","Reduce safety stock",IF(J55&gt;90,"Replenishment review","Maintain")))</x:f>
        <x:v>Replenishment review</x:v>
      </x:c>
      <x:c r="M55" s="3" t="n">
        <x:f>IF(OR(G55="Yes",H55="Yes",J55&gt;90),I55*0.25,0)</x:f>
        <x:v>308689.675</x:v>
      </x:c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 t="str">
        <x:v>SKU-20055</x:v>
      </x:c>
      <x:c r="B56" s="3" t="str">
        <x:v>Raw Materials</x:v>
      </x:c>
      <x:c r="C56" s="3" t="str">
        <x:v>Nashville</x:v>
      </x:c>
      <x:c r="D56" s="3" t="n">
        <x:v>3635</x:v>
      </x:c>
      <x:c r="E56" s="3" t="n">
        <x:v>36.05</x:v>
      </x:c>
      <x:c r="F56" s="3" t="n">
        <x:v>481871</x:v>
      </x:c>
      <x:c r="G56" s="3" t="str">
        <x:v>No</x:v>
      </x:c>
      <x:c r="H56" s="3" t="str">
        <x:v>No</x:v>
      </x:c>
      <x:c r="I56" s="3" t="n">
        <x:f>D56*E56</x:f>
        <x:v>131041.74999999999</x:v>
      </x:c>
      <x:c r="J56" s="3" t="n">
        <x:f>IFERROR(I56/F56*365,0)</x:f>
        <x:v>99.2594257591762</x:v>
      </x:c>
      <x:c r="K56" s="3" t="n">
        <x:f>IFERROR(F56/I56,0)</x:f>
        <x:v>3.677232637689897</x:v>
      </x:c>
      <x:c r="L56" s="3" t="str">
        <x:f>IF(G56="Yes","Liquidate/Write-down",IF(H56="Yes","Reduce safety stock",IF(J56&gt;90,"Replenishment review","Maintain")))</x:f>
        <x:v>Replenishment review</x:v>
      </x:c>
      <x:c r="M56" s="3" t="n">
        <x:f>IF(OR(G56="Yes",H56="Yes",J56&gt;90),I56*0.25,0)</x:f>
        <x:v>32760.437499999996</x:v>
      </x:c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 t="str">
        <x:v>SKU-20056</x:v>
      </x:c>
      <x:c r="B57" s="3" t="str">
        <x:v>WIP</x:v>
      </x:c>
      <x:c r="C57" s="3" t="str">
        <x:v>Atlanta</x:v>
      </x:c>
      <x:c r="D57" s="3" t="n">
        <x:v>3727</x:v>
      </x:c>
      <x:c r="E57" s="3" t="n">
        <x:v>158.23</x:v>
      </x:c>
      <x:c r="F57" s="3" t="n">
        <x:v>1666762</x:v>
      </x:c>
      <x:c r="G57" s="3" t="str">
        <x:v>No</x:v>
      </x:c>
      <x:c r="H57" s="3" t="str">
        <x:v>No</x:v>
      </x:c>
      <x:c r="I57" s="3" t="n">
        <x:f>D57*E57</x:f>
        <x:v>589723.21</x:v>
      </x:c>
      <x:c r="J57" s="3" t="n">
        <x:f>IFERROR(I57/F57*365,0)</x:f>
        <x:v>129.14199606782492</x:v>
      </x:c>
      <x:c r="K57" s="3" t="n">
        <x:f>IFERROR(F57/I57,0)</x:f>
        <x:v>2.826346278621118</x:v>
      </x:c>
      <x:c r="L57" s="3" t="str">
        <x:f>IF(G57="Yes","Liquidate/Write-down",IF(H57="Yes","Reduce safety stock",IF(J57&gt;90,"Replenishment review","Maintain")))</x:f>
        <x:v>Replenishment review</x:v>
      </x:c>
      <x:c r="M57" s="3" t="n">
        <x:f>IF(OR(G57="Yes",H57="Yes",J57&gt;90),I57*0.25,0)</x:f>
        <x:v>147430.8025</x:v>
      </x:c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 t="str">
        <x:v>SKU-20057</x:v>
      </x:c>
      <x:c r="B58" s="3" t="str">
        <x:v>Raw Materials</x:v>
      </x:c>
      <x:c r="C58" s="3" t="str">
        <x:v>Atlanta</x:v>
      </x:c>
      <x:c r="D58" s="3" t="n">
        <x:v>5606</x:v>
      </x:c>
      <x:c r="E58" s="3" t="n">
        <x:v>616.06</x:v>
      </x:c>
      <x:c r="F58" s="3" t="n">
        <x:v>27263632</x:v>
      </x:c>
      <x:c r="G58" s="3" t="str">
        <x:v>No</x:v>
      </x:c>
      <x:c r="H58" s="3" t="str">
        <x:v>No</x:v>
      </x:c>
      <x:c r="I58" s="3" t="n">
        <x:f>D58*E58</x:f>
        <x:v>3453632.36</x:v>
      </x:c>
      <x:c r="J58" s="3" t="n">
        <x:f>IFERROR(I58/F58*365,0)</x:f>
        <x:v>46.23653266006525</x:v>
      </x:c>
      <x:c r="K58" s="3" t="n">
        <x:f>IFERROR(F58/I58,0)</x:f>
        <x:v>7.894190567521785</x:v>
      </x:c>
      <x:c r="L58" s="3" t="str">
        <x:f>IF(G58="Yes","Liquidate/Write-down",IF(H58="Yes","Reduce safety stock",IF(J58&gt;90,"Replenishment review","Maintain")))</x:f>
        <x:v>Maintain</x:v>
      </x:c>
      <x:c r="M58" s="3" t="n">
        <x:f>IF(OR(G58="Yes",H58="Yes",J58&gt;90),I58*0.25,0)</x:f>
        <x:v>0</x:v>
      </x:c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 t="str">
        <x:v>SKU-20058</x:v>
      </x:c>
      <x:c r="B59" s="3" t="str">
        <x:v>Spare Parts</x:v>
      </x:c>
      <x:c r="C59" s="3" t="str">
        <x:v>Columbus</x:v>
      </x:c>
      <x:c r="D59" s="3" t="n">
        <x:v>4370</x:v>
      </x:c>
      <x:c r="E59" s="3" t="n">
        <x:v>276.78</x:v>
      </x:c>
      <x:c r="F59" s="3" t="n">
        <x:v>2784329</x:v>
      </x:c>
      <x:c r="G59" s="3" t="str">
        <x:v>No</x:v>
      </x:c>
      <x:c r="H59" s="3" t="str">
        <x:v>No</x:v>
      </x:c>
      <x:c r="I59" s="3" t="n">
        <x:f>D59*E59</x:f>
        <x:v>1209528.5999999999</x:v>
      </x:c>
      <x:c r="J59" s="3" t="n">
        <x:f>IFERROR(I59/F59*365,0)</x:f>
        <x:v>158.55810825516667</x:v>
      </x:c>
      <x:c r="K59" s="3" t="n">
        <x:f>IFERROR(F59/I59,0)</x:f>
        <x:v>2.3019951739876183</x:v>
      </x:c>
      <x:c r="L59" s="3" t="str">
        <x:f>IF(G59="Yes","Liquidate/Write-down",IF(H59="Yes","Reduce safety stock",IF(J59&gt;90,"Replenishment review","Maintain")))</x:f>
        <x:v>Replenishment review</x:v>
      </x:c>
      <x:c r="M59" s="3" t="n">
        <x:f>IF(OR(G59="Yes",H59="Yes",J59&gt;90),I59*0.25,0)</x:f>
        <x:v>302382.14999999997</x:v>
      </x:c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 t="str">
        <x:v>SKU-20059</x:v>
      </x:c>
      <x:c r="B60" s="3" t="str">
        <x:v>Packaging</x:v>
      </x:c>
      <x:c r="C60" s="3" t="str">
        <x:v>Chicago</x:v>
      </x:c>
      <x:c r="D60" s="3" t="n">
        <x:v>5302</x:v>
      </x:c>
      <x:c r="E60" s="3" t="n">
        <x:v>316.54</x:v>
      </x:c>
      <x:c r="F60" s="3" t="n">
        <x:v>6250378</x:v>
      </x:c>
      <x:c r="G60" s="3" t="str">
        <x:v>No</x:v>
      </x:c>
      <x:c r="H60" s="3" t="str">
        <x:v>No</x:v>
      </x:c>
      <x:c r="I60" s="3" t="n">
        <x:f>D60*E60</x:f>
        <x:v>1678295.08</x:v>
      </x:c>
      <x:c r="J60" s="3" t="n">
        <x:f>IFERROR(I60/F60*365,0)</x:f>
        <x:v>98.00650523856318</x:v>
      </x:c>
      <x:c r="K60" s="3" t="n">
        <x:f>IFERROR(F60/I60,0)</x:f>
        <x:v>3.72424258075046</x:v>
      </x:c>
      <x:c r="L60" s="3" t="str">
        <x:f>IF(G60="Yes","Liquidate/Write-down",IF(H60="Yes","Reduce safety stock",IF(J60&gt;90,"Replenishment review","Maintain")))</x:f>
        <x:v>Replenishment review</x:v>
      </x:c>
      <x:c r="M60" s="3" t="n">
        <x:f>IF(OR(G60="Yes",H60="Yes",J60&gt;90),I60*0.25,0)</x:f>
        <x:v>419573.77</x:v>
      </x:c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 t="str">
        <x:v>SKU-20060</x:v>
      </x:c>
      <x:c r="B61" s="3" t="str">
        <x:v>WIP</x:v>
      </x:c>
      <x:c r="C61" s="3" t="str">
        <x:v>Chicago</x:v>
      </x:c>
      <x:c r="D61" s="3" t="n">
        <x:v>2385</x:v>
      </x:c>
      <x:c r="E61" s="3" t="n">
        <x:v>61.85</x:v>
      </x:c>
      <x:c r="F61" s="3" t="n">
        <x:v>337821</x:v>
      </x:c>
      <x:c r="G61" s="3" t="str">
        <x:v>No</x:v>
      </x:c>
      <x:c r="H61" s="3" t="str">
        <x:v>No</x:v>
      </x:c>
      <x:c r="I61" s="3" t="n">
        <x:f>D61*E61</x:f>
        <x:v>147512.25</x:v>
      </x:c>
      <x:c r="J61" s="3" t="n">
        <x:f>IFERROR(I61/F61*365,0)</x:f>
        <x:v>159.38017840809187</x:v>
      </x:c>
      <x:c r="K61" s="3" t="n">
        <x:f>IFERROR(F61/I61,0)</x:f>
        <x:v>2.2901216678614826</x:v>
      </x:c>
      <x:c r="L61" s="3" t="str">
        <x:f>IF(G61="Yes","Liquidate/Write-down",IF(H61="Yes","Reduce safety stock",IF(J61&gt;90,"Replenishment review","Maintain")))</x:f>
        <x:v>Replenishment review</x:v>
      </x:c>
      <x:c r="M61" s="3" t="n">
        <x:f>IF(OR(G61="Yes",H61="Yes",J61&gt;90),I61*0.25,0)</x:f>
        <x:v>36878.0625</x:v>
      </x:c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 t="str">
        <x:v>SKU-20061</x:v>
      </x:c>
      <x:c r="B62" s="3" t="str">
        <x:v>Spare Parts</x:v>
      </x:c>
      <x:c r="C62" s="3" t="str">
        <x:v>Chicago</x:v>
      </x:c>
      <x:c r="D62" s="3" t="n">
        <x:v>1868</x:v>
      </x:c>
      <x:c r="E62" s="3" t="n">
        <x:v>532.32</x:v>
      </x:c>
      <x:c r="F62" s="3" t="n">
        <x:v>7174886</x:v>
      </x:c>
      <x:c r="G62" s="3" t="str">
        <x:v>No</x:v>
      </x:c>
      <x:c r="H62" s="3" t="str">
        <x:v>No</x:v>
      </x:c>
      <x:c r="I62" s="3" t="n">
        <x:f>D62*E62</x:f>
        <x:v>994373.7600000001</x:v>
      </x:c>
      <x:c r="J62" s="3" t="n">
        <x:f>IFERROR(I62/F62*365,0)</x:f>
        <x:v>50.58567096397072</x:v>
      </x:c>
      <x:c r="K62" s="3" t="n">
        <x:f>IFERROR(F62/I62,0)</x:f>
        <x:v>7.2154820336369285</x:v>
      </x:c>
      <x:c r="L62" s="3" t="str">
        <x:f>IF(G62="Yes","Liquidate/Write-down",IF(H62="Yes","Reduce safety stock",IF(J62&gt;90,"Replenishment review","Maintain")))</x:f>
        <x:v>Maintain</x:v>
      </x:c>
      <x:c r="M62" s="3" t="n">
        <x:f>IF(OR(G62="Yes",H62="Yes",J62&gt;90),I62*0.25,0)</x:f>
        <x:v>0</x:v>
      </x:c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 t="str">
        <x:v>SKU-20062</x:v>
      </x:c>
      <x:c r="B63" s="3" t="str">
        <x:v>Spare Parts</x:v>
      </x:c>
      <x:c r="C63" s="3" t="str">
        <x:v>Columbus</x:v>
      </x:c>
      <x:c r="D63" s="3" t="n">
        <x:v>3113</x:v>
      </x:c>
      <x:c r="E63" s="3" t="n">
        <x:v>159.37</x:v>
      </x:c>
      <x:c r="F63" s="3" t="n">
        <x:v>3950481</x:v>
      </x:c>
      <x:c r="G63" s="3" t="str">
        <x:v>No</x:v>
      </x:c>
      <x:c r="H63" s="3" t="str">
        <x:v>Yes</x:v>
      </x:c>
      <x:c r="I63" s="3" t="n">
        <x:f>D63*E63</x:f>
        <x:v>496118.81</x:v>
      </x:c>
      <x:c r="J63" s="3" t="n">
        <x:f>IFERROR(I63/F63*365,0)</x:f>
        <x:v>45.83830820854473</x:v>
      </x:c>
      <x:c r="K63" s="3" t="n">
        <x:f>IFERROR(F63/I63,0)</x:f>
        <x:v>7.962772062603311</x:v>
      </x:c>
      <x:c r="L63" s="3" t="str">
        <x:f>IF(G63="Yes","Liquidate/Write-down",IF(H63="Yes","Reduce safety stock",IF(J63&gt;90,"Replenishment review","Maintain")))</x:f>
        <x:v>Reduce safety stock</x:v>
      </x:c>
      <x:c r="M63" s="3" t="n">
        <x:f>IF(OR(G63="Yes",H63="Yes",J63&gt;90),I63*0.25,0)</x:f>
        <x:v>124029.7025</x:v>
      </x:c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 t="str">
        <x:v>SKU-20063</x:v>
      </x:c>
      <x:c r="B64" s="3" t="str">
        <x:v>Finished Goods</x:v>
      </x:c>
      <x:c r="C64" s="3" t="str">
        <x:v>Nashville</x:v>
      </x:c>
      <x:c r="D64" s="3" t="n">
        <x:v>5374</x:v>
      </x:c>
      <x:c r="E64" s="3" t="n">
        <x:v>223.26</x:v>
      </x:c>
      <x:c r="F64" s="3" t="n">
        <x:v>2631322</x:v>
      </x:c>
      <x:c r="G64" s="3" t="str">
        <x:v>Yes</x:v>
      </x:c>
      <x:c r="H64" s="3" t="str">
        <x:v>No</x:v>
      </x:c>
      <x:c r="I64" s="3" t="n">
        <x:f>D64*E64</x:f>
        <x:v>1199799.24</x:v>
      </x:c>
      <x:c r="J64" s="3" t="n">
        <x:f>IFERROR(I64/F64*365,0)</x:f>
        <x:v>166.42840465743075</x:v>
      </x:c>
      <x:c r="K64" s="3" t="n">
        <x:f>IFERROR(F64/I64,0)</x:f>
        <x:v>2.1931352448597985</x:v>
      </x:c>
      <x:c r="L64" s="3" t="str">
        <x:f>IF(G64="Yes","Liquidate/Write-down",IF(H64="Yes","Reduce safety stock",IF(J64&gt;90,"Replenishment review","Maintain")))</x:f>
        <x:v>Liquidate/Write-down</x:v>
      </x:c>
      <x:c r="M64" s="3" t="n">
        <x:f>IF(OR(G64="Yes",H64="Yes",J64&gt;90),I64*0.25,0)</x:f>
        <x:v>299949.81</x:v>
      </x:c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 t="str">
        <x:v>SKU-20064</x:v>
      </x:c>
      <x:c r="B65" s="3" t="str">
        <x:v>Spare Parts</x:v>
      </x:c>
      <x:c r="C65" s="3" t="str">
        <x:v>Nashville</x:v>
      </x:c>
      <x:c r="D65" s="3" t="n">
        <x:v>1186</x:v>
      </x:c>
      <x:c r="E65" s="3" t="n">
        <x:v>495.18</x:v>
      </x:c>
      <x:c r="F65" s="3" t="n">
        <x:v>2578144</x:v>
      </x:c>
      <x:c r="G65" s="3" t="str">
        <x:v>No</x:v>
      </x:c>
      <x:c r="H65" s="3" t="str">
        <x:v>No</x:v>
      </x:c>
      <x:c r="I65" s="3" t="n">
        <x:f>D65*E65</x:f>
        <x:v>587283.48</x:v>
      </x:c>
      <x:c r="J65" s="3" t="n">
        <x:f>IFERROR(I65/F65*365,0)</x:f>
        <x:v>83.14449084302505</x:v>
      </x:c>
      <x:c r="K65" s="3" t="n">
        <x:f>IFERROR(F65/I65,0)</x:f>
        <x:v>4.38994810478919</x:v>
      </x:c>
      <x:c r="L65" s="3" t="str">
        <x:f>IF(G65="Yes","Liquidate/Write-down",IF(H65="Yes","Reduce safety stock",IF(J65&gt;90,"Replenishment review","Maintain")))</x:f>
        <x:v>Maintain</x:v>
      </x:c>
      <x:c r="M65" s="3" t="n">
        <x:f>IF(OR(G65="Yes",H65="Yes",J65&gt;90),I65*0.25,0)</x:f>
        <x:v>0</x:v>
      </x:c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 t="str">
        <x:v>SKU-20065</x:v>
      </x:c>
      <x:c r="B66" s="3" t="str">
        <x:v>Finished Goods</x:v>
      </x:c>
      <x:c r="C66" s="3" t="str">
        <x:v>Atlanta</x:v>
      </x:c>
      <x:c r="D66" s="3" t="n">
        <x:v>1816</x:v>
      </x:c>
      <x:c r="E66" s="3" t="n">
        <x:v>544.05</x:v>
      </x:c>
      <x:c r="F66" s="3" t="n">
        <x:v>4872661</x:v>
      </x:c>
      <x:c r="G66" s="3" t="str">
        <x:v>No</x:v>
      </x:c>
      <x:c r="H66" s="3" t="str">
        <x:v>No</x:v>
      </x:c>
      <x:c r="I66" s="3" t="n">
        <x:f>D66*E66</x:f>
        <x:v>987994.7999999999</x:v>
      </x:c>
      <x:c r="J66" s="3" t="n">
        <x:f>IFERROR(I66/F66*365,0)</x:f>
        <x:v>74.00845287615945</x:v>
      </x:c>
      <x:c r="K66" s="3" t="n">
        <x:f>IFERROR(F66/I66,0)</x:f>
        <x:v>4.931869074614563</x:v>
      </x:c>
      <x:c r="L66" s="3" t="str">
        <x:f>IF(G66="Yes","Liquidate/Write-down",IF(H66="Yes","Reduce safety stock",IF(J66&gt;90,"Replenishment review","Maintain")))</x:f>
        <x:v>Maintain</x:v>
      </x:c>
      <x:c r="M66" s="3" t="n">
        <x:f>IF(OR(G66="Yes",H66="Yes",J66&gt;90),I66*0.25,0)</x:f>
        <x:v>0</x:v>
      </x:c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 t="str">
        <x:v>SKU-20066</x:v>
      </x:c>
      <x:c r="B67" s="3" t="str">
        <x:v>Finished Goods</x:v>
      </x:c>
      <x:c r="C67" s="3" t="str">
        <x:v>Atlanta</x:v>
      </x:c>
      <x:c r="D67" s="3" t="n">
        <x:v>1996</x:v>
      </x:c>
      <x:c r="E67" s="3" t="n">
        <x:v>201.34</x:v>
      </x:c>
      <x:c r="F67" s="3" t="n">
        <x:v>612737</x:v>
      </x:c>
      <x:c r="G67" s="3" t="str">
        <x:v>No</x:v>
      </x:c>
      <x:c r="H67" s="3" t="str">
        <x:v>No</x:v>
      </x:c>
      <x:c r="I67" s="3" t="n">
        <x:f>D67*E67</x:f>
        <x:v>401874.64</x:v>
      </x:c>
      <x:c r="J67" s="3" t="n">
        <x:f>IFERROR(I67/F67*365,0)</x:f>
        <x:v>239.39184935788114</x:v>
      </x:c>
      <x:c r="K67" s="3" t="n">
        <x:f>IFERROR(F67/I67,0)</x:f>
        <x:v>1.5246968557160014</x:v>
      </x:c>
      <x:c r="L67" s="3" t="str">
        <x:f>IF(G67="Yes","Liquidate/Write-down",IF(H67="Yes","Reduce safety stock",IF(J67&gt;90,"Replenishment review","Maintain")))</x:f>
        <x:v>Replenishment review</x:v>
      </x:c>
      <x:c r="M67" s="3" t="n">
        <x:f>IF(OR(G67="Yes",H67="Yes",J67&gt;90),I67*0.25,0)</x:f>
        <x:v>100468.66</x:v>
      </x:c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 t="str">
        <x:v>SKU-20067</x:v>
      </x:c>
      <x:c r="B68" s="3" t="str">
        <x:v>Spare Parts</x:v>
      </x:c>
      <x:c r="C68" s="3" t="str">
        <x:v>Chicago</x:v>
      </x:c>
      <x:c r="D68" s="3" t="n">
        <x:v>958</x:v>
      </x:c>
      <x:c r="E68" s="3" t="n">
        <x:v>545.15</x:v>
      </x:c>
      <x:c r="F68" s="3" t="n">
        <x:v>2401761</x:v>
      </x:c>
      <x:c r="G68" s="3" t="str">
        <x:v>No</x:v>
      </x:c>
      <x:c r="H68" s="3" t="str">
        <x:v>No</x:v>
      </x:c>
      <x:c r="I68" s="3" t="n">
        <x:f>D68*E68</x:f>
        <x:v>522253.69999999995</x:v>
      </x:c>
      <x:c r="J68" s="3" t="n">
        <x:f>IFERROR(I68/F68*365,0)</x:f>
        <x:v>79.36784738364891</x:v>
      </x:c>
      <x:c r="K68" s="3" t="n">
        <x:f>IFERROR(F68/I68,0)</x:f>
        <x:v>4.598839606114806</x:v>
      </x:c>
      <x:c r="L68" s="3" t="str">
        <x:f>IF(G68="Yes","Liquidate/Write-down",IF(H68="Yes","Reduce safety stock",IF(J68&gt;90,"Replenishment review","Maintain")))</x:f>
        <x:v>Maintain</x:v>
      </x:c>
      <x:c r="M68" s="3" t="n">
        <x:f>IF(OR(G68="Yes",H68="Yes",J68&gt;90),I68*0.25,0)</x:f>
        <x:v>0</x:v>
      </x:c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 t="str">
        <x:v>SKU-20068</x:v>
      </x:c>
      <x:c r="B69" s="3" t="str">
        <x:v>WIP</x:v>
      </x:c>
      <x:c r="C69" s="3" t="str">
        <x:v>Dallas</x:v>
      </x:c>
      <x:c r="D69" s="3" t="n">
        <x:v>5936</x:v>
      </x:c>
      <x:c r="E69" s="3" t="n">
        <x:v>100.18</x:v>
      </x:c>
      <x:c r="F69" s="3" t="n">
        <x:v>2449335</x:v>
      </x:c>
      <x:c r="G69" s="3" t="str">
        <x:v>No</x:v>
      </x:c>
      <x:c r="H69" s="3" t="str">
        <x:v>No</x:v>
      </x:c>
      <x:c r="I69" s="3" t="n">
        <x:f>D69*E69</x:f>
        <x:v>594668.4800000001</x:v>
      </x:c>
      <x:c r="J69" s="3" t="n">
        <x:f>IFERROR(I69/F69*365,0)</x:f>
        <x:v>88.61752075563368</x:v>
      </x:c>
      <x:c r="K69" s="3" t="n">
        <x:f>IFERROR(F69/I69,0)</x:f>
        <x:v>4.118824323764393</x:v>
      </x:c>
      <x:c r="L69" s="3" t="str">
        <x:f>IF(G69="Yes","Liquidate/Write-down",IF(H69="Yes","Reduce safety stock",IF(J69&gt;90,"Replenishment review","Maintain")))</x:f>
        <x:v>Maintain</x:v>
      </x:c>
      <x:c r="M69" s="3" t="n">
        <x:f>IF(OR(G69="Yes",H69="Yes",J69&gt;90),I69*0.25,0)</x:f>
        <x:v>0</x:v>
      </x:c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 t="str">
        <x:v>SKU-20069</x:v>
      </x:c>
      <x:c r="B70" s="3" t="str">
        <x:v>Spare Parts</x:v>
      </x:c>
      <x:c r="C70" s="3" t="str">
        <x:v>Dallas</x:v>
      </x:c>
      <x:c r="D70" s="3" t="n">
        <x:v>5492</x:v>
      </x:c>
      <x:c r="E70" s="3" t="n">
        <x:v>436.99</x:v>
      </x:c>
      <x:c r="F70" s="3" t="n">
        <x:v>11423026</x:v>
      </x:c>
      <x:c r="G70" s="3" t="str">
        <x:v>No</x:v>
      </x:c>
      <x:c r="H70" s="3" t="str">
        <x:v>No</x:v>
      </x:c>
      <x:c r="I70" s="3" t="n">
        <x:f>D70*E70</x:f>
        <x:v>2399949.08</x:v>
      </x:c>
      <x:c r="J70" s="3" t="n">
        <x:f>IFERROR(I70/F70*365,0)</x:f>
        <x:v>76.6855835047561</x:v>
      </x:c>
      <x:c r="K70" s="3" t="n">
        <x:f>IFERROR(F70/I70,0)</x:f>
        <x:v>4.7596951515321315</x:v>
      </x:c>
      <x:c r="L70" s="3" t="str">
        <x:f>IF(G70="Yes","Liquidate/Write-down",IF(H70="Yes","Reduce safety stock",IF(J70&gt;90,"Replenishment review","Maintain")))</x:f>
        <x:v>Maintain</x:v>
      </x:c>
      <x:c r="M70" s="3" t="n">
        <x:f>IF(OR(G70="Yes",H70="Yes",J70&gt;90),I70*0.25,0)</x:f>
        <x:v>0</x:v>
      </x:c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 t="str">
        <x:v>SKU-20070</x:v>
      </x:c>
      <x:c r="B71" s="3" t="str">
        <x:v>WIP</x:v>
      </x:c>
      <x:c r="C71" s="3" t="str">
        <x:v>Columbus</x:v>
      </x:c>
      <x:c r="D71" s="3" t="n">
        <x:v>4208</x:v>
      </x:c>
      <x:c r="E71" s="3" t="n">
        <x:v>363.77</x:v>
      </x:c>
      <x:c r="F71" s="3" t="n">
        <x:v>5901149</x:v>
      </x:c>
      <x:c r="G71" s="3" t="str">
        <x:v>No</x:v>
      </x:c>
      <x:c r="H71" s="3" t="str">
        <x:v>No</x:v>
      </x:c>
      <x:c r="I71" s="3" t="n">
        <x:f>D71*E71</x:f>
        <x:v>1530744.16</x:v>
      </x:c>
      <x:c r="J71" s="3" t="n">
        <x:f>IFERROR(I71/F71*365,0)</x:f>
        <x:v>94.68014083359022</x:v>
      </x:c>
      <x:c r="K71" s="3" t="n">
        <x:f>IFERROR(F71/I71,0)</x:f>
        <x:v>3.855085097956539</x:v>
      </x:c>
      <x:c r="L71" s="3" t="str">
        <x:f>IF(G71="Yes","Liquidate/Write-down",IF(H71="Yes","Reduce safety stock",IF(J71&gt;90,"Replenishment review","Maintain")))</x:f>
        <x:v>Replenishment review</x:v>
      </x:c>
      <x:c r="M71" s="3" t="n">
        <x:f>IF(OR(G71="Yes",H71="Yes",J71&gt;90),I71*0.25,0)</x:f>
        <x:v>382686.04</x:v>
      </x:c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 t="str">
        <x:v>SKU-20071</x:v>
      </x:c>
      <x:c r="B72" s="3" t="str">
        <x:v>Packaging</x:v>
      </x:c>
      <x:c r="C72" s="3" t="str">
        <x:v>Atlanta</x:v>
      </x:c>
      <x:c r="D72" s="3" t="n">
        <x:v>183</x:v>
      </x:c>
      <x:c r="E72" s="3" t="n">
        <x:v>237.25</x:v>
      </x:c>
      <x:c r="F72" s="3" t="n">
        <x:v>72046</x:v>
      </x:c>
      <x:c r="G72" s="3" t="str">
        <x:v>No</x:v>
      </x:c>
      <x:c r="H72" s="3" t="str">
        <x:v>No</x:v>
      </x:c>
      <x:c r="I72" s="3" t="n">
        <x:f>D72*E72</x:f>
        <x:v>43416.75</x:v>
      </x:c>
      <x:c r="J72" s="3" t="n">
        <x:f>IFERROR(I72/F72*365,0)</x:f>
        <x:v>219.95827318657524</x:v>
      </x:c>
      <x:c r="K72" s="3" t="n">
        <x:f>IFERROR(F72/I72,0)</x:f>
        <x:v>1.65940564413504</x:v>
      </x:c>
      <x:c r="L72" s="3" t="str">
        <x:f>IF(G72="Yes","Liquidate/Write-down",IF(H72="Yes","Reduce safety stock",IF(J72&gt;90,"Replenishment review","Maintain")))</x:f>
        <x:v>Replenishment review</x:v>
      </x:c>
      <x:c r="M72" s="3" t="n">
        <x:f>IF(OR(G72="Yes",H72="Yes",J72&gt;90),I72*0.25,0)</x:f>
        <x:v>10854.1875</x:v>
      </x:c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 t="str">
        <x:v>SKU-20072</x:v>
      </x:c>
      <x:c r="B73" s="3" t="str">
        <x:v>Finished Goods</x:v>
      </x:c>
      <x:c r="C73" s="3" t="str">
        <x:v>Columbus</x:v>
      </x:c>
      <x:c r="D73" s="3" t="n">
        <x:v>2773</x:v>
      </x:c>
      <x:c r="E73" s="3" t="n">
        <x:v>93.65</x:v>
      </x:c>
      <x:c r="F73" s="3" t="n">
        <x:v>933755</x:v>
      </x:c>
      <x:c r="G73" s="3" t="str">
        <x:v>No</x:v>
      </x:c>
      <x:c r="H73" s="3" t="str">
        <x:v>No</x:v>
      </x:c>
      <x:c r="I73" s="3" t="n">
        <x:f>D73*E73</x:f>
        <x:v>259691.45</x:v>
      </x:c>
      <x:c r="J73" s="3" t="n">
        <x:f>IFERROR(I73/F73*365,0)</x:f>
        <x:v>101.51204464768595</x:v>
      </x:c>
      <x:c r="K73" s="3" t="n">
        <x:f>IFERROR(F73/I73,0)</x:f>
        <x:v>3.5956324322575886</x:v>
      </x:c>
      <x:c r="L73" s="3" t="str">
        <x:f>IF(G73="Yes","Liquidate/Write-down",IF(H73="Yes","Reduce safety stock",IF(J73&gt;90,"Replenishment review","Maintain")))</x:f>
        <x:v>Replenishment review</x:v>
      </x:c>
      <x:c r="M73" s="3" t="n">
        <x:f>IF(OR(G73="Yes",H73="Yes",J73&gt;90),I73*0.25,0)</x:f>
        <x:v>64922.8625</x:v>
      </x:c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 t="str">
        <x:v>SKU-20073</x:v>
      </x:c>
      <x:c r="B74" s="3" t="str">
        <x:v>Service Parts</x:v>
      </x:c>
      <x:c r="C74" s="3" t="str">
        <x:v>Phoenix</x:v>
      </x:c>
      <x:c r="D74" s="3" t="n">
        <x:v>5746</x:v>
      </x:c>
      <x:c r="E74" s="3" t="n">
        <x:v>315.22</x:v>
      </x:c>
      <x:c r="F74" s="3" t="n">
        <x:v>4418537</x:v>
      </x:c>
      <x:c r="G74" s="3" t="str">
        <x:v>No</x:v>
      </x:c>
      <x:c r="H74" s="3" t="str">
        <x:v>No</x:v>
      </x:c>
      <x:c r="I74" s="3" t="n">
        <x:f>D74*E74</x:f>
        <x:v>1811254.12</x:v>
      </x:c>
      <x:c r="J74" s="3" t="n">
        <x:f>IFERROR(I74/F74*365,0)</x:f>
        <x:v>149.62141401101766</x:v>
      </x:c>
      <x:c r="K74" s="3" t="n">
        <x:f>IFERROR(F74/I74,0)</x:f>
        <x:v>2.439490379185445</x:v>
      </x:c>
      <x:c r="L74" s="3" t="str">
        <x:f>IF(G74="Yes","Liquidate/Write-down",IF(H74="Yes","Reduce safety stock",IF(J74&gt;90,"Replenishment review","Maintain")))</x:f>
        <x:v>Replenishment review</x:v>
      </x:c>
      <x:c r="M74" s="3" t="n">
        <x:f>IF(OR(G74="Yes",H74="Yes",J74&gt;90),I74*0.25,0)</x:f>
        <x:v>452813.53</x:v>
      </x:c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 t="str">
        <x:v>SKU-20074</x:v>
      </x:c>
      <x:c r="B75" s="3" t="str">
        <x:v>Spare Parts</x:v>
      </x:c>
      <x:c r="C75" s="3" t="str">
        <x:v>Chicago</x:v>
      </x:c>
      <x:c r="D75" s="3" t="n">
        <x:v>2453</x:v>
      </x:c>
      <x:c r="E75" s="3" t="n">
        <x:v>137.42</x:v>
      </x:c>
      <x:c r="F75" s="3" t="n">
        <x:v>2217906</x:v>
      </x:c>
      <x:c r="G75" s="3" t="str">
        <x:v>No</x:v>
      </x:c>
      <x:c r="H75" s="3" t="str">
        <x:v>No</x:v>
      </x:c>
      <x:c r="I75" s="3" t="n">
        <x:f>D75*E75</x:f>
        <x:v>337091.25999999995</x:v>
      </x:c>
      <x:c r="J75" s="3" t="n">
        <x:f>IFERROR(I75/F75*365,0)</x:f>
        <x:v>55.47498852521252</x:v>
      </x:c>
      <x:c r="K75" s="3" t="n">
        <x:f>IFERROR(F75/I75,0)</x:f>
        <x:v>6.579541694436101</x:v>
      </x:c>
      <x:c r="L75" s="3" t="str">
        <x:f>IF(G75="Yes","Liquidate/Write-down",IF(H75="Yes","Reduce safety stock",IF(J75&gt;90,"Replenishment review","Maintain")))</x:f>
        <x:v>Maintain</x:v>
      </x:c>
      <x:c r="M75" s="3" t="n">
        <x:f>IF(OR(G75="Yes",H75="Yes",J75&gt;90),I75*0.25,0)</x:f>
        <x:v>0</x:v>
      </x:c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 t="str">
        <x:v>SKU-20075</x:v>
      </x:c>
      <x:c r="B76" s="3" t="str">
        <x:v>Packaging</x:v>
      </x:c>
      <x:c r="C76" s="3" t="str">
        <x:v>Columbus</x:v>
      </x:c>
      <x:c r="D76" s="3" t="n">
        <x:v>3312</x:v>
      </x:c>
      <x:c r="E76" s="3" t="n">
        <x:v>643.02</x:v>
      </x:c>
      <x:c r="F76" s="3" t="n">
        <x:v>10419702</x:v>
      </x:c>
      <x:c r="G76" s="3" t="str">
        <x:v>No</x:v>
      </x:c>
      <x:c r="H76" s="3" t="str">
        <x:v>No</x:v>
      </x:c>
      <x:c r="I76" s="3" t="n">
        <x:f>D76*E76</x:f>
        <x:v>2129682.2399999998</x:v>
      </x:c>
      <x:c r="J76" s="3" t="n">
        <x:f>IFERROR(I76/F76*365,0)</x:f>
        <x:v>74.60232716828178</x:v>
      </x:c>
      <x:c r="K76" s="3" t="n">
        <x:f>IFERROR(F76/I76,0)</x:f>
        <x:v>4.89260876777561</x:v>
      </x:c>
      <x:c r="L76" s="3" t="str">
        <x:f>IF(G76="Yes","Liquidate/Write-down",IF(H76="Yes","Reduce safety stock",IF(J76&gt;90,"Replenishment review","Maintain")))</x:f>
        <x:v>Maintain</x:v>
      </x:c>
      <x:c r="M76" s="3" t="n">
        <x:f>IF(OR(G76="Yes",H76="Yes",J76&gt;90),I76*0.25,0)</x:f>
        <x:v>0</x:v>
      </x:c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 t="str">
        <x:v>SKU-20076</x:v>
      </x:c>
      <x:c r="B77" s="3" t="str">
        <x:v>Raw Materials</x:v>
      </x:c>
      <x:c r="C77" s="3" t="str">
        <x:v>Atlanta</x:v>
      </x:c>
      <x:c r="D77" s="3" t="n">
        <x:v>2974</x:v>
      </x:c>
      <x:c r="E77" s="3" t="n">
        <x:v>561.49</x:v>
      </x:c>
      <x:c r="F77" s="3" t="n">
        <x:v>2546666</x:v>
      </x:c>
      <x:c r="G77" s="3" t="str">
        <x:v>No</x:v>
      </x:c>
      <x:c r="H77" s="3" t="str">
        <x:v>No</x:v>
      </x:c>
      <x:c r="I77" s="3" t="n">
        <x:f>D77*E77</x:f>
        <x:v>1669871.26</x:v>
      </x:c>
      <x:c r="J77" s="3" t="n">
        <x:f>IFERROR(I77/F77*365,0)</x:f>
        <x:v>239.33370528369247</x:v>
      </x:c>
      <x:c r="K77" s="3" t="n">
        <x:f>IFERROR(F77/I77,0)</x:f>
        <x:v>1.52506726776051</x:v>
      </x:c>
      <x:c r="L77" s="3" t="str">
        <x:f>IF(G77="Yes","Liquidate/Write-down",IF(H77="Yes","Reduce safety stock",IF(J77&gt;90,"Replenishment review","Maintain")))</x:f>
        <x:v>Replenishment review</x:v>
      </x:c>
      <x:c r="M77" s="3" t="n">
        <x:f>IF(OR(G77="Yes",H77="Yes",J77&gt;90),I77*0.25,0)</x:f>
        <x:v>417467.815</x:v>
      </x:c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 t="str">
        <x:v>SKU-20077</x:v>
      </x:c>
      <x:c r="B78" s="3" t="str">
        <x:v>Packaging</x:v>
      </x:c>
      <x:c r="C78" s="3" t="str">
        <x:v>Phoenix</x:v>
      </x:c>
      <x:c r="D78" s="3" t="n">
        <x:v>3326</x:v>
      </x:c>
      <x:c r="E78" s="3" t="n">
        <x:v>485.2</x:v>
      </x:c>
      <x:c r="F78" s="3" t="n">
        <x:v>11753988</x:v>
      </x:c>
      <x:c r="G78" s="3" t="str">
        <x:v>No</x:v>
      </x:c>
      <x:c r="H78" s="3" t="str">
        <x:v>No</x:v>
      </x:c>
      <x:c r="I78" s="3" t="n">
        <x:f>D78*E78</x:f>
        <x:v>1613775.2</x:v>
      </x:c>
      <x:c r="J78" s="3" t="n">
        <x:f>IFERROR(I78/F78*365,0)</x:f>
        <x:v>50.11302955218263</x:v>
      </x:c>
      <x:c r="K78" s="3" t="n">
        <x:f>IFERROR(F78/I78,0)</x:f>
        <x:v>7.283534906224857</x:v>
      </x:c>
      <x:c r="L78" s="3" t="str">
        <x:f>IF(G78="Yes","Liquidate/Write-down",IF(H78="Yes","Reduce safety stock",IF(J78&gt;90,"Replenishment review","Maintain")))</x:f>
        <x:v>Maintain</x:v>
      </x:c>
      <x:c r="M78" s="3" t="n">
        <x:f>IF(OR(G78="Yes",H78="Yes",J78&gt;90),I78*0.25,0)</x:f>
        <x:v>0</x:v>
      </x:c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 t="str">
        <x:v>SKU-20078</x:v>
      </x:c>
      <x:c r="B79" s="3" t="str">
        <x:v>Spare Parts</x:v>
      </x:c>
      <x:c r="C79" s="3" t="str">
        <x:v>Nashville</x:v>
      </x:c>
      <x:c r="D79" s="3" t="n">
        <x:v>4125</x:v>
      </x:c>
      <x:c r="E79" s="3" t="n">
        <x:v>243.84</x:v>
      </x:c>
      <x:c r="F79" s="3" t="n">
        <x:v>6660248</x:v>
      </x:c>
      <x:c r="G79" s="3" t="str">
        <x:v>No</x:v>
      </x:c>
      <x:c r="H79" s="3" t="str">
        <x:v>Yes</x:v>
      </x:c>
      <x:c r="I79" s="3" t="n">
        <x:f>D79*E79</x:f>
        <x:v>1005840</x:v>
      </x:c>
      <x:c r="J79" s="3" t="n">
        <x:f>IFERROR(I79/F79*365,0)</x:f>
        <x:v>55.12281224362817</x:v>
      </x:c>
      <x:c r="K79" s="3" t="n">
        <x:f>IFERROR(F79/I79,0)</x:f>
        <x:v>6.62157798457011</x:v>
      </x:c>
      <x:c r="L79" s="3" t="str">
        <x:f>IF(G79="Yes","Liquidate/Write-down",IF(H79="Yes","Reduce safety stock",IF(J79&gt;90,"Replenishment review","Maintain")))</x:f>
        <x:v>Reduce safety stock</x:v>
      </x:c>
      <x:c r="M79" s="3" t="n">
        <x:f>IF(OR(G79="Yes",H79="Yes",J79&gt;90),I79*0.25,0)</x:f>
        <x:v>251460</x:v>
      </x:c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 t="str">
        <x:v>SKU-20079</x:v>
      </x:c>
      <x:c r="B80" s="3" t="str">
        <x:v>Spare Parts</x:v>
      </x:c>
      <x:c r="C80" s="3" t="str">
        <x:v>Chicago</x:v>
      </x:c>
      <x:c r="D80" s="3" t="n">
        <x:v>3577</x:v>
      </x:c>
      <x:c r="E80" s="3" t="n">
        <x:v>394.78</x:v>
      </x:c>
      <x:c r="F80" s="3" t="n">
        <x:v>9591062</x:v>
      </x:c>
      <x:c r="G80" s="3" t="str">
        <x:v>No</x:v>
      </x:c>
      <x:c r="H80" s="3" t="str">
        <x:v>No</x:v>
      </x:c>
      <x:c r="I80" s="3" t="n">
        <x:f>D80*E80</x:f>
        <x:v>1412128.0599999998</x:v>
      </x:c>
      <x:c r="J80" s="3" t="n">
        <x:f>IFERROR(I80/F80*365,0)</x:f>
        <x:v>53.74032009176877</x:v>
      </x:c>
      <x:c r="K80" s="3" t="n">
        <x:f>IFERROR(F80/I80,0)</x:f>
        <x:v>6.791920840380441</x:v>
      </x:c>
      <x:c r="L80" s="3" t="str">
        <x:f>IF(G80="Yes","Liquidate/Write-down",IF(H80="Yes","Reduce safety stock",IF(J80&gt;90,"Replenishment review","Maintain")))</x:f>
        <x:v>Maintain</x:v>
      </x:c>
      <x:c r="M80" s="3" t="n">
        <x:f>IF(OR(G80="Yes",H80="Yes",J80&gt;90),I80*0.25,0)</x:f>
        <x:v>0</x:v>
      </x:c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 t="str">
        <x:v>SKU-20080</x:v>
      </x:c>
      <x:c r="B81" s="3" t="str">
        <x:v>Finished Goods</x:v>
      </x:c>
      <x:c r="C81" s="3" t="str">
        <x:v>Atlanta</x:v>
      </x:c>
      <x:c r="D81" s="3" t="n">
        <x:v>5464</x:v>
      </x:c>
      <x:c r="E81" s="3" t="n">
        <x:v>197.8</x:v>
      </x:c>
      <x:c r="F81" s="3" t="n">
        <x:v>4574103</x:v>
      </x:c>
      <x:c r="G81" s="3" t="str">
        <x:v>No</x:v>
      </x:c>
      <x:c r="H81" s="3" t="str">
        <x:v>Yes</x:v>
      </x:c>
      <x:c r="I81" s="3" t="n">
        <x:f>D81*E81</x:f>
        <x:v>1080779.2</x:v>
      </x:c>
      <x:c r="J81" s="3" t="n">
        <x:f>IFERROR(I81/F81*365,0)</x:f>
        <x:v>86.24300939441022</x:v>
      </x:c>
      <x:c r="K81" s="3" t="n">
        <x:f>IFERROR(F81/I81,0)</x:f>
        <x:v>4.232227082090403</x:v>
      </x:c>
      <x:c r="L81" s="3" t="str">
        <x:f>IF(G81="Yes","Liquidate/Write-down",IF(H81="Yes","Reduce safety stock",IF(J81&gt;90,"Replenishment review","Maintain")))</x:f>
        <x:v>Reduce safety stock</x:v>
      </x:c>
      <x:c r="M81" s="3" t="n">
        <x:f>IF(OR(G81="Yes",H81="Yes",J81&gt;90),I81*0.25,0)</x:f>
        <x:v>270194.8</x:v>
      </x:c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 t="str">
        <x:v>SKU-20081</x:v>
      </x:c>
      <x:c r="B82" s="3" t="str">
        <x:v>Spare Parts</x:v>
      </x:c>
      <x:c r="C82" s="3" t="str">
        <x:v>Atlanta</x:v>
      </x:c>
      <x:c r="D82" s="3" t="n">
        <x:v>3712</x:v>
      </x:c>
      <x:c r="E82" s="3" t="n">
        <x:v>35.19</x:v>
      </x:c>
      <x:c r="F82" s="3" t="n">
        <x:v>929563</x:v>
      </x:c>
      <x:c r="G82" s="3" t="str">
        <x:v>No</x:v>
      </x:c>
      <x:c r="H82" s="3" t="str">
        <x:v>No</x:v>
      </x:c>
      <x:c r="I82" s="3" t="n">
        <x:f>D82*E82</x:f>
        <x:v>130625.28</x:v>
      </x:c>
      <x:c r="J82" s="3" t="n">
        <x:f>IFERROR(I82/F82*365,0)</x:f>
        <x:v>51.291012228326636</x:v>
      </x:c>
      <x:c r="K82" s="3" t="n">
        <x:f>IFERROR(F82/I82,0)</x:f>
        <x:v>7.116256516349669</x:v>
      </x:c>
      <x:c r="L82" s="3" t="str">
        <x:f>IF(G82="Yes","Liquidate/Write-down",IF(H82="Yes","Reduce safety stock",IF(J82&gt;90,"Replenishment review","Maintain")))</x:f>
        <x:v>Maintain</x:v>
      </x:c>
      <x:c r="M82" s="3" t="n">
        <x:f>IF(OR(G82="Yes",H82="Yes",J82&gt;90),I82*0.25,0)</x:f>
        <x:v>0</x:v>
      </x:c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 t="str">
        <x:v>SKU-20082</x:v>
      </x:c>
      <x:c r="B83" s="3" t="str">
        <x:v>Packaging</x:v>
      </x:c>
      <x:c r="C83" s="3" t="str">
        <x:v>Nashville</x:v>
      </x:c>
      <x:c r="D83" s="3" t="n">
        <x:v>519</x:v>
      </x:c>
      <x:c r="E83" s="3" t="n">
        <x:v>56.18</x:v>
      </x:c>
      <x:c r="F83" s="3" t="n">
        <x:v>161389</x:v>
      </x:c>
      <x:c r="G83" s="3" t="str">
        <x:v>No</x:v>
      </x:c>
      <x:c r="H83" s="3" t="str">
        <x:v>No</x:v>
      </x:c>
      <x:c r="I83" s="3" t="n">
        <x:f>D83*E83</x:f>
        <x:v>29157.42</x:v>
      </x:c>
      <x:c r="J83" s="3" t="n">
        <x:f>IFERROR(I83/F83*365,0)</x:f>
        <x:v>65.94289759525121</x:v>
      </x:c>
      <x:c r="K83" s="3" t="n">
        <x:f>IFERROR(F83/I83,0)</x:f>
        <x:v>5.535091925142897</x:v>
      </x:c>
      <x:c r="L83" s="3" t="str">
        <x:f>IF(G83="Yes","Liquidate/Write-down",IF(H83="Yes","Reduce safety stock",IF(J83&gt;90,"Replenishment review","Maintain")))</x:f>
        <x:v>Maintain</x:v>
      </x:c>
      <x:c r="M83" s="3" t="n">
        <x:f>IF(OR(G83="Yes",H83="Yes",J83&gt;90),I83*0.25,0)</x:f>
        <x:v>0</x:v>
      </x:c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 t="str">
        <x:v>SKU-20083</x:v>
      </x:c>
      <x:c r="B84" s="3" t="str">
        <x:v>Service Parts</x:v>
      </x:c>
      <x:c r="C84" s="3" t="str">
        <x:v>Dallas</x:v>
      </x:c>
      <x:c r="D84" s="3" t="n">
        <x:v>305</x:v>
      </x:c>
      <x:c r="E84" s="3" t="n">
        <x:v>99.66</x:v>
      </x:c>
      <x:c r="F84" s="3" t="n">
        <x:v>162058</x:v>
      </x:c>
      <x:c r="G84" s="3" t="str">
        <x:v>No</x:v>
      </x:c>
      <x:c r="H84" s="3" t="str">
        <x:v>Yes</x:v>
      </x:c>
      <x:c r="I84" s="3" t="n">
        <x:f>D84*E84</x:f>
        <x:v>30396.3</x:v>
      </x:c>
      <x:c r="J84" s="3" t="n">
        <x:f>IFERROR(I84/F84*365,0)</x:f>
        <x:v>68.46098001949919</x:v>
      </x:c>
      <x:c r="K84" s="3" t="n">
        <x:f>IFERROR(F84/I84,0)</x:f>
        <x:v>5.331504163335669</x:v>
      </x:c>
      <x:c r="L84" s="3" t="str">
        <x:f>IF(G84="Yes","Liquidate/Write-down",IF(H84="Yes","Reduce safety stock",IF(J84&gt;90,"Replenishment review","Maintain")))</x:f>
        <x:v>Reduce safety stock</x:v>
      </x:c>
      <x:c r="M84" s="3" t="n">
        <x:f>IF(OR(G84="Yes",H84="Yes",J84&gt;90),I84*0.25,0)</x:f>
        <x:v>7599.075</x:v>
      </x:c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 t="str">
        <x:v>SKU-20084</x:v>
      </x:c>
      <x:c r="B85" s="3" t="str">
        <x:v>Finished Goods</x:v>
      </x:c>
      <x:c r="C85" s="3" t="str">
        <x:v>Dallas</x:v>
      </x:c>
      <x:c r="D85" s="3" t="n">
        <x:v>5335</x:v>
      </x:c>
      <x:c r="E85" s="3" t="n">
        <x:v>243.18</x:v>
      </x:c>
      <x:c r="F85" s="3" t="n">
        <x:v>4934412</x:v>
      </x:c>
      <x:c r="G85" s="3" t="str">
        <x:v>No</x:v>
      </x:c>
      <x:c r="H85" s="3" t="str">
        <x:v>No</x:v>
      </x:c>
      <x:c r="I85" s="3" t="n">
        <x:f>D85*E85</x:f>
        <x:v>1297365.3</x:v>
      </x:c>
      <x:c r="J85" s="3" t="n">
        <x:f>IFERROR(I85/F85*365,0)</x:f>
        <x:v>95.96651728716614</x:v>
      </x:c>
      <x:c r="K85" s="3" t="n">
        <x:f>IFERROR(F85/I85,0)</x:f>
        <x:v>3.8034098800083522</x:v>
      </x:c>
      <x:c r="L85" s="3" t="str">
        <x:f>IF(G85="Yes","Liquidate/Write-down",IF(H85="Yes","Reduce safety stock",IF(J85&gt;90,"Replenishment review","Maintain")))</x:f>
        <x:v>Replenishment review</x:v>
      </x:c>
      <x:c r="M85" s="3" t="n">
        <x:f>IF(OR(G85="Yes",H85="Yes",J85&gt;90),I85*0.25,0)</x:f>
        <x:v>324341.325</x:v>
      </x:c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 t="str">
        <x:v>SKU-20085</x:v>
      </x:c>
      <x:c r="B86" s="3" t="str">
        <x:v>Service Parts</x:v>
      </x:c>
      <x:c r="C86" s="3" t="str">
        <x:v>Phoenix</x:v>
      </x:c>
      <x:c r="D86" s="3" t="n">
        <x:v>3088</x:v>
      </x:c>
      <x:c r="E86" s="3" t="n">
        <x:v>246.83</x:v>
      </x:c>
      <x:c r="F86" s="3" t="n">
        <x:v>4869747</x:v>
      </x:c>
      <x:c r="G86" s="3" t="str">
        <x:v>No</x:v>
      </x:c>
      <x:c r="H86" s="3" t="str">
        <x:v>No</x:v>
      </x:c>
      <x:c r="I86" s="3" t="n">
        <x:f>D86*E86</x:f>
        <x:v>762211.04</x:v>
      </x:c>
      <x:c r="J86" s="3" t="n">
        <x:f>IFERROR(I86/F86*365,0)</x:f>
        <x:v>57.1296680505168</x:v>
      </x:c>
      <x:c r="K86" s="3" t="n">
        <x:f>IFERROR(F86/I86,0)</x:f>
        <x:v>6.388974633587044</x:v>
      </x:c>
      <x:c r="L86" s="3" t="str">
        <x:f>IF(G86="Yes","Liquidate/Write-down",IF(H86="Yes","Reduce safety stock",IF(J86&gt;90,"Replenishment review","Maintain")))</x:f>
        <x:v>Maintain</x:v>
      </x:c>
      <x:c r="M86" s="3" t="n">
        <x:f>IF(OR(G86="Yes",H86="Yes",J86&gt;90),I86*0.25,0)</x:f>
        <x:v>0</x:v>
      </x:c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 t="str">
        <x:v>SKU-20086</x:v>
      </x:c>
      <x:c r="B87" s="3" t="str">
        <x:v>Spare Parts</x:v>
      </x:c>
      <x:c r="C87" s="3" t="str">
        <x:v>Atlanta</x:v>
      </x:c>
      <x:c r="D87" s="3" t="n">
        <x:v>5371</x:v>
      </x:c>
      <x:c r="E87" s="3" t="n">
        <x:v>186.92</x:v>
      </x:c>
      <x:c r="F87" s="3" t="n">
        <x:v>7762055</x:v>
      </x:c>
      <x:c r="G87" s="3" t="str">
        <x:v>Yes</x:v>
      </x:c>
      <x:c r="H87" s="3" t="str">
        <x:v>No</x:v>
      </x:c>
      <x:c r="I87" s="3" t="n">
        <x:f>D87*E87</x:f>
        <x:v>1003947.32</x:v>
      </x:c>
      <x:c r="J87" s="3" t="n">
        <x:f>IFERROR(I87/F87*365,0)</x:f>
        <x:v>47.20924700997352</x:v>
      </x:c>
      <x:c r="K87" s="3" t="n">
        <x:f>IFERROR(F87/I87,0)</x:f>
        <x:v>7.73153615271367</x:v>
      </x:c>
      <x:c r="L87" s="3" t="str">
        <x:f>IF(G87="Yes","Liquidate/Write-down",IF(H87="Yes","Reduce safety stock",IF(J87&gt;90,"Replenishment review","Maintain")))</x:f>
        <x:v>Liquidate/Write-down</x:v>
      </x:c>
      <x:c r="M87" s="3" t="n">
        <x:f>IF(OR(G87="Yes",H87="Yes",J87&gt;90),I87*0.25,0)</x:f>
        <x:v>250986.83</x:v>
      </x:c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 t="str">
        <x:v>SKU-20087</x:v>
      </x:c>
      <x:c r="B88" s="3" t="str">
        <x:v>WIP</x:v>
      </x:c>
      <x:c r="C88" s="3" t="str">
        <x:v>Phoenix</x:v>
      </x:c>
      <x:c r="D88" s="3" t="n">
        <x:v>4651</x:v>
      </x:c>
      <x:c r="E88" s="3" t="n">
        <x:v>83.6</x:v>
      </x:c>
      <x:c r="F88" s="3" t="n">
        <x:v>2515595</x:v>
      </x:c>
      <x:c r="G88" s="3" t="str">
        <x:v>No</x:v>
      </x:c>
      <x:c r="H88" s="3" t="str">
        <x:v>No</x:v>
      </x:c>
      <x:c r="I88" s="3" t="n">
        <x:f>D88*E88</x:f>
        <x:v>388823.6</x:v>
      </x:c>
      <x:c r="J88" s="3" t="n">
        <x:f>IFERROR(I88/F88*365,0)</x:f>
        <x:v>56.41632059214619</x:v>
      </x:c>
      <x:c r="K88" s="3" t="n">
        <x:f>IFERROR(F88/I88,0)</x:f>
        <x:v>6.469759037260085</x:v>
      </x:c>
      <x:c r="L88" s="3" t="str">
        <x:f>IF(G88="Yes","Liquidate/Write-down",IF(H88="Yes","Reduce safety stock",IF(J88&gt;90,"Replenishment review","Maintain")))</x:f>
        <x:v>Maintain</x:v>
      </x:c>
      <x:c r="M88" s="3" t="n">
        <x:f>IF(OR(G88="Yes",H88="Yes",J88&gt;90),I88*0.25,0)</x:f>
        <x:v>0</x:v>
      </x:c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 t="str">
        <x:v>SKU-20088</x:v>
      </x:c>
      <x:c r="B89" s="3" t="str">
        <x:v>WIP</x:v>
      </x:c>
      <x:c r="C89" s="3" t="str">
        <x:v>Atlanta</x:v>
      </x:c>
      <x:c r="D89" s="3" t="n">
        <x:v>5735</x:v>
      </x:c>
      <x:c r="E89" s="3" t="n">
        <x:v>596.38</x:v>
      </x:c>
      <x:c r="F89" s="3" t="n">
        <x:v>15528438</x:v>
      </x:c>
      <x:c r="G89" s="3" t="str">
        <x:v>No</x:v>
      </x:c>
      <x:c r="H89" s="3" t="str">
        <x:v>No</x:v>
      </x:c>
      <x:c r="I89" s="3" t="n">
        <x:f>D89*E89</x:f>
        <x:v>3420239.3</x:v>
      </x:c>
      <x:c r="J89" s="3" t="n">
        <x:f>IFERROR(I89/F89*365,0)</x:f>
        <x:v>80.39362004729644</x:v>
      </x:c>
      <x:c r="K89" s="3" t="n">
        <x:f>IFERROR(F89/I89,0)</x:f>
        <x:v>4.540161268832857</x:v>
      </x:c>
      <x:c r="L89" s="3" t="str">
        <x:f>IF(G89="Yes","Liquidate/Write-down",IF(H89="Yes","Reduce safety stock",IF(J89&gt;90,"Replenishment review","Maintain")))</x:f>
        <x:v>Maintain</x:v>
      </x:c>
      <x:c r="M89" s="3" t="n">
        <x:f>IF(OR(G89="Yes",H89="Yes",J89&gt;90),I89*0.25,0)</x:f>
        <x:v>0</x:v>
      </x:c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 t="str">
        <x:v>SKU-20089</x:v>
      </x:c>
      <x:c r="B90" s="3" t="str">
        <x:v>Spare Parts</x:v>
      </x:c>
      <x:c r="C90" s="3" t="str">
        <x:v>Dallas</x:v>
      </x:c>
      <x:c r="D90" s="3" t="n">
        <x:v>5893</x:v>
      </x:c>
      <x:c r="E90" s="3" t="n">
        <x:v>293.76</x:v>
      </x:c>
      <x:c r="F90" s="3" t="n">
        <x:v>3110797</x:v>
      </x:c>
      <x:c r="G90" s="3" t="str">
        <x:v>No</x:v>
      </x:c>
      <x:c r="H90" s="3" t="str">
        <x:v>No</x:v>
      </x:c>
      <x:c r="I90" s="3" t="n">
        <x:f>D90*E90</x:f>
        <x:v>1731127.68</x:v>
      </x:c>
      <x:c r="J90" s="3" t="n">
        <x:f>IFERROR(I90/F90*365,0)</x:f>
        <x:v>203.11888020979833</x:v>
      </x:c>
      <x:c r="K90" s="3" t="n">
        <x:f>IFERROR(F90/I90,0)</x:f>
        <x:v>1.7969772166083093</x:v>
      </x:c>
      <x:c r="L90" s="3" t="str">
        <x:f>IF(G90="Yes","Liquidate/Write-down",IF(H90="Yes","Reduce safety stock",IF(J90&gt;90,"Replenishment review","Maintain")))</x:f>
        <x:v>Replenishment review</x:v>
      </x:c>
      <x:c r="M90" s="3" t="n">
        <x:f>IF(OR(G90="Yes",H90="Yes",J90&gt;90),I90*0.25,0)</x:f>
        <x:v>432781.92</x:v>
      </x:c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 t="str">
        <x:v>SKU-20090</x:v>
      </x:c>
      <x:c r="B91" s="3" t="str">
        <x:v>Packaging</x:v>
      </x:c>
      <x:c r="C91" s="3" t="str">
        <x:v>Nashville</x:v>
      </x:c>
      <x:c r="D91" s="3" t="n">
        <x:v>2896</x:v>
      </x:c>
      <x:c r="E91" s="3" t="n">
        <x:v>463.52</x:v>
      </x:c>
      <x:c r="F91" s="3" t="n">
        <x:v>6631202</x:v>
      </x:c>
      <x:c r="G91" s="3" t="str">
        <x:v>No</x:v>
      </x:c>
      <x:c r="H91" s="3" t="str">
        <x:v>No</x:v>
      </x:c>
      <x:c r="I91" s="3" t="n">
        <x:f>D91*E91</x:f>
        <x:v>1342353.92</x:v>
      </x:c>
      <x:c r="J91" s="3" t="n">
        <x:f>IFERROR(I91/F91*365,0)</x:f>
        <x:v>73.88693343981981</x:v>
      </x:c>
      <x:c r="K91" s="3" t="n">
        <x:f>IFERROR(F91/I91,0)</x:f>
        <x:v>4.939980359278126</x:v>
      </x:c>
      <x:c r="L91" s="3" t="str">
        <x:f>IF(G91="Yes","Liquidate/Write-down",IF(H91="Yes","Reduce safety stock",IF(J91&gt;90,"Replenishment review","Maintain")))</x:f>
        <x:v>Maintain</x:v>
      </x:c>
      <x:c r="M91" s="3" t="n">
        <x:f>IF(OR(G91="Yes",H91="Yes",J91&gt;90),I91*0.25,0)</x:f>
        <x:v>0</x:v>
      </x:c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 t="str">
        <x:v>SKU-20091</x:v>
      </x:c>
      <x:c r="B92" s="3" t="str">
        <x:v>Raw Materials</x:v>
      </x:c>
      <x:c r="C92" s="3" t="str">
        <x:v>Nashville</x:v>
      </x:c>
      <x:c r="D92" s="3" t="n">
        <x:v>5862</x:v>
      </x:c>
      <x:c r="E92" s="3" t="n">
        <x:v>603.34</x:v>
      </x:c>
      <x:c r="F92" s="3" t="n">
        <x:v>19580883</x:v>
      </x:c>
      <x:c r="G92" s="3" t="str">
        <x:v>No</x:v>
      </x:c>
      <x:c r="H92" s="3" t="str">
        <x:v>No</x:v>
      </x:c>
      <x:c r="I92" s="3" t="n">
        <x:f>D92*E92</x:f>
        <x:v>3536779.08</x:v>
      </x:c>
      <x:c r="J92" s="3" t="n">
        <x:f>IFERROR(I92/F92*365,0)</x:f>
        <x:v>65.92779111136102</x:v>
      </x:c>
      <x:c r="K92" s="3" t="n">
        <x:f>IFERROR(F92/I92,0)</x:f>
        <x:v>5.536360218461821</x:v>
      </x:c>
      <x:c r="L92" s="3" t="str">
        <x:f>IF(G92="Yes","Liquidate/Write-down",IF(H92="Yes","Reduce safety stock",IF(J92&gt;90,"Replenishment review","Maintain")))</x:f>
        <x:v>Maintain</x:v>
      </x:c>
      <x:c r="M92" s="3" t="n">
        <x:f>IF(OR(G92="Yes",H92="Yes",J92&gt;90),I92*0.25,0)</x:f>
        <x:v>0</x:v>
      </x:c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 t="str">
        <x:v>SKU-20092</x:v>
      </x:c>
      <x:c r="B93" s="3" t="str">
        <x:v>Finished Goods</x:v>
      </x:c>
      <x:c r="C93" s="3" t="str">
        <x:v>Dallas</x:v>
      </x:c>
      <x:c r="D93" s="3" t="n">
        <x:v>1187</x:v>
      </x:c>
      <x:c r="E93" s="3" t="n">
        <x:v>159.98</x:v>
      </x:c>
      <x:c r="F93" s="3" t="n">
        <x:v>865803</x:v>
      </x:c>
      <x:c r="G93" s="3" t="str">
        <x:v>No</x:v>
      </x:c>
      <x:c r="H93" s="3" t="str">
        <x:v>No</x:v>
      </x:c>
      <x:c r="I93" s="3" t="n">
        <x:f>D93*E93</x:f>
        <x:v>189896.25999999998</x:v>
      </x:c>
      <x:c r="J93" s="3" t="n">
        <x:f>IFERROR(I93/F93*365,0)</x:f>
        <x:v>80.05531847313996</x:v>
      </x:c>
      <x:c r="K93" s="3" t="n">
        <x:f>IFERROR(F93/I93,0)</x:f>
        <x:v>4.5593472983617485</x:v>
      </x:c>
      <x:c r="L93" s="3" t="str">
        <x:f>IF(G93="Yes","Liquidate/Write-down",IF(H93="Yes","Reduce safety stock",IF(J93&gt;90,"Replenishment review","Maintain")))</x:f>
        <x:v>Maintain</x:v>
      </x:c>
      <x:c r="M93" s="3" t="n">
        <x:f>IF(OR(G93="Yes",H93="Yes",J93&gt;90),I93*0.25,0)</x:f>
        <x:v>0</x:v>
      </x:c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 t="str">
        <x:v>SKU-20093</x:v>
      </x:c>
      <x:c r="B94" s="3" t="str">
        <x:v>Spare Parts</x:v>
      </x:c>
      <x:c r="C94" s="3" t="str">
        <x:v>Columbus</x:v>
      </x:c>
      <x:c r="D94" s="3" t="n">
        <x:v>1113</x:v>
      </x:c>
      <x:c r="E94" s="3" t="n">
        <x:v>400.87</x:v>
      </x:c>
      <x:c r="F94" s="3" t="n">
        <x:v>796975</x:v>
      </x:c>
      <x:c r="G94" s="3" t="str">
        <x:v>No</x:v>
      </x:c>
      <x:c r="H94" s="3" t="str">
        <x:v>No</x:v>
      </x:c>
      <x:c r="I94" s="3" t="n">
        <x:f>D94*E94</x:f>
        <x:v>446168.31</x:v>
      </x:c>
      <x:c r="J94" s="3" t="n">
        <x:f>IFERROR(I94/F94*365,0)</x:f>
        <x:v>204.33694049374196</x:v>
      </x:c>
      <x:c r="K94" s="3" t="n">
        <x:f>IFERROR(F94/I94,0)</x:f>
        <x:v>1.7862653669867319</x:v>
      </x:c>
      <x:c r="L94" s="3" t="str">
        <x:f>IF(G94="Yes","Liquidate/Write-down",IF(H94="Yes","Reduce safety stock",IF(J94&gt;90,"Replenishment review","Maintain")))</x:f>
        <x:v>Replenishment review</x:v>
      </x:c>
      <x:c r="M94" s="3" t="n">
        <x:f>IF(OR(G94="Yes",H94="Yes",J94&gt;90),I94*0.25,0)</x:f>
        <x:v>111542.0775</x:v>
      </x:c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 t="str">
        <x:v>SKU-20094</x:v>
      </x:c>
      <x:c r="B95" s="3" t="str">
        <x:v>Service Parts</x:v>
      </x:c>
      <x:c r="C95" s="3" t="str">
        <x:v>Phoenix</x:v>
      </x:c>
      <x:c r="D95" s="3" t="n">
        <x:v>4356</x:v>
      </x:c>
      <x:c r="E95" s="3" t="n">
        <x:v>271.73</x:v>
      </x:c>
      <x:c r="F95" s="3" t="n">
        <x:v>4715860</x:v>
      </x:c>
      <x:c r="G95" s="3" t="str">
        <x:v>No</x:v>
      </x:c>
      <x:c r="H95" s="3" t="str">
        <x:v>Yes</x:v>
      </x:c>
      <x:c r="I95" s="3" t="n">
        <x:f>D95*E95</x:f>
        <x:v>1183655.8800000001</x:v>
      </x:c>
      <x:c r="J95" s="3" t="n">
        <x:f>IFERROR(I95/F95*365,0)</x:f>
        <x:v>91.61306658806667</x:v>
      </x:c>
      <x:c r="K95" s="3" t="n">
        <x:f>IFERROR(F95/I95,0)</x:f>
        <x:v>3.9841478251263363</x:v>
      </x:c>
      <x:c r="L95" s="3" t="str">
        <x:f>IF(G95="Yes","Liquidate/Write-down",IF(H95="Yes","Reduce safety stock",IF(J95&gt;90,"Replenishment review","Maintain")))</x:f>
        <x:v>Reduce safety stock</x:v>
      </x:c>
      <x:c r="M95" s="3" t="n">
        <x:f>IF(OR(G95="Yes",H95="Yes",J95&gt;90),I95*0.25,0)</x:f>
        <x:v>295913.97000000003</x:v>
      </x:c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 t="str">
        <x:v>SKU-20095</x:v>
      </x:c>
      <x:c r="B96" s="3" t="str">
        <x:v>Packaging</x:v>
      </x:c>
      <x:c r="C96" s="3" t="str">
        <x:v>Nashville</x:v>
      </x:c>
      <x:c r="D96" s="3" t="n">
        <x:v>657</x:v>
      </x:c>
      <x:c r="E96" s="3" t="n">
        <x:v>296.88</x:v>
      </x:c>
      <x:c r="F96" s="3" t="n">
        <x:v>1136117</x:v>
      </x:c>
      <x:c r="G96" s="3" t="str">
        <x:v>No</x:v>
      </x:c>
      <x:c r="H96" s="3" t="str">
        <x:v>No</x:v>
      </x:c>
      <x:c r="I96" s="3" t="n">
        <x:f>D96*E96</x:f>
        <x:v>195050.16</x:v>
      </x:c>
      <x:c r="J96" s="3" t="n">
        <x:f>IFERROR(I96/F96*365,0)</x:f>
        <x:v>62.663711924035994</x:v>
      </x:c>
      <x:c r="K96" s="3" t="n">
        <x:f>IFERROR(F96/I96,0)</x:f>
        <x:v>5.824742722589923</x:v>
      </x:c>
      <x:c r="L96" s="3" t="str">
        <x:f>IF(G96="Yes","Liquidate/Write-down",IF(H96="Yes","Reduce safety stock",IF(J96&gt;90,"Replenishment review","Maintain")))</x:f>
        <x:v>Maintain</x:v>
      </x:c>
      <x:c r="M96" s="3" t="n">
        <x:f>IF(OR(G96="Yes",H96="Yes",J96&gt;90),I96*0.25,0)</x:f>
        <x:v>0</x:v>
      </x:c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 t="str">
        <x:v>SKU-20096</x:v>
      </x:c>
      <x:c r="B97" s="3" t="str">
        <x:v>WIP</x:v>
      </x:c>
      <x:c r="C97" s="3" t="str">
        <x:v>Nashville</x:v>
      </x:c>
      <x:c r="D97" s="3" t="n">
        <x:v>4865</x:v>
      </x:c>
      <x:c r="E97" s="3" t="n">
        <x:v>124.82</x:v>
      </x:c>
      <x:c r="F97" s="3" t="n">
        <x:v>4718691</x:v>
      </x:c>
      <x:c r="G97" s="3" t="str">
        <x:v>No</x:v>
      </x:c>
      <x:c r="H97" s="3" t="str">
        <x:v>No</x:v>
      </x:c>
      <x:c r="I97" s="3" t="n">
        <x:f>D97*E97</x:f>
        <x:v>607249.2999999999</x:v>
      </x:c>
      <x:c r="J97" s="3" t="n">
        <x:f>IFERROR(I97/F97*365,0)</x:f>
        <x:v>46.971923887366216</x:v>
      </x:c>
      <x:c r="K97" s="3" t="n">
        <x:f>IFERROR(F97/I97,0)</x:f>
        <x:v>7.770599323869127</x:v>
      </x:c>
      <x:c r="L97" s="3" t="str">
        <x:f>IF(G97="Yes","Liquidate/Write-down",IF(H97="Yes","Reduce safety stock",IF(J97&gt;90,"Replenishment review","Maintain")))</x:f>
        <x:v>Maintain</x:v>
      </x:c>
      <x:c r="M97" s="3" t="n">
        <x:f>IF(OR(G97="Yes",H97="Yes",J97&gt;90),I97*0.25,0)</x:f>
        <x:v>0</x:v>
      </x:c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 t="str">
        <x:v>SKU-20097</x:v>
      </x:c>
      <x:c r="B98" s="3" t="str">
        <x:v>Finished Goods</x:v>
      </x:c>
      <x:c r="C98" s="3" t="str">
        <x:v>Chicago</x:v>
      </x:c>
      <x:c r="D98" s="3" t="n">
        <x:v>4294</x:v>
      </x:c>
      <x:c r="E98" s="3" t="n">
        <x:v>106.24</x:v>
      </x:c>
      <x:c r="F98" s="3" t="n">
        <x:v>1058220</x:v>
      </x:c>
      <x:c r="G98" s="3" t="str">
        <x:v>No</x:v>
      </x:c>
      <x:c r="H98" s="3" t="str">
        <x:v>No</x:v>
      </x:c>
      <x:c r="I98" s="3" t="n">
        <x:f>D98*E98</x:f>
        <x:v>456194.56</x:v>
      </x:c>
      <x:c r="J98" s="3" t="n">
        <x:f>IFERROR(I98/F98*365,0)</x:f>
        <x:v>157.35009204135247</x:v>
      </x:c>
      <x:c r="K98" s="3" t="n">
        <x:f>IFERROR(F98/I98,0)</x:f>
        <x:v>2.3196681696511243</x:v>
      </x:c>
      <x:c r="L98" s="3" t="str">
        <x:f>IF(G98="Yes","Liquidate/Write-down",IF(H98="Yes","Reduce safety stock",IF(J98&gt;90,"Replenishment review","Maintain")))</x:f>
        <x:v>Replenishment review</x:v>
      </x:c>
      <x:c r="M98" s="3" t="n">
        <x:f>IF(OR(G98="Yes",H98="Yes",J98&gt;90),I98*0.25,0)</x:f>
        <x:v>114048.64</x:v>
      </x:c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 t="str">
        <x:v>SKU-20098</x:v>
      </x:c>
      <x:c r="B99" s="3" t="str">
        <x:v>Packaging</x:v>
      </x:c>
      <x:c r="C99" s="3" t="str">
        <x:v>Columbus</x:v>
      </x:c>
      <x:c r="D99" s="3" t="n">
        <x:v>2376</x:v>
      </x:c>
      <x:c r="E99" s="3" t="n">
        <x:v>551.09</x:v>
      </x:c>
      <x:c r="F99" s="3" t="n">
        <x:v>3802620</x:v>
      </x:c>
      <x:c r="G99" s="3" t="str">
        <x:v>No</x:v>
      </x:c>
      <x:c r="H99" s="3" t="str">
        <x:v>No</x:v>
      </x:c>
      <x:c r="I99" s="3" t="n">
        <x:f>D99*E99</x:f>
        <x:v>1309389.84</x:v>
      </x:c>
      <x:c r="J99" s="3" t="n">
        <x:f>IFERROR(I99/F99*365,0)</x:f>
        <x:v>125.68368430187607</x:v>
      </x:c>
      <x:c r="K99" s="3" t="n">
        <x:f>IFERROR(F99/I99,0)</x:f>
        <x:v>2.9041160117753777</x:v>
      </x:c>
      <x:c r="L99" s="3" t="str">
        <x:f>IF(G99="Yes","Liquidate/Write-down",IF(H99="Yes","Reduce safety stock",IF(J99&gt;90,"Replenishment review","Maintain")))</x:f>
        <x:v>Replenishment review</x:v>
      </x:c>
      <x:c r="M99" s="3" t="n">
        <x:f>IF(OR(G99="Yes",H99="Yes",J99&gt;90),I99*0.25,0)</x:f>
        <x:v>327347.46</x:v>
      </x:c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 t="str">
        <x:v>SKU-20099</x:v>
      </x:c>
      <x:c r="B100" s="3" t="str">
        <x:v>Raw Materials</x:v>
      </x:c>
      <x:c r="C100" s="3" t="str">
        <x:v>Nashville</x:v>
      </x:c>
      <x:c r="D100" s="3" t="n">
        <x:v>2530</x:v>
      </x:c>
      <x:c r="E100" s="3" t="n">
        <x:v>402.46</x:v>
      </x:c>
      <x:c r="F100" s="3" t="n">
        <x:v>1868760</x:v>
      </x:c>
      <x:c r="G100" s="3" t="str">
        <x:v>No</x:v>
      </x:c>
      <x:c r="H100" s="3" t="str">
        <x:v>No</x:v>
      </x:c>
      <x:c r="I100" s="3" t="n">
        <x:f>D100*E100</x:f>
        <x:v>1018223.7999999999</x:v>
      </x:c>
      <x:c r="J100" s="3" t="n">
        <x:f>IFERROR(I100/F100*365,0)</x:f>
        <x:v>198.87609270318282</x:v>
      </x:c>
      <x:c r="K100" s="3" t="n">
        <x:f>IFERROR(F100/I100,0)</x:f>
        <x:v>1.8353136118012563</x:v>
      </x:c>
      <x:c r="L100" s="3" t="str">
        <x:f>IF(G100="Yes","Liquidate/Write-down",IF(H100="Yes","Reduce safety stock",IF(J100&gt;90,"Replenishment review","Maintain")))</x:f>
        <x:v>Replenishment review</x:v>
      </x:c>
      <x:c r="M100" s="3" t="n">
        <x:f>IF(OR(G100="Yes",H100="Yes",J100&gt;90),I100*0.25,0)</x:f>
        <x:v>254555.94999999998</x:v>
      </x:c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 t="str">
        <x:v>SKU-20100</x:v>
      </x:c>
      <x:c r="B101" s="3" t="str">
        <x:v>WIP</x:v>
      </x:c>
      <x:c r="C101" s="3" t="str">
        <x:v>Dallas</x:v>
      </x:c>
      <x:c r="D101" s="3" t="n">
        <x:v>1452</x:v>
      </x:c>
      <x:c r="E101" s="3" t="n">
        <x:v>430.91</x:v>
      </x:c>
      <x:c r="F101" s="3" t="n">
        <x:v>3816846</x:v>
      </x:c>
      <x:c r="G101" s="3" t="str">
        <x:v>No</x:v>
      </x:c>
      <x:c r="H101" s="3" t="str">
        <x:v>No</x:v>
      </x:c>
      <x:c r="I101" s="3" t="n">
        <x:f>D101*E101</x:f>
        <x:v>625681.3200000001</x:v>
      </x:c>
      <x:c r="J101" s="3" t="n">
        <x:f>IFERROR(I101/F101*365,0)</x:f>
        <x:v>59.83308779028549</x:v>
      </x:c>
      <x:c r="K101" s="3" t="n">
        <x:f>IFERROR(F101/I101,0)</x:f>
        <x:v>6.1003035858574135</x:v>
      </x:c>
      <x:c r="L101" s="3" t="str">
        <x:f>IF(G101="Yes","Liquidate/Write-down",IF(H101="Yes","Reduce safety stock",IF(J101&gt;90,"Replenishment review","Maintain")))</x:f>
        <x:v>Maintain</x:v>
      </x:c>
      <x:c r="M101" s="3" t="n">
        <x:f>IF(OR(G101="Yes",H101="Yes",J101&gt;90),I101*0.25,0)</x:f>
        <x:v>0</x:v>
      </x:c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 t="str">
        <x:v>SKU-20101</x:v>
      </x:c>
      <x:c r="B102" s="3" t="str">
        <x:v>WIP</x:v>
      </x:c>
      <x:c r="C102" s="3" t="str">
        <x:v>Chicago</x:v>
      </x:c>
      <x:c r="D102" s="3" t="n">
        <x:v>282</x:v>
      </x:c>
      <x:c r="E102" s="3" t="n">
        <x:v>60.15</x:v>
      </x:c>
      <x:c r="F102" s="3" t="n">
        <x:v>129764</x:v>
      </x:c>
      <x:c r="G102" s="3" t="str">
        <x:v>No</x:v>
      </x:c>
      <x:c r="H102" s="3" t="str">
        <x:v>No</x:v>
      </x:c>
      <x:c r="I102" s="3" t="n">
        <x:f>D102*E102</x:f>
        <x:v>16962.3</x:v>
      </x:c>
      <x:c r="J102" s="3" t="n">
        <x:f>IFERROR(I102/F102*365,0)</x:f>
        <x:v>47.71153401559755</x:v>
      </x:c>
      <x:c r="K102" s="3" t="n">
        <x:f>IFERROR(F102/I102,0)</x:f>
        <x:v>7.650141785017363</x:v>
      </x:c>
      <x:c r="L102" s="3" t="str">
        <x:f>IF(G102="Yes","Liquidate/Write-down",IF(H102="Yes","Reduce safety stock",IF(J102&gt;90,"Replenishment review","Maintain")))</x:f>
        <x:v>Maintain</x:v>
      </x:c>
      <x:c r="M102" s="3" t="n">
        <x:f>IF(OR(G102="Yes",H102="Yes",J102&gt;90),I102*0.25,0)</x:f>
        <x:v>0</x:v>
      </x:c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 t="str">
        <x:v>SKU-20102</x:v>
      </x:c>
      <x:c r="B103" s="3" t="str">
        <x:v>Raw Materials</x:v>
      </x:c>
      <x:c r="C103" s="3" t="str">
        <x:v>Columbus</x:v>
      </x:c>
      <x:c r="D103" s="3" t="n">
        <x:v>3462</x:v>
      </x:c>
      <x:c r="E103" s="3" t="n">
        <x:v>404.83</x:v>
      </x:c>
      <x:c r="F103" s="3" t="n">
        <x:v>1970461</x:v>
      </x:c>
      <x:c r="G103" s="3" t="str">
        <x:v>No</x:v>
      </x:c>
      <x:c r="H103" s="3" t="str">
        <x:v>No</x:v>
      </x:c>
      <x:c r="I103" s="3" t="n">
        <x:f>D103*E103</x:f>
        <x:v>1401521.46</x:v>
      </x:c>
      <x:c r="J103" s="3" t="n">
        <x:f>IFERROR(I103/F103*365,0)</x:f>
        <x:v>259.6120059722065</x:v>
      </x:c>
      <x:c r="K103" s="3" t="n">
        <x:f>IFERROR(F103/I103,0)</x:f>
        <x:v>1.4059442229304144</x:v>
      </x:c>
      <x:c r="L103" s="3" t="str">
        <x:f>IF(G103="Yes","Liquidate/Write-down",IF(H103="Yes","Reduce safety stock",IF(J103&gt;90,"Replenishment review","Maintain")))</x:f>
        <x:v>Replenishment review</x:v>
      </x:c>
      <x:c r="M103" s="3" t="n">
        <x:f>IF(OR(G103="Yes",H103="Yes",J103&gt;90),I103*0.25,0)</x:f>
        <x:v>350380.365</x:v>
      </x:c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 t="str">
        <x:v>SKU-20103</x:v>
      </x:c>
      <x:c r="B104" s="3" t="str">
        <x:v>Service Parts</x:v>
      </x:c>
      <x:c r="C104" s="3" t="str">
        <x:v>Atlanta</x:v>
      </x:c>
      <x:c r="D104" s="3" t="n">
        <x:v>4006</x:v>
      </x:c>
      <x:c r="E104" s="3" t="n">
        <x:v>165.21</x:v>
      </x:c>
      <x:c r="F104" s="3" t="n">
        <x:v>4427635</x:v>
      </x:c>
      <x:c r="G104" s="3" t="str">
        <x:v>No</x:v>
      </x:c>
      <x:c r="H104" s="3" t="str">
        <x:v>No</x:v>
      </x:c>
      <x:c r="I104" s="3" t="n">
        <x:f>D104*E104</x:f>
        <x:v>661831.26</x:v>
      </x:c>
      <x:c r="J104" s="3" t="n">
        <x:f>IFERROR(I104/F104*365,0)</x:f>
        <x:v>54.559242101031366</x:v>
      </x:c>
      <x:c r="K104" s="3" t="n">
        <x:f>IFERROR(F104/I104,0)</x:f>
        <x:v>6.689975629135438</x:v>
      </x:c>
      <x:c r="L104" s="3" t="str">
        <x:f>IF(G104="Yes","Liquidate/Write-down",IF(H104="Yes","Reduce safety stock",IF(J104&gt;90,"Replenishment review","Maintain")))</x:f>
        <x:v>Maintain</x:v>
      </x:c>
      <x:c r="M104" s="3" t="n">
        <x:f>IF(OR(G104="Yes",H104="Yes",J104&gt;90),I104*0.25,0)</x:f>
        <x:v>0</x:v>
      </x:c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 t="str">
        <x:v>SKU-20104</x:v>
      </x:c>
      <x:c r="B105" s="3" t="str">
        <x:v>Service Parts</x:v>
      </x:c>
      <x:c r="C105" s="3" t="str">
        <x:v>Chicago</x:v>
      </x:c>
      <x:c r="D105" s="3" t="n">
        <x:v>1344</x:v>
      </x:c>
      <x:c r="E105" s="3" t="n">
        <x:v>290.23</x:v>
      </x:c>
      <x:c r="F105" s="3" t="n">
        <x:v>1752545</x:v>
      </x:c>
      <x:c r="G105" s="3" t="str">
        <x:v>No</x:v>
      </x:c>
      <x:c r="H105" s="3" t="str">
        <x:v>No</x:v>
      </x:c>
      <x:c r="I105" s="3" t="n">
        <x:f>D105*E105</x:f>
        <x:v>390069.12</x:v>
      </x:c>
      <x:c r="J105" s="3" t="n">
        <x:f>IFERROR(I105/F105*365,0)</x:f>
        <x:v>81.23912869569683</x:v>
      </x:c>
      <x:c r="K105" s="3" t="n">
        <x:f>IFERROR(F105/I105,0)</x:f>
        <x:v>4.492908846514177</x:v>
      </x:c>
      <x:c r="L105" s="3" t="str">
        <x:f>IF(G105="Yes","Liquidate/Write-down",IF(H105="Yes","Reduce safety stock",IF(J105&gt;90,"Replenishment review","Maintain")))</x:f>
        <x:v>Maintain</x:v>
      </x:c>
      <x:c r="M105" s="3" t="n">
        <x:f>IF(OR(G105="Yes",H105="Yes",J105&gt;90),I105*0.25,0)</x:f>
        <x:v>0</x:v>
      </x:c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 t="str">
        <x:v>SKU-20105</x:v>
      </x:c>
      <x:c r="B106" s="3" t="str">
        <x:v>Packaging</x:v>
      </x:c>
      <x:c r="C106" s="3" t="str">
        <x:v>Nashville</x:v>
      </x:c>
      <x:c r="D106" s="3" t="n">
        <x:v>2665</x:v>
      </x:c>
      <x:c r="E106" s="3" t="n">
        <x:v>479.36</x:v>
      </x:c>
      <x:c r="F106" s="3" t="n">
        <x:v>9010533</x:v>
      </x:c>
      <x:c r="G106" s="3" t="str">
        <x:v>No</x:v>
      </x:c>
      <x:c r="H106" s="3" t="str">
        <x:v>Yes</x:v>
      </x:c>
      <x:c r="I106" s="3" t="n">
        <x:f>D106*E106</x:f>
        <x:v>1277494.4000000001</x:v>
      </x:c>
      <x:c r="J106" s="3" t="n">
        <x:f>IFERROR(I106/F106*365,0)</x:f>
        <x:v>51.748931611481815</x:v>
      </x:c>
      <x:c r="K106" s="3" t="n">
        <x:f>IFERROR(F106/I106,0)</x:f>
        <x:v>7.053285713033262</x:v>
      </x:c>
      <x:c r="L106" s="3" t="str">
        <x:f>IF(G106="Yes","Liquidate/Write-down",IF(H106="Yes","Reduce safety stock",IF(J106&gt;90,"Replenishment review","Maintain")))</x:f>
        <x:v>Reduce safety stock</x:v>
      </x:c>
      <x:c r="M106" s="3" t="n">
        <x:f>IF(OR(G106="Yes",H106="Yes",J106&gt;90),I106*0.25,0)</x:f>
        <x:v>319373.60000000003</x:v>
      </x:c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 t="str">
        <x:v>SKU-20106</x:v>
      </x:c>
      <x:c r="B107" s="3" t="str">
        <x:v>Packaging</x:v>
      </x:c>
      <x:c r="C107" s="3" t="str">
        <x:v>Columbus</x:v>
      </x:c>
      <x:c r="D107" s="3" t="n">
        <x:v>4651</x:v>
      </x:c>
      <x:c r="E107" s="3" t="n">
        <x:v>76.17</x:v>
      </x:c>
      <x:c r="F107" s="3" t="n">
        <x:v>1007470</x:v>
      </x:c>
      <x:c r="G107" s="3" t="str">
        <x:v>No</x:v>
      </x:c>
      <x:c r="H107" s="3" t="str">
        <x:v>No</x:v>
      </x:c>
      <x:c r="I107" s="3" t="n">
        <x:f>D107*E107</x:f>
        <x:v>354266.67</x:v>
      </x:c>
      <x:c r="J107" s="3" t="n">
        <x:f>IFERROR(I107/F107*365,0)</x:f>
        <x:v>128.34857072667177</x:v>
      </x:c>
      <x:c r="K107" s="3" t="n">
        <x:f>IFERROR(F107/I107,0)</x:f>
        <x:v>2.8438181892753276</x:v>
      </x:c>
      <x:c r="L107" s="3" t="str">
        <x:f>IF(G107="Yes","Liquidate/Write-down",IF(H107="Yes","Reduce safety stock",IF(J107&gt;90,"Replenishment review","Maintain")))</x:f>
        <x:v>Replenishment review</x:v>
      </x:c>
      <x:c r="M107" s="3" t="n">
        <x:f>IF(OR(G107="Yes",H107="Yes",J107&gt;90),I107*0.25,0)</x:f>
        <x:v>88566.6675</x:v>
      </x:c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 t="str">
        <x:v>SKU-20107</x:v>
      </x:c>
      <x:c r="B108" s="3" t="str">
        <x:v>Raw Materials</x:v>
      </x:c>
      <x:c r="C108" s="3" t="str">
        <x:v>Chicago</x:v>
      </x:c>
      <x:c r="D108" s="3" t="n">
        <x:v>464</x:v>
      </x:c>
      <x:c r="E108" s="3" t="n">
        <x:v>194.32</x:v>
      </x:c>
      <x:c r="F108" s="3" t="n">
        <x:v>343727</x:v>
      </x:c>
      <x:c r="G108" s="3" t="str">
        <x:v>No</x:v>
      </x:c>
      <x:c r="H108" s="3" t="str">
        <x:v>No</x:v>
      </x:c>
      <x:c r="I108" s="3" t="n">
        <x:f>D108*E108</x:f>
        <x:v>90164.48</x:v>
      </x:c>
      <x:c r="J108" s="3" t="n">
        <x:f>IFERROR(I108/F108*365,0)</x:f>
        <x:v>95.74469040837641</x:v>
      </x:c>
      <x:c r="K108" s="3" t="n">
        <x:f>IFERROR(F108/I108,0)</x:f>
        <x:v>3.812221841683111</x:v>
      </x:c>
      <x:c r="L108" s="3" t="str">
        <x:f>IF(G108="Yes","Liquidate/Write-down",IF(H108="Yes","Reduce safety stock",IF(J108&gt;90,"Replenishment review","Maintain")))</x:f>
        <x:v>Replenishment review</x:v>
      </x:c>
      <x:c r="M108" s="3" t="n">
        <x:f>IF(OR(G108="Yes",H108="Yes",J108&gt;90),I108*0.25,0)</x:f>
        <x:v>22541.12</x:v>
      </x:c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 t="str">
        <x:v>SKU-20108</x:v>
      </x:c>
      <x:c r="B109" s="3" t="str">
        <x:v>Raw Materials</x:v>
      </x:c>
      <x:c r="C109" s="3" t="str">
        <x:v>Atlanta</x:v>
      </x:c>
      <x:c r="D109" s="3" t="n">
        <x:v>4782</x:v>
      </x:c>
      <x:c r="E109" s="3" t="n">
        <x:v>470.96</x:v>
      </x:c>
      <x:c r="F109" s="3" t="n">
        <x:v>5609769</x:v>
      </x:c>
      <x:c r="G109" s="3" t="str">
        <x:v>No</x:v>
      </x:c>
      <x:c r="H109" s="3" t="str">
        <x:v>No</x:v>
      </x:c>
      <x:c r="I109" s="3" t="n">
        <x:f>D109*E109</x:f>
        <x:v>2252130.7199999997</x:v>
      </x:c>
      <x:c r="J109" s="3" t="n">
        <x:f>IFERROR(I109/F109*365,0)</x:f>
        <x:v>146.53503785984768</x:v>
      </x:c>
      <x:c r="K109" s="3" t="n">
        <x:f>IFERROR(F109/I109,0)</x:f>
        <x:v>2.4908718442417945</x:v>
      </x:c>
      <x:c r="L109" s="3" t="str">
        <x:f>IF(G109="Yes","Liquidate/Write-down",IF(H109="Yes","Reduce safety stock",IF(J109&gt;90,"Replenishment review","Maintain")))</x:f>
        <x:v>Replenishment review</x:v>
      </x:c>
      <x:c r="M109" s="3" t="n">
        <x:f>IF(OR(G109="Yes",H109="Yes",J109&gt;90),I109*0.25,0)</x:f>
        <x:v>563032.6799999999</x:v>
      </x:c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 t="str">
        <x:v>SKU-20109</x:v>
      </x:c>
      <x:c r="B110" s="3" t="str">
        <x:v>Spare Parts</x:v>
      </x:c>
      <x:c r="C110" s="3" t="str">
        <x:v>Phoenix</x:v>
      </x:c>
      <x:c r="D110" s="3" t="n">
        <x:v>2577</x:v>
      </x:c>
      <x:c r="E110" s="3" t="n">
        <x:v>327.31</x:v>
      </x:c>
      <x:c r="F110" s="3" t="n">
        <x:v>1528663</x:v>
      </x:c>
      <x:c r="G110" s="3" t="str">
        <x:v>No</x:v>
      </x:c>
      <x:c r="H110" s="3" t="str">
        <x:v>No</x:v>
      </x:c>
      <x:c r="I110" s="3" t="n">
        <x:f>D110*E110</x:f>
        <x:v>843477.87</x:v>
      </x:c>
      <x:c r="J110" s="3" t="n">
        <x:f>IFERROR(I110/F110*365,0)</x:f>
        <x:v>201.39783755477825</x:v>
      </x:c>
      <x:c r="K110" s="3" t="n">
        <x:f>IFERROR(F110/I110,0)</x:f>
        <x:v>1.812333262519383</x:v>
      </x:c>
      <x:c r="L110" s="3" t="str">
        <x:f>IF(G110="Yes","Liquidate/Write-down",IF(H110="Yes","Reduce safety stock",IF(J110&gt;90,"Replenishment review","Maintain")))</x:f>
        <x:v>Replenishment review</x:v>
      </x:c>
      <x:c r="M110" s="3" t="n">
        <x:f>IF(OR(G110="Yes",H110="Yes",J110&gt;90),I110*0.25,0)</x:f>
        <x:v>210869.4675</x:v>
      </x:c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 t="str">
        <x:v>SKU-20110</x:v>
      </x:c>
      <x:c r="B111" s="3" t="str">
        <x:v>Raw Materials</x:v>
      </x:c>
      <x:c r="C111" s="3" t="str">
        <x:v>Dallas</x:v>
      </x:c>
      <x:c r="D111" s="3" t="n">
        <x:v>4828</x:v>
      </x:c>
      <x:c r="E111" s="3" t="n">
        <x:v>234.56</x:v>
      </x:c>
      <x:c r="F111" s="3" t="n">
        <x:v>1748143</x:v>
      </x:c>
      <x:c r="G111" s="3" t="str">
        <x:v>No</x:v>
      </x:c>
      <x:c r="H111" s="3" t="str">
        <x:v>No</x:v>
      </x:c>
      <x:c r="I111" s="3" t="n">
        <x:f>D111*E111</x:f>
        <x:v>1132455.68</x:v>
      </x:c>
      <x:c r="J111" s="3" t="n">
        <x:f>IFERROR(I111/F111*365,0)</x:f>
        <x:v>236.44880493186199</x:v>
      </x:c>
      <x:c r="K111" s="3" t="n">
        <x:f>IFERROR(F111/I111,0)</x:f>
        <x:v>1.5436745392102234</x:v>
      </x:c>
      <x:c r="L111" s="3" t="str">
        <x:f>IF(G111="Yes","Liquidate/Write-down",IF(H111="Yes","Reduce safety stock",IF(J111&gt;90,"Replenishment review","Maintain")))</x:f>
        <x:v>Replenishment review</x:v>
      </x:c>
      <x:c r="M111" s="3" t="n">
        <x:f>IF(OR(G111="Yes",H111="Yes",J111&gt;90),I111*0.25,0)</x:f>
        <x:v>283113.92</x:v>
      </x:c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 t="str">
        <x:v>SKU-20111</x:v>
      </x:c>
      <x:c r="B112" s="3" t="str">
        <x:v>Service Parts</x:v>
      </x:c>
      <x:c r="C112" s="3" t="str">
        <x:v>Nashville</x:v>
      </x:c>
      <x:c r="D112" s="3" t="n">
        <x:v>3905</x:v>
      </x:c>
      <x:c r="E112" s="3" t="n">
        <x:v>191.45</x:v>
      </x:c>
      <x:c r="F112" s="3" t="n">
        <x:v>938707</x:v>
      </x:c>
      <x:c r="G112" s="3" t="str">
        <x:v>No</x:v>
      </x:c>
      <x:c r="H112" s="3" t="str">
        <x:v>Yes</x:v>
      </x:c>
      <x:c r="I112" s="3" t="n">
        <x:f>D112*E112</x:f>
        <x:v>747612.25</x:v>
      </x:c>
      <x:c r="J112" s="3" t="n">
        <x:f>IFERROR(I112/F112*365,0)</x:f>
        <x:v>290.69610778443115</x:v>
      </x:c>
      <x:c r="K112" s="3" t="n">
        <x:f>IFERROR(F112/I112,0)</x:f>
        <x:v>1.2556067667430544</x:v>
      </x:c>
      <x:c r="L112" s="3" t="str">
        <x:f>IF(G112="Yes","Liquidate/Write-down",IF(H112="Yes","Reduce safety stock",IF(J112&gt;90,"Replenishment review","Maintain")))</x:f>
        <x:v>Reduce safety stock</x:v>
      </x:c>
      <x:c r="M112" s="3" t="n">
        <x:f>IF(OR(G112="Yes",H112="Yes",J112&gt;90),I112*0.25,0)</x:f>
        <x:v>186903.0625</x:v>
      </x:c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 t="str">
        <x:v>SKU-20112</x:v>
      </x:c>
      <x:c r="B113" s="3" t="str">
        <x:v>Packaging</x:v>
      </x:c>
      <x:c r="C113" s="3" t="str">
        <x:v>Nashville</x:v>
      </x:c>
      <x:c r="D113" s="3" t="n">
        <x:v>3046</x:v>
      </x:c>
      <x:c r="E113" s="3" t="n">
        <x:v>498.4</x:v>
      </x:c>
      <x:c r="F113" s="3" t="n">
        <x:v>5599418</x:v>
      </x:c>
      <x:c r="G113" s="3" t="str">
        <x:v>No</x:v>
      </x:c>
      <x:c r="H113" s="3" t="str">
        <x:v>No</x:v>
      </x:c>
      <x:c r="I113" s="3" t="n">
        <x:f>D113*E113</x:f>
        <x:v>1518126.4</x:v>
      </x:c>
      <x:c r="J113" s="3" t="n">
        <x:f>IFERROR(I113/F113*365,0)</x:f>
        <x:v>98.95959472930936</x:v>
      </x:c>
      <x:c r="K113" s="3" t="n">
        <x:f>IFERROR(F113/I113,0)</x:f>
        <x:v>3.6883740378930243</x:v>
      </x:c>
      <x:c r="L113" s="3" t="str">
        <x:f>IF(G113="Yes","Liquidate/Write-down",IF(H113="Yes","Reduce safety stock",IF(J113&gt;90,"Replenishment review","Maintain")))</x:f>
        <x:v>Replenishment review</x:v>
      </x:c>
      <x:c r="M113" s="3" t="n">
        <x:f>IF(OR(G113="Yes",H113="Yes",J113&gt;90),I113*0.25,0)</x:f>
        <x:v>379531.6</x:v>
      </x:c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 t="str">
        <x:v>SKU-20113</x:v>
      </x:c>
      <x:c r="B114" s="3" t="str">
        <x:v>Raw Materials</x:v>
      </x:c>
      <x:c r="C114" s="3" t="str">
        <x:v>Atlanta</x:v>
      </x:c>
      <x:c r="D114" s="3" t="n">
        <x:v>4582</x:v>
      </x:c>
      <x:c r="E114" s="3" t="n">
        <x:v>193.28</x:v>
      </x:c>
      <x:c r="F114" s="3" t="n">
        <x:v>3389378</x:v>
      </x:c>
      <x:c r="G114" s="3" t="str">
        <x:v>No</x:v>
      </x:c>
      <x:c r="H114" s="3" t="str">
        <x:v>No</x:v>
      </x:c>
      <x:c r="I114" s="3" t="n">
        <x:f>D114*E114</x:f>
        <x:v>885608.96</x:v>
      </x:c>
      <x:c r="J114" s="3" t="n">
        <x:f>IFERROR(I114/F114*365,0)</x:f>
        <x:v>95.37067579951247</x:v>
      </x:c>
      <x:c r="K114" s="3" t="n">
        <x:f>IFERROR(F114/I114,0)</x:f>
        <x:v>3.827172209278461</x:v>
      </x:c>
      <x:c r="L114" s="3" t="str">
        <x:f>IF(G114="Yes","Liquidate/Write-down",IF(H114="Yes","Reduce safety stock",IF(J114&gt;90,"Replenishment review","Maintain")))</x:f>
        <x:v>Replenishment review</x:v>
      </x:c>
      <x:c r="M114" s="3" t="n">
        <x:f>IF(OR(G114="Yes",H114="Yes",J114&gt;90),I114*0.25,0)</x:f>
        <x:v>221402.24</x:v>
      </x:c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 t="str">
        <x:v>SKU-20114</x:v>
      </x:c>
      <x:c r="B115" s="3" t="str">
        <x:v>WIP</x:v>
      </x:c>
      <x:c r="C115" s="3" t="str">
        <x:v>Nashville</x:v>
      </x:c>
      <x:c r="D115" s="3" t="n">
        <x:v>5055</x:v>
      </x:c>
      <x:c r="E115" s="3" t="n">
        <x:v>84.28</x:v>
      </x:c>
      <x:c r="F115" s="3" t="n">
        <x:v>3336097</x:v>
      </x:c>
      <x:c r="G115" s="3" t="str">
        <x:v>No</x:v>
      </x:c>
      <x:c r="H115" s="3" t="str">
        <x:v>No</x:v>
      </x:c>
      <x:c r="I115" s="3" t="n">
        <x:f>D115*E115</x:f>
        <x:v>426035.4</x:v>
      </x:c>
      <x:c r="J115" s="3" t="n">
        <x:f>IFERROR(I115/F115*365,0)</x:f>
        <x:v>46.61223010002408</x:v>
      </x:c>
      <x:c r="K115" s="3" t="n">
        <x:f>IFERROR(F115/I115,0)</x:f>
        <x:v>7.830562906274924</x:v>
      </x:c>
      <x:c r="L115" s="3" t="str">
        <x:f>IF(G115="Yes","Liquidate/Write-down",IF(H115="Yes","Reduce safety stock",IF(J115&gt;90,"Replenishment review","Maintain")))</x:f>
        <x:v>Maintain</x:v>
      </x:c>
      <x:c r="M115" s="3" t="n">
        <x:f>IF(OR(G115="Yes",H115="Yes",J115&gt;90),I115*0.25,0)</x:f>
        <x:v>0</x:v>
      </x:c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 t="str">
        <x:v>SKU-20115</x:v>
      </x:c>
      <x:c r="B116" s="3" t="str">
        <x:v>Packaging</x:v>
      </x:c>
      <x:c r="C116" s="3" t="str">
        <x:v>Columbus</x:v>
      </x:c>
      <x:c r="D116" s="3" t="n">
        <x:v>3045</x:v>
      </x:c>
      <x:c r="E116" s="3" t="n">
        <x:v>492.69</x:v>
      </x:c>
      <x:c r="F116" s="3" t="n">
        <x:v>3831006</x:v>
      </x:c>
      <x:c r="G116" s="3" t="str">
        <x:v>No</x:v>
      </x:c>
      <x:c r="H116" s="3" t="str">
        <x:v>No</x:v>
      </x:c>
      <x:c r="I116" s="3" t="n">
        <x:f>D116*E116</x:f>
        <x:v>1500241.05</x:v>
      </x:c>
      <x:c r="J116" s="3" t="n">
        <x:f>IFERROR(I116/F116*365,0)</x:f>
        <x:v>142.93581979511387</x:v>
      </x:c>
      <x:c r="K116" s="3" t="n">
        <x:f>IFERROR(F116/I116,0)</x:f>
        <x:v>2.5535936375024533</x:v>
      </x:c>
      <x:c r="L116" s="3" t="str">
        <x:f>IF(G116="Yes","Liquidate/Write-down",IF(H116="Yes","Reduce safety stock",IF(J116&gt;90,"Replenishment review","Maintain")))</x:f>
        <x:v>Replenishment review</x:v>
      </x:c>
      <x:c r="M116" s="3" t="n">
        <x:f>IF(OR(G116="Yes",H116="Yes",J116&gt;90),I116*0.25,0)</x:f>
        <x:v>375060.2625</x:v>
      </x:c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 t="str">
        <x:v>SKU-20116</x:v>
      </x:c>
      <x:c r="B117" s="3" t="str">
        <x:v>Finished Goods</x:v>
      </x:c>
      <x:c r="C117" s="3" t="str">
        <x:v>Chicago</x:v>
      </x:c>
      <x:c r="D117" s="3" t="n">
        <x:v>1172</x:v>
      </x:c>
      <x:c r="E117" s="3" t="n">
        <x:v>466.13</x:v>
      </x:c>
      <x:c r="F117" s="3" t="n">
        <x:v>3642194</x:v>
      </x:c>
      <x:c r="G117" s="3" t="str">
        <x:v>No</x:v>
      </x:c>
      <x:c r="H117" s="3" t="str">
        <x:v>Yes</x:v>
      </x:c>
      <x:c r="I117" s="3" t="n">
        <x:f>D117*E117</x:f>
        <x:v>546304.36</x:v>
      </x:c>
      <x:c r="J117" s="3" t="n">
        <x:f>IFERROR(I117/F117*365,0)</x:f>
        <x:v>54.74752069768936</x:v>
      </x:c>
      <x:c r="K117" s="3" t="n">
        <x:f>IFERROR(F117/I117,0)</x:f>
        <x:v>6.6669685740747155</x:v>
      </x:c>
      <x:c r="L117" s="3" t="str">
        <x:f>IF(G117="Yes","Liquidate/Write-down",IF(H117="Yes","Reduce safety stock",IF(J117&gt;90,"Replenishment review","Maintain")))</x:f>
        <x:v>Reduce safety stock</x:v>
      </x:c>
      <x:c r="M117" s="3" t="n">
        <x:f>IF(OR(G117="Yes",H117="Yes",J117&gt;90),I117*0.25,0)</x:f>
        <x:v>136576.09</x:v>
      </x:c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 t="str">
        <x:v>SKU-20117</x:v>
      </x:c>
      <x:c r="B118" s="3" t="str">
        <x:v>WIP</x:v>
      </x:c>
      <x:c r="C118" s="3" t="str">
        <x:v>Dallas</x:v>
      </x:c>
      <x:c r="D118" s="3" t="n">
        <x:v>2736</x:v>
      </x:c>
      <x:c r="E118" s="3" t="n">
        <x:v>605.94</x:v>
      </x:c>
      <x:c r="F118" s="3" t="n">
        <x:v>5580336</x:v>
      </x:c>
      <x:c r="G118" s="3" t="str">
        <x:v>No</x:v>
      </x:c>
      <x:c r="H118" s="3" t="str">
        <x:v>No</x:v>
      </x:c>
      <x:c r="I118" s="3" t="n">
        <x:f>D118*E118</x:f>
        <x:v>1657851.84</x:v>
      </x:c>
      <x:c r="J118" s="3" t="n">
        <x:f>IFERROR(I118/F118*365,0)</x:f>
        <x:v>108.43718399752274</x:v>
      </x:c>
      <x:c r="K118" s="3" t="n">
        <x:f>IFERROR(F118/I118,0)</x:f>
        <x:v>3.3660040453313367</x:v>
      </x:c>
      <x:c r="L118" s="3" t="str">
        <x:f>IF(G118="Yes","Liquidate/Write-down",IF(H118="Yes","Reduce safety stock",IF(J118&gt;90,"Replenishment review","Maintain")))</x:f>
        <x:v>Replenishment review</x:v>
      </x:c>
      <x:c r="M118" s="3" t="n">
        <x:f>IF(OR(G118="Yes",H118="Yes",J118&gt;90),I118*0.25,0)</x:f>
        <x:v>414462.96</x:v>
      </x:c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 t="str">
        <x:v>SKU-20118</x:v>
      </x:c>
      <x:c r="B119" s="3" t="str">
        <x:v>Packaging</x:v>
      </x:c>
      <x:c r="C119" s="3" t="str">
        <x:v>Columbus</x:v>
      </x:c>
      <x:c r="D119" s="3" t="n">
        <x:v>2805</x:v>
      </x:c>
      <x:c r="E119" s="3" t="n">
        <x:v>333.7</x:v>
      </x:c>
      <x:c r="F119" s="3" t="n">
        <x:v>4367561</x:v>
      </x:c>
      <x:c r="G119" s="3" t="str">
        <x:v>No</x:v>
      </x:c>
      <x:c r="H119" s="3" t="str">
        <x:v>No</x:v>
      </x:c>
      <x:c r="I119" s="3" t="n">
        <x:f>D119*E119</x:f>
        <x:v>936028.5</x:v>
      </x:c>
      <x:c r="J119" s="3" t="n">
        <x:f>IFERROR(I119/F119*365,0)</x:f>
        <x:v>78.22452909072135</x:v>
      </x:c>
      <x:c r="K119" s="3" t="n">
        <x:f>IFERROR(F119/I119,0)</x:f>
        <x:v>4.666055574162539</x:v>
      </x:c>
      <x:c r="L119" s="3" t="str">
        <x:f>IF(G119="Yes","Liquidate/Write-down",IF(H119="Yes","Reduce safety stock",IF(J119&gt;90,"Replenishment review","Maintain")))</x:f>
        <x:v>Maintain</x:v>
      </x:c>
      <x:c r="M119" s="3" t="n">
        <x:f>IF(OR(G119="Yes",H119="Yes",J119&gt;90),I119*0.25,0)</x:f>
        <x:v>0</x:v>
      </x:c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 t="str">
        <x:v>SKU-20119</x:v>
      </x:c>
      <x:c r="B120" s="3" t="str">
        <x:v>Spare Parts</x:v>
      </x:c>
      <x:c r="C120" s="3" t="str">
        <x:v>Chicago</x:v>
      </x:c>
      <x:c r="D120" s="3" t="n">
        <x:v>3067</x:v>
      </x:c>
      <x:c r="E120" s="3" t="n">
        <x:v>220.66</x:v>
      </x:c>
      <x:c r="F120" s="3" t="n">
        <x:v>1316517</x:v>
      </x:c>
      <x:c r="G120" s="3" t="str">
        <x:v>No</x:v>
      </x:c>
      <x:c r="H120" s="3" t="str">
        <x:v>No</x:v>
      </x:c>
      <x:c r="I120" s="3" t="n">
        <x:f>D120*E120</x:f>
        <x:v>676764.22</x:v>
      </x:c>
      <x:c r="J120" s="3" t="n">
        <x:f>IFERROR(I120/F120*365,0)</x:f>
        <x:v>187.6306498890633</x:v>
      </x:c>
      <x:c r="K120" s="3" t="n">
        <x:f>IFERROR(F120/I120,0)</x:f>
        <x:v>1.9453111749909002</x:v>
      </x:c>
      <x:c r="L120" s="3" t="str">
        <x:f>IF(G120="Yes","Liquidate/Write-down",IF(H120="Yes","Reduce safety stock",IF(J120&gt;90,"Replenishment review","Maintain")))</x:f>
        <x:v>Replenishment review</x:v>
      </x:c>
      <x:c r="M120" s="3" t="n">
        <x:f>IF(OR(G120="Yes",H120="Yes",J120&gt;90),I120*0.25,0)</x:f>
        <x:v>169191.055</x:v>
      </x:c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 t="str">
        <x:v>SKU-20120</x:v>
      </x:c>
      <x:c r="B121" s="3" t="str">
        <x:v>Service Parts</x:v>
      </x:c>
      <x:c r="C121" s="3" t="str">
        <x:v>Nashville</x:v>
      </x:c>
      <x:c r="D121" s="3" t="n">
        <x:v>5204</x:v>
      </x:c>
      <x:c r="E121" s="3" t="n">
        <x:v>25.11</x:v>
      </x:c>
      <x:c r="F121" s="3" t="n">
        <x:v>578515</x:v>
      </x:c>
      <x:c r="G121" s="3" t="str">
        <x:v>No</x:v>
      </x:c>
      <x:c r="H121" s="3" t="str">
        <x:v>No</x:v>
      </x:c>
      <x:c r="I121" s="3" t="n">
        <x:f>D121*E121</x:f>
        <x:v>130672.44</x:v>
      </x:c>
      <x:c r="J121" s="3" t="n">
        <x:f>IFERROR(I121/F121*365,0)</x:f>
        <x:v>82.44460489356369</x:v>
      </x:c>
      <x:c r="K121" s="3" t="n">
        <x:f>IFERROR(F121/I121,0)</x:f>
        <x:v>4.427215103659195</x:v>
      </x:c>
      <x:c r="L121" s="3" t="str">
        <x:f>IF(G121="Yes","Liquidate/Write-down",IF(H121="Yes","Reduce safety stock",IF(J121&gt;90,"Replenishment review","Maintain")))</x:f>
        <x:v>Maintain</x:v>
      </x:c>
      <x:c r="M121" s="3" t="n">
        <x:f>IF(OR(G121="Yes",H121="Yes",J121&gt;90),I121*0.25,0)</x:f>
        <x:v>0</x:v>
      </x:c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 t="str">
        <x:v>SKU-20121</x:v>
      </x:c>
      <x:c r="B122" s="3" t="str">
        <x:v>WIP</x:v>
      </x:c>
      <x:c r="C122" s="3" t="str">
        <x:v>Columbus</x:v>
      </x:c>
      <x:c r="D122" s="3" t="n">
        <x:v>1914</x:v>
      </x:c>
      <x:c r="E122" s="3" t="n">
        <x:v>471.14</x:v>
      </x:c>
      <x:c r="F122" s="3" t="n">
        <x:v>4660268</x:v>
      </x:c>
      <x:c r="G122" s="3" t="str">
        <x:v>No</x:v>
      </x:c>
      <x:c r="H122" s="3" t="str">
        <x:v>No</x:v>
      </x:c>
      <x:c r="I122" s="3" t="n">
        <x:f>D122*E122</x:f>
        <x:v>901761.96</x:v>
      </x:c>
      <x:c r="J122" s="3" t="n">
        <x:f>IFERROR(I122/F122*365,0)</x:f>
        <x:v>70.62750798881095</x:v>
      </x:c>
      <x:c r="K122" s="3" t="n">
        <x:f>IFERROR(F122/I122,0)</x:f>
        <x:v>5.167958071773176</x:v>
      </x:c>
      <x:c r="L122" s="3" t="str">
        <x:f>IF(G122="Yes","Liquidate/Write-down",IF(H122="Yes","Reduce safety stock",IF(J122&gt;90,"Replenishment review","Maintain")))</x:f>
        <x:v>Maintain</x:v>
      </x:c>
      <x:c r="M122" s="3" t="n">
        <x:f>IF(OR(G122="Yes",H122="Yes",J122&gt;90),I122*0.25,0)</x:f>
        <x:v>0</x:v>
      </x:c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 t="str">
        <x:v>SKU-20122</x:v>
      </x:c>
      <x:c r="B123" s="3" t="str">
        <x:v>WIP</x:v>
      </x:c>
      <x:c r="C123" s="3" t="str">
        <x:v>Phoenix</x:v>
      </x:c>
      <x:c r="D123" s="3" t="n">
        <x:v>1260</x:v>
      </x:c>
      <x:c r="E123" s="3" t="n">
        <x:v>535.51</x:v>
      </x:c>
      <x:c r="F123" s="3" t="n">
        <x:v>1920949</x:v>
      </x:c>
      <x:c r="G123" s="3" t="str">
        <x:v>No</x:v>
      </x:c>
      <x:c r="H123" s="3" t="str">
        <x:v>No</x:v>
      </x:c>
      <x:c r="I123" s="3" t="n">
        <x:f>D123*E123</x:f>
        <x:v>674742.6</x:v>
      </x:c>
      <x:c r="J123" s="3" t="n">
        <x:f>IFERROR(I123/F123*365,0)</x:f>
        <x:v>128.20801020745475</x:v>
      </x:c>
      <x:c r="K123" s="3" t="n">
        <x:f>IFERROR(F123/I123,0)</x:f>
        <x:v>2.8469360019657866</x:v>
      </x:c>
      <x:c r="L123" s="3" t="str">
        <x:f>IF(G123="Yes","Liquidate/Write-down",IF(H123="Yes","Reduce safety stock",IF(J123&gt;90,"Replenishment review","Maintain")))</x:f>
        <x:v>Replenishment review</x:v>
      </x:c>
      <x:c r="M123" s="3" t="n">
        <x:f>IF(OR(G123="Yes",H123="Yes",J123&gt;90),I123*0.25,0)</x:f>
        <x:v>168685.65</x:v>
      </x:c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 t="str">
        <x:v>SKU-20123</x:v>
      </x:c>
      <x:c r="B124" s="3" t="str">
        <x:v>Raw Materials</x:v>
      </x:c>
      <x:c r="C124" s="3" t="str">
        <x:v>Chicago</x:v>
      </x:c>
      <x:c r="D124" s="3" t="n">
        <x:v>3662</x:v>
      </x:c>
      <x:c r="E124" s="3" t="n">
        <x:v>209.39</x:v>
      </x:c>
      <x:c r="F124" s="3" t="n">
        <x:v>1709728</x:v>
      </x:c>
      <x:c r="G124" s="3" t="str">
        <x:v>No</x:v>
      </x:c>
      <x:c r="H124" s="3" t="str">
        <x:v>No</x:v>
      </x:c>
      <x:c r="I124" s="3" t="n">
        <x:f>D124*E124</x:f>
        <x:v>766786.1799999999</x:v>
      </x:c>
      <x:c r="J124" s="3" t="n">
        <x:f>IFERROR(I124/F124*365,0)</x:f>
        <x:v>163.69677264453762</x:v>
      </x:c>
      <x:c r="K124" s="3" t="n">
        <x:f>IFERROR(F124/I124,0)</x:f>
        <x:v>2.229732413800155</x:v>
      </x:c>
      <x:c r="L124" s="3" t="str">
        <x:f>IF(G124="Yes","Liquidate/Write-down",IF(H124="Yes","Reduce safety stock",IF(J124&gt;90,"Replenishment review","Maintain")))</x:f>
        <x:v>Replenishment review</x:v>
      </x:c>
      <x:c r="M124" s="3" t="n">
        <x:f>IF(OR(G124="Yes",H124="Yes",J124&gt;90),I124*0.25,0)</x:f>
        <x:v>191696.54499999998</x:v>
      </x:c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 t="str">
        <x:v>SKU-20124</x:v>
      </x:c>
      <x:c r="B125" s="3" t="str">
        <x:v>WIP</x:v>
      </x:c>
      <x:c r="C125" s="3" t="str">
        <x:v>Phoenix</x:v>
      </x:c>
      <x:c r="D125" s="3" t="n">
        <x:v>560</x:v>
      </x:c>
      <x:c r="E125" s="3" t="n">
        <x:v>461.11</x:v>
      </x:c>
      <x:c r="F125" s="3" t="n">
        <x:v>1220625</x:v>
      </x:c>
      <x:c r="G125" s="3" t="str">
        <x:v>No</x:v>
      </x:c>
      <x:c r="H125" s="3" t="str">
        <x:v>No</x:v>
      </x:c>
      <x:c r="I125" s="3" t="n">
        <x:f>D125*E125</x:f>
        <x:v>258221.6</x:v>
      </x:c>
      <x:c r="J125" s="3" t="n">
        <x:f>IFERROR(I125/F125*365,0)</x:f>
        <x:v>77.21526594982079</x:v>
      </x:c>
      <x:c r="K125" s="3" t="n">
        <x:f>IFERROR(F125/I125,0)</x:f>
        <x:v>4.727044522998851</x:v>
      </x:c>
      <x:c r="L125" s="3" t="str">
        <x:f>IF(G125="Yes","Liquidate/Write-down",IF(H125="Yes","Reduce safety stock",IF(J125&gt;90,"Replenishment review","Maintain")))</x:f>
        <x:v>Maintain</x:v>
      </x:c>
      <x:c r="M125" s="3" t="n">
        <x:f>IF(OR(G125="Yes",H125="Yes",J125&gt;90),I125*0.25,0)</x:f>
        <x:v>0</x:v>
      </x:c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 t="str">
        <x:v>SKU-20125</x:v>
      </x:c>
      <x:c r="B126" s="3" t="str">
        <x:v>Spare Parts</x:v>
      </x:c>
      <x:c r="C126" s="3" t="str">
        <x:v>Columbus</x:v>
      </x:c>
      <x:c r="D126" s="3" t="n">
        <x:v>3136</x:v>
      </x:c>
      <x:c r="E126" s="3" t="n">
        <x:v>209.43</x:v>
      </x:c>
      <x:c r="F126" s="3" t="n">
        <x:v>1561569</x:v>
      </x:c>
      <x:c r="G126" s="3" t="str">
        <x:v>No</x:v>
      </x:c>
      <x:c r="H126" s="3" t="str">
        <x:v>No</x:v>
      </x:c>
      <x:c r="I126" s="3" t="n">
        <x:f>D126*E126</x:f>
        <x:v>656772.48</x:v>
      </x:c>
      <x:c r="J126" s="3" t="n">
        <x:f>IFERROR(I126/F126*365,0)</x:f>
        <x:v>153.5135208242479</x:v>
      </x:c>
      <x:c r="K126" s="3" t="n">
        <x:f>IFERROR(F126/I126,0)</x:f>
        <x:v>2.377640731840652</x:v>
      </x:c>
      <x:c r="L126" s="3" t="str">
        <x:f>IF(G126="Yes","Liquidate/Write-down",IF(H126="Yes","Reduce safety stock",IF(J126&gt;90,"Replenishment review","Maintain")))</x:f>
        <x:v>Replenishment review</x:v>
      </x:c>
      <x:c r="M126" s="3" t="n">
        <x:f>IF(OR(G126="Yes",H126="Yes",J126&gt;90),I126*0.25,0)</x:f>
        <x:v>164193.12</x:v>
      </x:c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 t="str">
        <x:v>SKU-20126</x:v>
      </x:c>
      <x:c r="B127" s="3" t="str">
        <x:v>Packaging</x:v>
      </x:c>
      <x:c r="C127" s="3" t="str">
        <x:v>Nashville</x:v>
      </x:c>
      <x:c r="D127" s="3" t="n">
        <x:v>5955</x:v>
      </x:c>
      <x:c r="E127" s="3" t="n">
        <x:v>445.04</x:v>
      </x:c>
      <x:c r="F127" s="3" t="n">
        <x:v>17663240</x:v>
      </x:c>
      <x:c r="G127" s="3" t="str">
        <x:v>No</x:v>
      </x:c>
      <x:c r="H127" s="3" t="str">
        <x:v>No</x:v>
      </x:c>
      <x:c r="I127" s="3" t="n">
        <x:f>D127*E127</x:f>
        <x:v>2650213.2</x:v>
      </x:c>
      <x:c r="J127" s="3" t="n">
        <x:f>IFERROR(I127/F127*365,0)</x:f>
        <x:v>54.765027141113414</x:v>
      </x:c>
      <x:c r="K127" s="3" t="n">
        <x:f>IFERROR(F127/I127,0)</x:f>
        <x:v>6.664837379875702</x:v>
      </x:c>
      <x:c r="L127" s="3" t="str">
        <x:f>IF(G127="Yes","Liquidate/Write-down",IF(H127="Yes","Reduce safety stock",IF(J127&gt;90,"Replenishment review","Maintain")))</x:f>
        <x:v>Maintain</x:v>
      </x:c>
      <x:c r="M127" s="3" t="n">
        <x:f>IF(OR(G127="Yes",H127="Yes",J127&gt;90),I127*0.25,0)</x:f>
        <x:v>0</x:v>
      </x:c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 t="str">
        <x:v>SKU-20127</x:v>
      </x:c>
      <x:c r="B128" s="3" t="str">
        <x:v>Raw Materials</x:v>
      </x:c>
      <x:c r="C128" s="3" t="str">
        <x:v>Atlanta</x:v>
      </x:c>
      <x:c r="D128" s="3" t="n">
        <x:v>4621</x:v>
      </x:c>
      <x:c r="E128" s="3" t="n">
        <x:v>199.64</x:v>
      </x:c>
      <x:c r="F128" s="3" t="n">
        <x:v>7013216</x:v>
      </x:c>
      <x:c r="G128" s="3" t="str">
        <x:v>No</x:v>
      </x:c>
      <x:c r="H128" s="3" t="str">
        <x:v>No</x:v>
      </x:c>
      <x:c r="I128" s="3" t="n">
        <x:f>D128*E128</x:f>
        <x:v>922536.44</x:v>
      </x:c>
      <x:c r="J128" s="3" t="n">
        <x:f>IFERROR(I128/F128*365,0)</x:f>
        <x:v>48.01303718579322</x:v>
      </x:c>
      <x:c r="K128" s="3" t="n">
        <x:f>IFERROR(F128/I128,0)</x:f>
        <x:v>7.602101874696679</x:v>
      </x:c>
      <x:c r="L128" s="3" t="str">
        <x:f>IF(G128="Yes","Liquidate/Write-down",IF(H128="Yes","Reduce safety stock",IF(J128&gt;90,"Replenishment review","Maintain")))</x:f>
        <x:v>Maintain</x:v>
      </x:c>
      <x:c r="M128" s="3" t="n">
        <x:f>IF(OR(G128="Yes",H128="Yes",J128&gt;90),I128*0.25,0)</x:f>
        <x:v>0</x:v>
      </x:c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 t="str">
        <x:v>SKU-20128</x:v>
      </x:c>
      <x:c r="B129" s="3" t="str">
        <x:v>Service Parts</x:v>
      </x:c>
      <x:c r="C129" s="3" t="str">
        <x:v>Dallas</x:v>
      </x:c>
      <x:c r="D129" s="3" t="n">
        <x:v>5704</x:v>
      </x:c>
      <x:c r="E129" s="3" t="n">
        <x:v>460.6</x:v>
      </x:c>
      <x:c r="F129" s="3" t="n">
        <x:v>8816770</x:v>
      </x:c>
      <x:c r="G129" s="3" t="str">
        <x:v>No</x:v>
      </x:c>
      <x:c r="H129" s="3" t="str">
        <x:v>No</x:v>
      </x:c>
      <x:c r="I129" s="3" t="n">
        <x:f>D129*E129</x:f>
        <x:v>2627262.4</x:v>
      </x:c>
      <x:c r="J129" s="3" t="n">
        <x:f>IFERROR(I129/F129*365,0)</x:f>
        <x:v>108.76440873471803</x:v>
      </x:c>
      <x:c r="K129" s="3" t="n">
        <x:f>IFERROR(F129/I129,0)</x:f>
        <x:v>3.3558772051090138</x:v>
      </x:c>
      <x:c r="L129" s="3" t="str">
        <x:f>IF(G129="Yes","Liquidate/Write-down",IF(H129="Yes","Reduce safety stock",IF(J129&gt;90,"Replenishment review","Maintain")))</x:f>
        <x:v>Replenishment review</x:v>
      </x:c>
      <x:c r="M129" s="3" t="n">
        <x:f>IF(OR(G129="Yes",H129="Yes",J129&gt;90),I129*0.25,0)</x:f>
        <x:v>656815.6</x:v>
      </x:c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 t="str">
        <x:v>SKU-20129</x:v>
      </x:c>
      <x:c r="B130" s="3" t="str">
        <x:v>Service Parts</x:v>
      </x:c>
      <x:c r="C130" s="3" t="str">
        <x:v>Atlanta</x:v>
      </x:c>
      <x:c r="D130" s="3" t="n">
        <x:v>2407</x:v>
      </x:c>
      <x:c r="E130" s="3" t="n">
        <x:v>86.24</x:v>
      </x:c>
      <x:c r="F130" s="3" t="n">
        <x:v>1204176</x:v>
      </x:c>
      <x:c r="G130" s="3" t="str">
        <x:v>No</x:v>
      </x:c>
      <x:c r="H130" s="3" t="str">
        <x:v>No</x:v>
      </x:c>
      <x:c r="I130" s="3" t="n">
        <x:f>D130*E130</x:f>
        <x:v>207579.68</x:v>
      </x:c>
      <x:c r="J130" s="3" t="n">
        <x:f>IFERROR(I130/F130*365,0)</x:f>
        <x:v>62.9198582267044</x:v>
      </x:c>
      <x:c r="K130" s="3" t="n">
        <x:f>IFERROR(F130/I130,0)</x:f>
        <x:v>5.801030235714787</x:v>
      </x:c>
      <x:c r="L130" s="3" t="str">
        <x:f>IF(G130="Yes","Liquidate/Write-down",IF(H130="Yes","Reduce safety stock",IF(J130&gt;90,"Replenishment review","Maintain")))</x:f>
        <x:v>Maintain</x:v>
      </x:c>
      <x:c r="M130" s="3" t="n">
        <x:f>IF(OR(G130="Yes",H130="Yes",J130&gt;90),I130*0.25,0)</x:f>
        <x:v>0</x:v>
      </x:c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 t="str">
        <x:v>SKU-20130</x:v>
      </x:c>
      <x:c r="B131" s="3" t="str">
        <x:v>Packaging</x:v>
      </x:c>
      <x:c r="C131" s="3" t="str">
        <x:v>Dallas</x:v>
      </x:c>
      <x:c r="D131" s="3" t="n">
        <x:v>2429</x:v>
      </x:c>
      <x:c r="E131" s="3" t="n">
        <x:v>35.01</x:v>
      </x:c>
      <x:c r="F131" s="3" t="n">
        <x:v>654474</x:v>
      </x:c>
      <x:c r="G131" s="3" t="str">
        <x:v>Yes</x:v>
      </x:c>
      <x:c r="H131" s="3" t="str">
        <x:v>No</x:v>
      </x:c>
      <x:c r="I131" s="3" t="n">
        <x:f>D131*E131</x:f>
        <x:v>85039.29</x:v>
      </x:c>
      <x:c r="J131" s="3" t="n">
        <x:f>IFERROR(I131/F131*365,0)</x:f>
        <x:v>47.42639256868875</x:v>
      </x:c>
      <x:c r="K131" s="3" t="n">
        <x:f>IFERROR(F131/I131,0)</x:f>
        <x:v>7.69613669163983</x:v>
      </x:c>
      <x:c r="L131" s="3" t="str">
        <x:f>IF(G131="Yes","Liquidate/Write-down",IF(H131="Yes","Reduce safety stock",IF(J131&gt;90,"Replenishment review","Maintain")))</x:f>
        <x:v>Liquidate/Write-down</x:v>
      </x:c>
      <x:c r="M131" s="3" t="n">
        <x:f>IF(OR(G131="Yes",H131="Yes",J131&gt;90),I131*0.25,0)</x:f>
        <x:v>21259.8225</x:v>
      </x:c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conditionalFormatting sqref="M2:M131">
    <x:cfRule type="dataBar" priority="1">
      <x:dataBar>
        <x:cfvo type="min"/>
        <x:cfvo type="max"/>
        <x:color rgb="B8862F"/>
      </x:dataBar>
      <x:extLst>
        <x:ext xmlns:x14="http://schemas.microsoft.com/office/spreadsheetml/2009/9/main" uri="{B025F937-C7B1-47D3-B67F-A62EFF666E3E}">
          <x14:id>{EEA8F9CA-2A46-8C5F-4DA4-B3E90421AAF8}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57f611ce61461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EA8F9CA-2A46-8C5F-4DA4-B3E90421AAF8}">
            <x14:dataBar gradient="1">
              <x14:cfvo type="min"/>
              <x14:cfvo type="max"/>
              <x14:fillColor rgb="B8862F"/>
            </x14:dataBar>
          </x14:cfRule>
          <xm:sqref>M2:M131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5" t="str">
        <x:v>Invoice ID</x:v>
      </x:c>
      <x:c r="B1" s="35" t="str">
        <x:v>Vendor</x:v>
      </x:c>
      <x:c r="C1" s="35" t="str">
        <x:v>Category</x:v>
      </x:c>
      <x:c r="D1" s="35" t="str">
        <x:v>Site</x:v>
      </x:c>
      <x:c r="E1" s="38" t="str">
        <x:v>Invoice Date</x:v>
      </x:c>
      <x:c r="F1" s="38" t="str">
        <x:v>Current Terms</x:v>
      </x:c>
      <x:c r="G1" s="38" t="str">
        <x:v>Due Date</x:v>
      </x:c>
      <x:c r="H1" s="40" t="str">
        <x:v>Invoice Amount ($)</x:v>
      </x:c>
      <x:c r="I1" s="40" t="str">
        <x:v>Open AP ($)</x:v>
      </x:c>
      <x:c r="J1" s="35" t="str">
        <x:v>Critical Vendor?</x:v>
      </x:c>
      <x:c r="K1" s="35" t="str">
        <x:v>Preferred Vendor?</x:v>
      </x:c>
      <x:c r="L1" s="42" t="str">
        <x:v>Days Until Due</x:v>
      </x:c>
      <x:c r="M1" s="42" t="str">
        <x:v>Target Terms</x:v>
      </x:c>
      <x:c r="N1" s="42" t="str">
        <x:v>Extension Days</x:v>
      </x:c>
      <x:c r="O1" s="40" t="str">
        <x:v>Cash Release Opportunity ($)</x:v>
      </x:c>
      <x:c r="P1" s="35" t="str">
        <x:v>Action</x:v>
      </x:c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3" t="str">
        <x:v>AP-30001</x:v>
      </x:c>
      <x:c r="B2" s="3" t="str">
        <x:v>United Components</x:v>
      </x:c>
      <x:c r="C2" s="3" t="str">
        <x:v>Professional Services</x:v>
      </x:c>
      <x:c r="D2" s="3" t="str">
        <x:v>Nashville</x:v>
      </x:c>
      <x:c r="E2" s="3" t="n">
        <x:v>46082</x:v>
      </x:c>
      <x:c r="F2" s="3" t="n">
        <x:v>30</x:v>
      </x:c>
      <x:c r="G2" s="3" t="n">
        <x:v>46112</x:v>
      </x:c>
      <x:c r="H2" s="3" t="n">
        <x:v>110941</x:v>
      </x:c>
      <x:c r="I2" s="3" t="n">
        <x:v>83206</x:v>
      </x:c>
      <x:c r="J2" s="3" t="str">
        <x:v>No</x:v>
      </x:c>
      <x:c r="K2" s="3" t="str">
        <x:v>No</x:v>
      </x:c>
      <x:c r="L2" s="3" t="n">
        <x:f>G2-TODAY()</x:f>
        <x:v>-33</x:v>
      </x:c>
      <x:c r="M2" s="3" t="n">
        <x:f>IF(J2="Yes",F2,IF(K2="Yes",MAX(F2,45),MAX(F2,60)))</x:f>
        <x:v>60</x:v>
      </x:c>
      <x:c r="N2" s="3" t="n">
        <x:f>MAX(M2-F2,0)</x:f>
        <x:v>30</x:v>
      </x:c>
      <x:c r="O2" s="3" t="n">
        <x:f>I2*N2/365</x:f>
        <x:v>6838.8493150684935</x:v>
      </x:c>
      <x:c r="P2" s="3" t="str">
        <x:f>IF(N2&gt;0,"Renegotiate terms","Maintain")</x:f>
        <x:v>Renegotiate terms</x:v>
      </x:c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3" t="str">
        <x:v>AP-30002</x:v>
      </x:c>
      <x:c r="B3" s="3" t="str">
        <x:v>Edge IT Services</x:v>
      </x:c>
      <x:c r="C3" s="3" t="str">
        <x:v>Raw Materials</x:v>
      </x:c>
      <x:c r="D3" s="3" t="str">
        <x:v>Columbus</x:v>
      </x:c>
      <x:c r="E3" s="3" t="n">
        <x:v>46113</x:v>
      </x:c>
      <x:c r="F3" s="3" t="n">
        <x:v>30</x:v>
      </x:c>
      <x:c r="G3" s="3" t="n">
        <x:v>46143</x:v>
      </x:c>
      <x:c r="H3" s="3" t="n">
        <x:v>31615</x:v>
      </x:c>
      <x:c r="I3" s="3" t="n">
        <x:v>31615</x:v>
      </x:c>
      <x:c r="J3" s="3" t="str">
        <x:v>No</x:v>
      </x:c>
      <x:c r="K3" s="3" t="str">
        <x:v>Yes</x:v>
      </x:c>
      <x:c r="L3" s="3" t="n">
        <x:f>G3-TODAY()</x:f>
        <x:v>-2</x:v>
      </x:c>
      <x:c r="M3" s="3" t="n">
        <x:f>IF(J3="Yes",F3,IF(K3="Yes",MAX(F3,45),MAX(F3,60)))</x:f>
        <x:v>45</x:v>
      </x:c>
      <x:c r="N3" s="3" t="n">
        <x:f>MAX(M3-F3,0)</x:f>
        <x:v>15</x:v>
      </x:c>
      <x:c r="O3" s="3" t="n">
        <x:f>I3*N3/365</x:f>
        <x:v>1299.2465753424658</x:v>
      </x:c>
      <x:c r="P3" s="3" t="str">
        <x:f>IF(N3&gt;0,"Renegotiate terms","Maintain")</x:f>
        <x:v>Renegotiate terms</x:v>
      </x:c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tr">
        <x:v>AP-30003</x:v>
      </x:c>
      <x:c r="B4" s="3" t="str">
        <x:v>Nexus Freight</x:v>
      </x:c>
      <x:c r="C4" s="3" t="str">
        <x:v>Facilities</x:v>
      </x:c>
      <x:c r="D4" s="3" t="str">
        <x:v>Nashville</x:v>
      </x:c>
      <x:c r="E4" s="3" t="n">
        <x:v>46083</x:v>
      </x:c>
      <x:c r="F4" s="3" t="n">
        <x:v>15</x:v>
      </x:c>
      <x:c r="G4" s="3" t="n">
        <x:v>46098</x:v>
      </x:c>
      <x:c r="H4" s="3" t="n">
        <x:v>362140</x:v>
      </x:c>
      <x:c r="I4" s="3" t="n">
        <x:v>362140</x:v>
      </x:c>
      <x:c r="J4" s="3" t="str">
        <x:v>Yes</x:v>
      </x:c>
      <x:c r="K4" s="3" t="str">
        <x:v>No</x:v>
      </x:c>
      <x:c r="L4" s="3" t="n">
        <x:f>G4-TODAY()</x:f>
        <x:v>-47</x:v>
      </x:c>
      <x:c r="M4" s="3" t="n">
        <x:f>IF(J4="Yes",F4,IF(K4="Yes",MAX(F4,45),MAX(F4,60)))</x:f>
        <x:v>15</x:v>
      </x:c>
      <x:c r="N4" s="3" t="n">
        <x:f>MAX(M4-F4,0)</x:f>
        <x:v>0</x:v>
      </x:c>
      <x:c r="O4" s="3" t="n">
        <x:f>I4*N4/365</x:f>
        <x:v>0</x:v>
      </x:c>
      <x:c r="P4" s="3" t="str">
        <x:f>IF(N4&gt;0,"Renegotiate terms","Maintain")</x:f>
        <x:v>Maintain</x:v>
      </x:c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v>AP-30004</x:v>
      </x:c>
      <x:c r="B5" s="3" t="str">
        <x:v>FreightOne</x:v>
      </x:c>
      <x:c r="C5" s="3" t="str">
        <x:v>Insurance</x:v>
      </x:c>
      <x:c r="D5" s="3" t="str">
        <x:v>Nashville</x:v>
      </x:c>
      <x:c r="E5" s="3" t="n">
        <x:v>46083</x:v>
      </x:c>
      <x:c r="F5" s="3" t="n">
        <x:v>45</x:v>
      </x:c>
      <x:c r="G5" s="3" t="n">
        <x:v>46128</x:v>
      </x:c>
      <x:c r="H5" s="3" t="n">
        <x:v>346069</x:v>
      </x:c>
      <x:c r="I5" s="3" t="n">
        <x:v>346069</x:v>
      </x:c>
      <x:c r="J5" s="3" t="str">
        <x:v>No</x:v>
      </x:c>
      <x:c r="K5" s="3" t="str">
        <x:v>Yes</x:v>
      </x:c>
      <x:c r="L5" s="3" t="n">
        <x:f>G5-TODAY()</x:f>
        <x:v>-17</x:v>
      </x:c>
      <x:c r="M5" s="3" t="n">
        <x:f>IF(J5="Yes",F5,IF(K5="Yes",MAX(F5,45),MAX(F5,60)))</x:f>
        <x:v>45</x:v>
      </x:c>
      <x:c r="N5" s="3" t="n">
        <x:f>MAX(M5-F5,0)</x:f>
        <x:v>0</x:v>
      </x:c>
      <x:c r="O5" s="3" t="n">
        <x:f>I5*N5/365</x:f>
        <x:v>0</x:v>
      </x:c>
      <x:c r="P5" s="3" t="str">
        <x:f>IF(N5&gt;0,"Renegotiate terms","Maintain")</x:f>
        <x:v>Maintain</x:v>
      </x:c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v>AP-30005</x:v>
      </x:c>
      <x:c r="B6" s="3" t="str">
        <x:v>Jupiter Consulting</x:v>
      </x:c>
      <x:c r="C6" s="3" t="str">
        <x:v>Logistics</x:v>
      </x:c>
      <x:c r="D6" s="3" t="str">
        <x:v>Chicago</x:v>
      </x:c>
      <x:c r="E6" s="3" t="n">
        <x:v>46070</x:v>
      </x:c>
      <x:c r="F6" s="3" t="n">
        <x:v>30</x:v>
      </x:c>
      <x:c r="G6" s="3" t="n">
        <x:v>46100</x:v>
      </x:c>
      <x:c r="H6" s="3" t="n">
        <x:v>285573</x:v>
      </x:c>
      <x:c r="I6" s="3" t="n">
        <x:v>285573</x:v>
      </x:c>
      <x:c r="J6" s="3" t="str">
        <x:v>No</x:v>
      </x:c>
      <x:c r="K6" s="3" t="str">
        <x:v>Yes</x:v>
      </x:c>
      <x:c r="L6" s="3" t="n">
        <x:f>G6-TODAY()</x:f>
        <x:v>-45</x:v>
      </x:c>
      <x:c r="M6" s="3" t="n">
        <x:f>IF(J6="Yes",F6,IF(K6="Yes",MAX(F6,45),MAX(F6,60)))</x:f>
        <x:v>45</x:v>
      </x:c>
      <x:c r="N6" s="3" t="n">
        <x:f>MAX(M6-F6,0)</x:f>
        <x:v>15</x:v>
      </x:c>
      <x:c r="O6" s="3" t="n">
        <x:f>I6*N6/365</x:f>
        <x:v>11735.876712328767</x:v>
      </x:c>
      <x:c r="P6" s="3" t="str">
        <x:f>IF(N6&gt;0,"Renegotiate terms","Maintain")</x:f>
        <x:v>Renegotiate terms</x:v>
      </x:c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 t="str">
        <x:v>AP-30006</x:v>
      </x:c>
      <x:c r="B7" s="3" t="str">
        <x:v>FreightOne</x:v>
      </x:c>
      <x:c r="C7" s="3" t="str">
        <x:v>Logistics</x:v>
      </x:c>
      <x:c r="D7" s="3" t="str">
        <x:v>Phoenix</x:v>
      </x:c>
      <x:c r="E7" s="3" t="n">
        <x:v>46080</x:v>
      </x:c>
      <x:c r="F7" s="3" t="n">
        <x:v>30</x:v>
      </x:c>
      <x:c r="G7" s="3" t="n">
        <x:v>46110</x:v>
      </x:c>
      <x:c r="H7" s="3" t="n">
        <x:v>156764</x:v>
      </x:c>
      <x:c r="I7" s="3" t="n">
        <x:v>156764</x:v>
      </x:c>
      <x:c r="J7" s="3" t="str">
        <x:v>Yes</x:v>
      </x:c>
      <x:c r="K7" s="3" t="str">
        <x:v>No</x:v>
      </x:c>
      <x:c r="L7" s="3" t="n">
        <x:f>G7-TODAY()</x:f>
        <x:v>-35</x:v>
      </x:c>
      <x:c r="M7" s="3" t="n">
        <x:f>IF(J7="Yes",F7,IF(K7="Yes",MAX(F7,45),MAX(F7,60)))</x:f>
        <x:v>30</x:v>
      </x:c>
      <x:c r="N7" s="3" t="n">
        <x:f>MAX(M7-F7,0)</x:f>
        <x:v>0</x:v>
      </x:c>
      <x:c r="O7" s="3" t="n">
        <x:f>I7*N7/365</x:f>
        <x:v>0</x:v>
      </x:c>
      <x:c r="P7" s="3" t="str">
        <x:f>IF(N7&gt;0,"Renegotiate terms","Maintain")</x:f>
        <x:v>Maintain</x:v>
      </x:c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 t="str">
        <x:v>AP-30007</x:v>
      </x:c>
      <x:c r="B8" s="3" t="str">
        <x:v>Delta Telecom</x:v>
      </x:c>
      <x:c r="C8" s="3" t="str">
        <x:v>Facilities</x:v>
      </x:c>
      <x:c r="D8" s="3" t="str">
        <x:v>Atlanta</x:v>
      </x:c>
      <x:c r="E8" s="3" t="n">
        <x:v>46085</x:v>
      </x:c>
      <x:c r="F8" s="3" t="n">
        <x:v>60</x:v>
      </x:c>
      <x:c r="G8" s="3" t="n">
        <x:v>46145</x:v>
      </x:c>
      <x:c r="H8" s="3" t="n">
        <x:v>279893</x:v>
      </x:c>
      <x:c r="I8" s="3" t="n">
        <x:v>139946</x:v>
      </x:c>
      <x:c r="J8" s="3" t="str">
        <x:v>No</x:v>
      </x:c>
      <x:c r="K8" s="3" t="str">
        <x:v>Yes</x:v>
      </x:c>
      <x:c r="L8" s="3" t="n">
        <x:f>G8-TODAY()</x:f>
        <x:v>0</x:v>
      </x:c>
      <x:c r="M8" s="3" t="n">
        <x:f>IF(J8="Yes",F8,IF(K8="Yes",MAX(F8,45),MAX(F8,60)))</x:f>
        <x:v>60</x:v>
      </x:c>
      <x:c r="N8" s="3" t="n">
        <x:f>MAX(M8-F8,0)</x:f>
        <x:v>0</x:v>
      </x:c>
      <x:c r="O8" s="3" t="n">
        <x:f>I8*N8/365</x:f>
        <x:v>0</x:v>
      </x:c>
      <x:c r="P8" s="3" t="str">
        <x:f>IF(N8&gt;0,"Renegotiate terms","Maintain")</x:f>
        <x:v>Maintain</x:v>
      </x:c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 t="str">
        <x:v>AP-30008</x:v>
      </x:c>
      <x:c r="B9" s="3" t="str">
        <x:v>Quantum Security</x:v>
      </x:c>
      <x:c r="C9" s="3" t="str">
        <x:v>Maintenance</x:v>
      </x:c>
      <x:c r="D9" s="3" t="str">
        <x:v>Atlanta</x:v>
      </x:c>
      <x:c r="E9" s="3" t="n">
        <x:v>46119</x:v>
      </x:c>
      <x:c r="F9" s="3" t="n">
        <x:v>15</x:v>
      </x:c>
      <x:c r="G9" s="3" t="n">
        <x:v>46134</x:v>
      </x:c>
      <x:c r="H9" s="3" t="n">
        <x:v>178373</x:v>
      </x:c>
      <x:c r="I9" s="3" t="n">
        <x:v>178373</x:v>
      </x:c>
      <x:c r="J9" s="3" t="str">
        <x:v>No</x:v>
      </x:c>
      <x:c r="K9" s="3" t="str">
        <x:v>No</x:v>
      </x:c>
      <x:c r="L9" s="3" t="n">
        <x:f>G9-TODAY()</x:f>
        <x:v>-11</x:v>
      </x:c>
      <x:c r="M9" s="3" t="n">
        <x:f>IF(J9="Yes",F9,IF(K9="Yes",MAX(F9,45),MAX(F9,60)))</x:f>
        <x:v>60</x:v>
      </x:c>
      <x:c r="N9" s="3" t="n">
        <x:f>MAX(M9-F9,0)</x:f>
        <x:v>45</x:v>
      </x:c>
      <x:c r="O9" s="3" t="n">
        <x:f>I9*N9/365</x:f>
        <x:v>21991.19178082192</x:v>
      </x:c>
      <x:c r="P9" s="3" t="str">
        <x:f>IF(N9&gt;0,"Renegotiate terms","Maintain")</x:f>
        <x:v>Renegotiate terms</x:v>
      </x:c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 t="str">
        <x:v>AP-30009</x:v>
      </x:c>
      <x:c r="B10" s="3" t="str">
        <x:v>Westfield Parts</x:v>
      </x:c>
      <x:c r="C10" s="3" t="str">
        <x:v>Packaging</x:v>
      </x:c>
      <x:c r="D10" s="3" t="str">
        <x:v>Chicago</x:v>
      </x:c>
      <x:c r="E10" s="3" t="n">
        <x:v>46100</x:v>
      </x:c>
      <x:c r="F10" s="3" t="n">
        <x:v>30</x:v>
      </x:c>
      <x:c r="G10" s="3" t="n">
        <x:v>46130</x:v>
      </x:c>
      <x:c r="H10" s="3" t="n">
        <x:v>302680</x:v>
      </x:c>
      <x:c r="I10" s="3" t="n">
        <x:v>302680</x:v>
      </x:c>
      <x:c r="J10" s="3" t="str">
        <x:v>Yes</x:v>
      </x:c>
      <x:c r="K10" s="3" t="str">
        <x:v>No</x:v>
      </x:c>
      <x:c r="L10" s="3" t="n">
        <x:f>G10-TODAY()</x:f>
        <x:v>-15</x:v>
      </x:c>
      <x:c r="M10" s="3" t="n">
        <x:f>IF(J10="Yes",F10,IF(K10="Yes",MAX(F10,45),MAX(F10,60)))</x:f>
        <x:v>30</x:v>
      </x:c>
      <x:c r="N10" s="3" t="n">
        <x:f>MAX(M10-F10,0)</x:f>
        <x:v>0</x:v>
      </x:c>
      <x:c r="O10" s="3" t="n">
        <x:f>I10*N10/365</x:f>
        <x:v>0</x:v>
      </x:c>
      <x:c r="P10" s="3" t="str">
        <x:f>IF(N10&gt;0,"Renegotiate terms","Maintain")</x:f>
        <x:v>Maintain</x:v>
      </x:c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 t="str">
        <x:v>AP-30010</x:v>
      </x:c>
      <x:c r="B11" s="3" t="str">
        <x:v>Metro Maintenance</x:v>
      </x:c>
      <x:c r="C11" s="3" t="str">
        <x:v>Insurance</x:v>
      </x:c>
      <x:c r="D11" s="3" t="str">
        <x:v>Columbus</x:v>
      </x:c>
      <x:c r="E11" s="3" t="n">
        <x:v>46102</x:v>
      </x:c>
      <x:c r="F11" s="3" t="n">
        <x:v>15</x:v>
      </x:c>
      <x:c r="G11" s="3" t="n">
        <x:v>46117</x:v>
      </x:c>
      <x:c r="H11" s="3" t="n">
        <x:v>215152</x:v>
      </x:c>
      <x:c r="I11" s="3" t="n">
        <x:v>215152</x:v>
      </x:c>
      <x:c r="J11" s="3" t="str">
        <x:v>No</x:v>
      </x:c>
      <x:c r="K11" s="3" t="str">
        <x:v>Yes</x:v>
      </x:c>
      <x:c r="L11" s="3" t="n">
        <x:f>G11-TODAY()</x:f>
        <x:v>-28</x:v>
      </x:c>
      <x:c r="M11" s="3" t="n">
        <x:f>IF(J11="Yes",F11,IF(K11="Yes",MAX(F11,45),MAX(F11,60)))</x:f>
        <x:v>45</x:v>
      </x:c>
      <x:c r="N11" s="3" t="n">
        <x:f>MAX(M11-F11,0)</x:f>
        <x:v>30</x:v>
      </x:c>
      <x:c r="O11" s="3" t="n">
        <x:f>I11*N11/365</x:f>
        <x:v>17683.72602739726</x:v>
      </x:c>
      <x:c r="P11" s="3" t="str">
        <x:f>IF(N11&gt;0,"Renegotiate terms","Maintain")</x:f>
        <x:v>Renegotiate terms</x:v>
      </x:c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 t="str">
        <x:v>AP-30011</x:v>
      </x:c>
      <x:c r="B12" s="3" t="str">
        <x:v>Kappa Office Supply</x:v>
      </x:c>
      <x:c r="C12" s="3" t="str">
        <x:v>IT / Software</x:v>
      </x:c>
      <x:c r="D12" s="3" t="str">
        <x:v>Chicago</x:v>
      </x:c>
      <x:c r="E12" s="3" t="n">
        <x:v>46110</x:v>
      </x:c>
      <x:c r="F12" s="3" t="n">
        <x:v>45</x:v>
      </x:c>
      <x:c r="G12" s="3" t="n">
        <x:v>46155</x:v>
      </x:c>
      <x:c r="H12" s="3" t="n">
        <x:v>128480</x:v>
      </x:c>
      <x:c r="I12" s="3" t="n">
        <x:v>64240</x:v>
      </x:c>
      <x:c r="J12" s="3" t="str">
        <x:v>No</x:v>
      </x:c>
      <x:c r="K12" s="3" t="str">
        <x:v>No</x:v>
      </x:c>
      <x:c r="L12" s="3" t="n">
        <x:f>G12-TODAY()</x:f>
        <x:v>10</x:v>
      </x:c>
      <x:c r="M12" s="3" t="n">
        <x:f>IF(J12="Yes",F12,IF(K12="Yes",MAX(F12,45),MAX(F12,60)))</x:f>
        <x:v>60</x:v>
      </x:c>
      <x:c r="N12" s="3" t="n">
        <x:f>MAX(M12-F12,0)</x:f>
        <x:v>15</x:v>
      </x:c>
      <x:c r="O12" s="3" t="n">
        <x:f>I12*N12/365</x:f>
        <x:v>2640</x:v>
      </x:c>
      <x:c r="P12" s="3" t="str">
        <x:f>IF(N12&gt;0,"Renegotiate terms","Maintain")</x:f>
        <x:v>Renegotiate terms</x:v>
      </x:c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 t="str">
        <x:v>AP-30012</x:v>
      </x:c>
      <x:c r="B13" s="3" t="str">
        <x:v>Jupiter Consulting</x:v>
      </x:c>
      <x:c r="C13" s="3" t="str">
        <x:v>Staffing</x:v>
      </x:c>
      <x:c r="D13" s="3" t="str">
        <x:v>Nashville</x:v>
      </x:c>
      <x:c r="E13" s="3" t="n">
        <x:v>46070</x:v>
      </x:c>
      <x:c r="F13" s="3" t="n">
        <x:v>15</x:v>
      </x:c>
      <x:c r="G13" s="3" t="n">
        <x:v>46085</x:v>
      </x:c>
      <x:c r="H13" s="3" t="n">
        <x:v>142129</x:v>
      </x:c>
      <x:c r="I13" s="3" t="n">
        <x:v>106597</x:v>
      </x:c>
      <x:c r="J13" s="3" t="str">
        <x:v>No</x:v>
      </x:c>
      <x:c r="K13" s="3" t="str">
        <x:v>Yes</x:v>
      </x:c>
      <x:c r="L13" s="3" t="n">
        <x:f>G13-TODAY()</x:f>
        <x:v>-60</x:v>
      </x:c>
      <x:c r="M13" s="3" t="n">
        <x:f>IF(J13="Yes",F13,IF(K13="Yes",MAX(F13,45),MAX(F13,60)))</x:f>
        <x:v>45</x:v>
      </x:c>
      <x:c r="N13" s="3" t="n">
        <x:f>MAX(M13-F13,0)</x:f>
        <x:v>30</x:v>
      </x:c>
      <x:c r="O13" s="3" t="n">
        <x:f>I13*N13/365</x:f>
        <x:v>8761.397260273972</x:v>
      </x:c>
      <x:c r="P13" s="3" t="str">
        <x:f>IF(N13&gt;0,"Renegotiate terms","Maintain")</x:f>
        <x:v>Renegotiate terms</x:v>
      </x:c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 t="str">
        <x:v>AP-30013</x:v>
      </x:c>
      <x:c r="B14" s="3" t="str">
        <x:v>Delta Telecom</x:v>
      </x:c>
      <x:c r="C14" s="3" t="str">
        <x:v>Maintenance</x:v>
      </x:c>
      <x:c r="D14" s="3" t="str">
        <x:v>Atlanta</x:v>
      </x:c>
      <x:c r="E14" s="3" t="n">
        <x:v>46123</x:v>
      </x:c>
      <x:c r="F14" s="3" t="n">
        <x:v>45</x:v>
      </x:c>
      <x:c r="G14" s="3" t="n">
        <x:v>46168</x:v>
      </x:c>
      <x:c r="H14" s="3" t="n">
        <x:v>364700</x:v>
      </x:c>
      <x:c r="I14" s="3" t="n">
        <x:v>273525</x:v>
      </x:c>
      <x:c r="J14" s="3" t="str">
        <x:v>No</x:v>
      </x:c>
      <x:c r="K14" s="3" t="str">
        <x:v>No</x:v>
      </x:c>
      <x:c r="L14" s="3" t="n">
        <x:f>G14-TODAY()</x:f>
        <x:v>23</x:v>
      </x:c>
      <x:c r="M14" s="3" t="n">
        <x:f>IF(J14="Yes",F14,IF(K14="Yes",MAX(F14,45),MAX(F14,60)))</x:f>
        <x:v>60</x:v>
      </x:c>
      <x:c r="N14" s="3" t="n">
        <x:f>MAX(M14-F14,0)</x:f>
        <x:v>15</x:v>
      </x:c>
      <x:c r="O14" s="3" t="n">
        <x:f>I14*N14/365</x:f>
        <x:v>11240.753424657534</x:v>
      </x:c>
      <x:c r="P14" s="3" t="str">
        <x:f>IF(N14&gt;0,"Renegotiate terms","Maintain")</x:f>
        <x:v>Renegotiate terms</x:v>
      </x:c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 t="str">
        <x:v>AP-30014</x:v>
      </x:c>
      <x:c r="B15" s="3" t="str">
        <x:v>Jupiter Consulting</x:v>
      </x:c>
      <x:c r="C15" s="3" t="str">
        <x:v>Facilities</x:v>
      </x:c>
      <x:c r="D15" s="3" t="str">
        <x:v>Columbus</x:v>
      </x:c>
      <x:c r="E15" s="3" t="n">
        <x:v>46115</x:v>
      </x:c>
      <x:c r="F15" s="3" t="n">
        <x:v>30</x:v>
      </x:c>
      <x:c r="G15" s="3" t="n">
        <x:v>46145</x:v>
      </x:c>
      <x:c r="H15" s="3" t="n">
        <x:v>75028</x:v>
      </x:c>
      <x:c r="I15" s="3" t="n">
        <x:v>37514</x:v>
      </x:c>
      <x:c r="J15" s="3" t="str">
        <x:v>Yes</x:v>
      </x:c>
      <x:c r="K15" s="3" t="str">
        <x:v>No</x:v>
      </x:c>
      <x:c r="L15" s="3" t="n">
        <x:f>G15-TODAY()</x:f>
        <x:v>0</x:v>
      </x:c>
      <x:c r="M15" s="3" t="n">
        <x:f>IF(J15="Yes",F15,IF(K15="Yes",MAX(F15,45),MAX(F15,60)))</x:f>
        <x:v>30</x:v>
      </x:c>
      <x:c r="N15" s="3" t="n">
        <x:f>MAX(M15-F15,0)</x:f>
        <x:v>0</x:v>
      </x:c>
      <x:c r="O15" s="3" t="n">
        <x:f>I15*N15/365</x:f>
        <x:v>0</x:v>
      </x:c>
      <x:c r="P15" s="3" t="str">
        <x:f>IF(N15&gt;0,"Renegotiate terms","Maintain")</x:f>
        <x:v>Maintain</x:v>
      </x:c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 t="str">
        <x:v>AP-30015</x:v>
      </x:c>
      <x:c r="B16" s="3" t="str">
        <x:v>Titan Equipment</x:v>
      </x:c>
      <x:c r="C16" s="3" t="str">
        <x:v>Facilities</x:v>
      </x:c>
      <x:c r="D16" s="3" t="str">
        <x:v>Phoenix</x:v>
      </x:c>
      <x:c r="E16" s="3" t="n">
        <x:v>46073</x:v>
      </x:c>
      <x:c r="F16" s="3" t="n">
        <x:v>45</x:v>
      </x:c>
      <x:c r="G16" s="3" t="n">
        <x:v>46118</x:v>
      </x:c>
      <x:c r="H16" s="3" t="n">
        <x:v>286814</x:v>
      </x:c>
      <x:c r="I16" s="3" t="n">
        <x:v>286814</x:v>
      </x:c>
      <x:c r="J16" s="3" t="str">
        <x:v>No</x:v>
      </x:c>
      <x:c r="K16" s="3" t="str">
        <x:v>No</x:v>
      </x:c>
      <x:c r="L16" s="3" t="n">
        <x:f>G16-TODAY()</x:f>
        <x:v>-27</x:v>
      </x:c>
      <x:c r="M16" s="3" t="n">
        <x:f>IF(J16="Yes",F16,IF(K16="Yes",MAX(F16,45),MAX(F16,60)))</x:f>
        <x:v>60</x:v>
      </x:c>
      <x:c r="N16" s="3" t="n">
        <x:f>MAX(M16-F16,0)</x:f>
        <x:v>15</x:v>
      </x:c>
      <x:c r="O16" s="3" t="n">
        <x:f>I16*N16/365</x:f>
        <x:v>11786.876712328767</x:v>
      </x:c>
      <x:c r="P16" s="3" t="str">
        <x:f>IF(N16&gt;0,"Renegotiate terms","Maintain")</x:f>
        <x:v>Renegotiate terms</x:v>
      </x:c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 t="str">
        <x:v>AP-30016</x:v>
      </x:c>
      <x:c r="B17" s="3" t="str">
        <x:v>Titan Equipment</x:v>
      </x:c>
      <x:c r="C17" s="3" t="str">
        <x:v>Raw Materials</x:v>
      </x:c>
      <x:c r="D17" s="3" t="str">
        <x:v>Columbus</x:v>
      </x:c>
      <x:c r="E17" s="3" t="n">
        <x:v>46086</x:v>
      </x:c>
      <x:c r="F17" s="3" t="n">
        <x:v>60</x:v>
      </x:c>
      <x:c r="G17" s="3" t="n">
        <x:v>46146</x:v>
      </x:c>
      <x:c r="H17" s="3" t="n">
        <x:v>373976</x:v>
      </x:c>
      <x:c r="I17" s="3" t="n">
        <x:v>280482</x:v>
      </x:c>
      <x:c r="J17" s="3" t="str">
        <x:v>Yes</x:v>
      </x:c>
      <x:c r="K17" s="3" t="str">
        <x:v>No</x:v>
      </x:c>
      <x:c r="L17" s="3" t="n">
        <x:f>G17-TODAY()</x:f>
        <x:v>1</x:v>
      </x:c>
      <x:c r="M17" s="3" t="n">
        <x:f>IF(J17="Yes",F17,IF(K17="Yes",MAX(F17,45),MAX(F17,60)))</x:f>
        <x:v>60</x:v>
      </x:c>
      <x:c r="N17" s="3" t="n">
        <x:f>MAX(M17-F17,0)</x:f>
        <x:v>0</x:v>
      </x:c>
      <x:c r="O17" s="3" t="n">
        <x:f>I17*N17/365</x:f>
        <x:v>0</x:v>
      </x:c>
      <x:c r="P17" s="3" t="str">
        <x:f>IF(N17&gt;0,"Renegotiate terms","Maintain")</x:f>
        <x:v>Maintain</x:v>
      </x:c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 t="str">
        <x:v>AP-30017</x:v>
      </x:c>
      <x:c r="B18" s="3" t="str">
        <x:v>BlueSteel Materials</x:v>
      </x:c>
      <x:c r="C18" s="3" t="str">
        <x:v>Utilities</x:v>
      </x:c>
      <x:c r="D18" s="3" t="str">
        <x:v>Columbus</x:v>
      </x:c>
      <x:c r="E18" s="3" t="n">
        <x:v>46118</x:v>
      </x:c>
      <x:c r="F18" s="3" t="n">
        <x:v>60</x:v>
      </x:c>
      <x:c r="G18" s="3" t="n">
        <x:v>46178</x:v>
      </x:c>
      <x:c r="H18" s="3" t="n">
        <x:v>286364</x:v>
      </x:c>
      <x:c r="I18" s="3" t="n">
        <x:v>286364</x:v>
      </x:c>
      <x:c r="J18" s="3" t="str">
        <x:v>Yes</x:v>
      </x:c>
      <x:c r="K18" s="3" t="str">
        <x:v>No</x:v>
      </x:c>
      <x:c r="L18" s="3" t="n">
        <x:f>G18-TODAY()</x:f>
        <x:v>33</x:v>
      </x:c>
      <x:c r="M18" s="3" t="n">
        <x:f>IF(J18="Yes",F18,IF(K18="Yes",MAX(F18,45),MAX(F18,60)))</x:f>
        <x:v>60</x:v>
      </x:c>
      <x:c r="N18" s="3" t="n">
        <x:f>MAX(M18-F18,0)</x:f>
        <x:v>0</x:v>
      </x:c>
      <x:c r="O18" s="3" t="n">
        <x:f>I18*N18/365</x:f>
        <x:v>0</x:v>
      </x:c>
      <x:c r="P18" s="3" t="str">
        <x:f>IF(N18&gt;0,"Renegotiate terms","Maintain")</x:f>
        <x:v>Maintain</x:v>
      </x:c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 t="str">
        <x:v>AP-30018</x:v>
      </x:c>
      <x:c r="B19" s="3" t="str">
        <x:v>Omega Chemicals</x:v>
      </x:c>
      <x:c r="C19" s="3" t="str">
        <x:v>Raw Materials</x:v>
      </x:c>
      <x:c r="D19" s="3" t="str">
        <x:v>Nashville</x:v>
      </x:c>
      <x:c r="E19" s="3" t="n">
        <x:v>46117</x:v>
      </x:c>
      <x:c r="F19" s="3" t="n">
        <x:v>60</x:v>
      </x:c>
      <x:c r="G19" s="3" t="n">
        <x:v>46177</x:v>
      </x:c>
      <x:c r="H19" s="3" t="n">
        <x:v>261286</x:v>
      </x:c>
      <x:c r="I19" s="3" t="n">
        <x:v>261286</x:v>
      </x:c>
      <x:c r="J19" s="3" t="str">
        <x:v>No</x:v>
      </x:c>
      <x:c r="K19" s="3" t="str">
        <x:v>Yes</x:v>
      </x:c>
      <x:c r="L19" s="3" t="n">
        <x:f>G19-TODAY()</x:f>
        <x:v>32</x:v>
      </x:c>
      <x:c r="M19" s="3" t="n">
        <x:f>IF(J19="Yes",F19,IF(K19="Yes",MAX(F19,45),MAX(F19,60)))</x:f>
        <x:v>60</x:v>
      </x:c>
      <x:c r="N19" s="3" t="n">
        <x:f>MAX(M19-F19,0)</x:f>
        <x:v>0</x:v>
      </x:c>
      <x:c r="O19" s="3" t="n">
        <x:f>I19*N19/365</x:f>
        <x:v>0</x:v>
      </x:c>
      <x:c r="P19" s="3" t="str">
        <x:f>IF(N19&gt;0,"Renegotiate terms","Maintain")</x:f>
        <x:v>Maintain</x:v>
      </x:c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 t="str">
        <x:v>AP-30019</x:v>
      </x:c>
      <x:c r="B20" s="3" t="str">
        <x:v>BlueSteel Materials</x:v>
      </x:c>
      <x:c r="C20" s="3" t="str">
        <x:v>Maintenance</x:v>
      </x:c>
      <x:c r="D20" s="3" t="str">
        <x:v>Dallas</x:v>
      </x:c>
      <x:c r="E20" s="3" t="n">
        <x:v>46078</x:v>
      </x:c>
      <x:c r="F20" s="3" t="n">
        <x:v>45</x:v>
      </x:c>
      <x:c r="G20" s="3" t="n">
        <x:v>46123</x:v>
      </x:c>
      <x:c r="H20" s="3" t="n">
        <x:v>244493</x:v>
      </x:c>
      <x:c r="I20" s="3" t="n">
        <x:v>244493</x:v>
      </x:c>
      <x:c r="J20" s="3" t="str">
        <x:v>No</x:v>
      </x:c>
      <x:c r="K20" s="3" t="str">
        <x:v>No</x:v>
      </x:c>
      <x:c r="L20" s="3" t="n">
        <x:f>G20-TODAY()</x:f>
        <x:v>-22</x:v>
      </x:c>
      <x:c r="M20" s="3" t="n">
        <x:f>IF(J20="Yes",F20,IF(K20="Yes",MAX(F20,45),MAX(F20,60)))</x:f>
        <x:v>60</x:v>
      </x:c>
      <x:c r="N20" s="3" t="n">
        <x:f>MAX(M20-F20,0)</x:f>
        <x:v>15</x:v>
      </x:c>
      <x:c r="O20" s="3" t="n">
        <x:f>I20*N20/365</x:f>
        <x:v>10047.657534246575</x:v>
      </x:c>
      <x:c r="P20" s="3" t="str">
        <x:f>IF(N20&gt;0,"Renegotiate terms","Maintain")</x:f>
        <x:v>Renegotiate terms</x:v>
      </x:c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 t="str">
        <x:v>AP-30020</x:v>
      </x:c>
      <x:c r="B21" s="3" t="str">
        <x:v>Jupiter Consulting</x:v>
      </x:c>
      <x:c r="C21" s="3" t="str">
        <x:v>Logistics</x:v>
      </x:c>
      <x:c r="D21" s="3" t="str">
        <x:v>Phoenix</x:v>
      </x:c>
      <x:c r="E21" s="3" t="n">
        <x:v>46111</x:v>
      </x:c>
      <x:c r="F21" s="3" t="n">
        <x:v>15</x:v>
      </x:c>
      <x:c r="G21" s="3" t="n">
        <x:v>46126</x:v>
      </x:c>
      <x:c r="H21" s="3" t="n">
        <x:v>119243</x:v>
      </x:c>
      <x:c r="I21" s="3" t="n">
        <x:v>119243</x:v>
      </x:c>
      <x:c r="J21" s="3" t="str">
        <x:v>Yes</x:v>
      </x:c>
      <x:c r="K21" s="3" t="str">
        <x:v>Yes</x:v>
      </x:c>
      <x:c r="L21" s="3" t="n">
        <x:f>G21-TODAY()</x:f>
        <x:v>-19</x:v>
      </x:c>
      <x:c r="M21" s="3" t="n">
        <x:f>IF(J21="Yes",F21,IF(K21="Yes",MAX(F21,45),MAX(F21,60)))</x:f>
        <x:v>15</x:v>
      </x:c>
      <x:c r="N21" s="3" t="n">
        <x:f>MAX(M21-F21,0)</x:f>
        <x:v>0</x:v>
      </x:c>
      <x:c r="O21" s="3" t="n">
        <x:f>I21*N21/365</x:f>
        <x:v>0</x:v>
      </x:c>
      <x:c r="P21" s="3" t="str">
        <x:f>IF(N21&gt;0,"Renegotiate terms","Maintain")</x:f>
        <x:v>Maintain</x:v>
      </x:c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 t="str">
        <x:v>AP-30021</x:v>
      </x:c>
      <x:c r="B22" s="3" t="str">
        <x:v>Central Packaging</x:v>
      </x:c>
      <x:c r="C22" s="3" t="str">
        <x:v>Utilities</x:v>
      </x:c>
      <x:c r="D22" s="3" t="str">
        <x:v>Chicago</x:v>
      </x:c>
      <x:c r="E22" s="3" t="n">
        <x:v>46135</x:v>
      </x:c>
      <x:c r="F22" s="3" t="n">
        <x:v>45</x:v>
      </x:c>
      <x:c r="G22" s="3" t="n">
        <x:v>46180</x:v>
      </x:c>
      <x:c r="H22" s="3" t="n">
        <x:v>21638</x:v>
      </x:c>
      <x:c r="I22" s="3" t="n">
        <x:v>16228</x:v>
      </x:c>
      <x:c r="J22" s="3" t="str">
        <x:v>No</x:v>
      </x:c>
      <x:c r="K22" s="3" t="str">
        <x:v>No</x:v>
      </x:c>
      <x:c r="L22" s="3" t="n">
        <x:f>G22-TODAY()</x:f>
        <x:v>35</x:v>
      </x:c>
      <x:c r="M22" s="3" t="n">
        <x:f>IF(J22="Yes",F22,IF(K22="Yes",MAX(F22,45),MAX(F22,60)))</x:f>
        <x:v>60</x:v>
      </x:c>
      <x:c r="N22" s="3" t="n">
        <x:f>MAX(M22-F22,0)</x:f>
        <x:v>15</x:v>
      </x:c>
      <x:c r="O22" s="3" t="n">
        <x:f>I22*N22/365</x:f>
        <x:v>666.9041095890411</x:v>
      </x:c>
      <x:c r="P22" s="3" t="str">
        <x:f>IF(N22&gt;0,"Renegotiate terms","Maintain")</x:f>
        <x:v>Renegotiate terms</x:v>
      </x:c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 t="str">
        <x:v>AP-30022</x:v>
      </x:c>
      <x:c r="B23" s="3" t="str">
        <x:v>United Components</x:v>
      </x:c>
      <x:c r="C23" s="3" t="str">
        <x:v>Insurance</x:v>
      </x:c>
      <x:c r="D23" s="3" t="str">
        <x:v>Atlanta</x:v>
      </x:c>
      <x:c r="E23" s="3" t="n">
        <x:v>46095</x:v>
      </x:c>
      <x:c r="F23" s="3" t="n">
        <x:v>45</x:v>
      </x:c>
      <x:c r="G23" s="3" t="n">
        <x:v>46140</x:v>
      </x:c>
      <x:c r="H23" s="3" t="n">
        <x:v>202916</x:v>
      </x:c>
      <x:c r="I23" s="3" t="n">
        <x:v>101458</x:v>
      </x:c>
      <x:c r="J23" s="3" t="str">
        <x:v>Yes</x:v>
      </x:c>
      <x:c r="K23" s="3" t="str">
        <x:v>No</x:v>
      </x:c>
      <x:c r="L23" s="3" t="n">
        <x:f>G23-TODAY()</x:f>
        <x:v>-5</x:v>
      </x:c>
      <x:c r="M23" s="3" t="n">
        <x:f>IF(J23="Yes",F23,IF(K23="Yes",MAX(F23,45),MAX(F23,60)))</x:f>
        <x:v>45</x:v>
      </x:c>
      <x:c r="N23" s="3" t="n">
        <x:f>MAX(M23-F23,0)</x:f>
        <x:v>0</x:v>
      </x:c>
      <x:c r="O23" s="3" t="n">
        <x:f>I23*N23/365</x:f>
        <x:v>0</x:v>
      </x:c>
      <x:c r="P23" s="3" t="str">
        <x:f>IF(N23&gt;0,"Renegotiate terms","Maintain")</x:f>
        <x:v>Maintain</x:v>
      </x:c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 t="str">
        <x:v>AP-30023</x:v>
      </x:c>
      <x:c r="B24" s="3" t="str">
        <x:v>RedRock Components</x:v>
      </x:c>
      <x:c r="C24" s="3" t="str">
        <x:v>Packaging</x:v>
      </x:c>
      <x:c r="D24" s="3" t="str">
        <x:v>Nashville</x:v>
      </x:c>
      <x:c r="E24" s="3" t="n">
        <x:v>46099</x:v>
      </x:c>
      <x:c r="F24" s="3" t="n">
        <x:v>15</x:v>
      </x:c>
      <x:c r="G24" s="3" t="n">
        <x:v>46114</x:v>
      </x:c>
      <x:c r="H24" s="3" t="n">
        <x:v>98571</x:v>
      </x:c>
      <x:c r="I24" s="3" t="n">
        <x:v>49286</x:v>
      </x:c>
      <x:c r="J24" s="3" t="str">
        <x:v>No</x:v>
      </x:c>
      <x:c r="K24" s="3" t="str">
        <x:v>No</x:v>
      </x:c>
      <x:c r="L24" s="3" t="n">
        <x:f>G24-TODAY()</x:f>
        <x:v>-31</x:v>
      </x:c>
      <x:c r="M24" s="3" t="n">
        <x:f>IF(J24="Yes",F24,IF(K24="Yes",MAX(F24,45),MAX(F24,60)))</x:f>
        <x:v>60</x:v>
      </x:c>
      <x:c r="N24" s="3" t="n">
        <x:f>MAX(M24-F24,0)</x:f>
        <x:v>45</x:v>
      </x:c>
      <x:c r="O24" s="3" t="n">
        <x:f>I24*N24/365</x:f>
        <x:v>6076.356164383562</x:v>
      </x:c>
      <x:c r="P24" s="3" t="str">
        <x:f>IF(N24&gt;0,"Renegotiate terms","Maintain")</x:f>
        <x:v>Renegotiate terms</x:v>
      </x:c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 t="str">
        <x:v>AP-30024</x:v>
      </x:c>
      <x:c r="B25" s="3" t="str">
        <x:v>Horizon Insurance</x:v>
      </x:c>
      <x:c r="C25" s="3" t="str">
        <x:v>Logistics</x:v>
      </x:c>
      <x:c r="D25" s="3" t="str">
        <x:v>Chicago</x:v>
      </x:c>
      <x:c r="E25" s="3" t="n">
        <x:v>46105</x:v>
      </x:c>
      <x:c r="F25" s="3" t="n">
        <x:v>45</x:v>
      </x:c>
      <x:c r="G25" s="3" t="n">
        <x:v>46150</x:v>
      </x:c>
      <x:c r="H25" s="3" t="n">
        <x:v>358107</x:v>
      </x:c>
      <x:c r="I25" s="3" t="n">
        <x:v>179054</x:v>
      </x:c>
      <x:c r="J25" s="3" t="str">
        <x:v>No</x:v>
      </x:c>
      <x:c r="K25" s="3" t="str">
        <x:v>No</x:v>
      </x:c>
      <x:c r="L25" s="3" t="n">
        <x:f>G25-TODAY()</x:f>
        <x:v>5</x:v>
      </x:c>
      <x:c r="M25" s="3" t="n">
        <x:f>IF(J25="Yes",F25,IF(K25="Yes",MAX(F25,45),MAX(F25,60)))</x:f>
        <x:v>60</x:v>
      </x:c>
      <x:c r="N25" s="3" t="n">
        <x:f>MAX(M25-F25,0)</x:f>
        <x:v>15</x:v>
      </x:c>
      <x:c r="O25" s="3" t="n">
        <x:f>I25*N25/365</x:f>
        <x:v>7358.3835616438355</x:v>
      </x:c>
      <x:c r="P25" s="3" t="str">
        <x:f>IF(N25&gt;0,"Renegotiate terms","Maintain")</x:f>
        <x:v>Renegotiate terms</x:v>
      </x:c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 t="str">
        <x:v>AP-30025</x:v>
      </x:c>
      <x:c r="B26" s="3" t="str">
        <x:v>Horizon Insurance</x:v>
      </x:c>
      <x:c r="C26" s="3" t="str">
        <x:v>Maintenance</x:v>
      </x:c>
      <x:c r="D26" s="3" t="str">
        <x:v>Atlanta</x:v>
      </x:c>
      <x:c r="E26" s="3" t="n">
        <x:v>46124</x:v>
      </x:c>
      <x:c r="F26" s="3" t="n">
        <x:v>30</x:v>
      </x:c>
      <x:c r="G26" s="3" t="n">
        <x:v>46154</x:v>
      </x:c>
      <x:c r="H26" s="3" t="n">
        <x:v>103818</x:v>
      </x:c>
      <x:c r="I26" s="3" t="n">
        <x:v>103818</x:v>
      </x:c>
      <x:c r="J26" s="3" t="str">
        <x:v>Yes</x:v>
      </x:c>
      <x:c r="K26" s="3" t="str">
        <x:v>No</x:v>
      </x:c>
      <x:c r="L26" s="3" t="n">
        <x:f>G26-TODAY()</x:f>
        <x:v>9</x:v>
      </x:c>
      <x:c r="M26" s="3" t="n">
        <x:f>IF(J26="Yes",F26,IF(K26="Yes",MAX(F26,45),MAX(F26,60)))</x:f>
        <x:v>30</x:v>
      </x:c>
      <x:c r="N26" s="3" t="n">
        <x:f>MAX(M26-F26,0)</x:f>
        <x:v>0</x:v>
      </x:c>
      <x:c r="O26" s="3" t="n">
        <x:f>I26*N26/365</x:f>
        <x:v>0</x:v>
      </x:c>
      <x:c r="P26" s="3" t="str">
        <x:f>IF(N26&gt;0,"Renegotiate terms","Maintain")</x:f>
        <x:v>Maintain</x:v>
      </x:c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 t="str">
        <x:v>AP-30026</x:v>
      </x:c>
      <x:c r="B27" s="3" t="str">
        <x:v>Titan Equipment</x:v>
      </x:c>
      <x:c r="C27" s="3" t="str">
        <x:v>Logistics</x:v>
      </x:c>
      <x:c r="D27" s="3" t="str">
        <x:v>Dallas</x:v>
      </x:c>
      <x:c r="E27" s="3" t="n">
        <x:v>46117</x:v>
      </x:c>
      <x:c r="F27" s="3" t="n">
        <x:v>15</x:v>
      </x:c>
      <x:c r="G27" s="3" t="n">
        <x:v>46132</x:v>
      </x:c>
      <x:c r="H27" s="3" t="n">
        <x:v>57898</x:v>
      </x:c>
      <x:c r="I27" s="3" t="n">
        <x:v>57898</x:v>
      </x:c>
      <x:c r="J27" s="3" t="str">
        <x:v>No</x:v>
      </x:c>
      <x:c r="K27" s="3" t="str">
        <x:v>No</x:v>
      </x:c>
      <x:c r="L27" s="3" t="n">
        <x:f>G27-TODAY()</x:f>
        <x:v>-13</x:v>
      </x:c>
      <x:c r="M27" s="3" t="n">
        <x:f>IF(J27="Yes",F27,IF(K27="Yes",MAX(F27,45),MAX(F27,60)))</x:f>
        <x:v>60</x:v>
      </x:c>
      <x:c r="N27" s="3" t="n">
        <x:f>MAX(M27-F27,0)</x:f>
        <x:v>45</x:v>
      </x:c>
      <x:c r="O27" s="3" t="n">
        <x:f>I27*N27/365</x:f>
        <x:v>7138.109589041096</x:v>
      </x:c>
      <x:c r="P27" s="3" t="str">
        <x:f>IF(N27&gt;0,"Renegotiate terms","Maintain")</x:f>
        <x:v>Renegotiate terms</x:v>
      </x:c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 t="str">
        <x:v>AP-30027</x:v>
      </x:c>
      <x:c r="B28" s="3" t="str">
        <x:v>BlueSteel Materials</x:v>
      </x:c>
      <x:c r="C28" s="3" t="str">
        <x:v>IT / Software</x:v>
      </x:c>
      <x:c r="D28" s="3" t="str">
        <x:v>Nashville</x:v>
      </x:c>
      <x:c r="E28" s="3" t="n">
        <x:v>46138</x:v>
      </x:c>
      <x:c r="F28" s="3" t="n">
        <x:v>45</x:v>
      </x:c>
      <x:c r="G28" s="3" t="n">
        <x:v>46183</x:v>
      </x:c>
      <x:c r="H28" s="3" t="n">
        <x:v>235142</x:v>
      </x:c>
      <x:c r="I28" s="3" t="n">
        <x:v>235142</x:v>
      </x:c>
      <x:c r="J28" s="3" t="str">
        <x:v>No</x:v>
      </x:c>
      <x:c r="K28" s="3" t="str">
        <x:v>No</x:v>
      </x:c>
      <x:c r="L28" s="3" t="n">
        <x:f>G28-TODAY()</x:f>
        <x:v>38</x:v>
      </x:c>
      <x:c r="M28" s="3" t="n">
        <x:f>IF(J28="Yes",F28,IF(K28="Yes",MAX(F28,45),MAX(F28,60)))</x:f>
        <x:v>60</x:v>
      </x:c>
      <x:c r="N28" s="3" t="n">
        <x:f>MAX(M28-F28,0)</x:f>
        <x:v>15</x:v>
      </x:c>
      <x:c r="O28" s="3" t="n">
        <x:f>I28*N28/365</x:f>
        <x:v>9663.369863013699</x:v>
      </x:c>
      <x:c r="P28" s="3" t="str">
        <x:f>IF(N28&gt;0,"Renegotiate terms","Maintain")</x:f>
        <x:v>Renegotiate terms</x:v>
      </x:c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 t="str">
        <x:v>AP-30028</x:v>
      </x:c>
      <x:c r="B29" s="3" t="str">
        <x:v>BlueSteel Materials</x:v>
      </x:c>
      <x:c r="C29" s="3" t="str">
        <x:v>Packaging</x:v>
      </x:c>
      <x:c r="D29" s="3" t="str">
        <x:v>Columbus</x:v>
      </x:c>
      <x:c r="E29" s="3" t="n">
        <x:v>46106</x:v>
      </x:c>
      <x:c r="F29" s="3" t="n">
        <x:v>30</x:v>
      </x:c>
      <x:c r="G29" s="3" t="n">
        <x:v>46136</x:v>
      </x:c>
      <x:c r="H29" s="3" t="n">
        <x:v>307047</x:v>
      </x:c>
      <x:c r="I29" s="3" t="n">
        <x:v>230285</x:v>
      </x:c>
      <x:c r="J29" s="3" t="str">
        <x:v>No</x:v>
      </x:c>
      <x:c r="K29" s="3" t="str">
        <x:v>No</x:v>
      </x:c>
      <x:c r="L29" s="3" t="n">
        <x:f>G29-TODAY()</x:f>
        <x:v>-9</x:v>
      </x:c>
      <x:c r="M29" s="3" t="n">
        <x:f>IF(J29="Yes",F29,IF(K29="Yes",MAX(F29,45),MAX(F29,60)))</x:f>
        <x:v>60</x:v>
      </x:c>
      <x:c r="N29" s="3" t="n">
        <x:f>MAX(M29-F29,0)</x:f>
        <x:v>30</x:v>
      </x:c>
      <x:c r="O29" s="3" t="n">
        <x:f>I29*N29/365</x:f>
        <x:v>18927.534246575342</x:v>
      </x:c>
      <x:c r="P29" s="3" t="str">
        <x:f>IF(N29&gt;0,"Renegotiate terms","Maintain")</x:f>
        <x:v>Renegotiate terms</x:v>
      </x:c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 t="str">
        <x:v>AP-30029</x:v>
      </x:c>
      <x:c r="B30" s="3" t="str">
        <x:v>Kappa Office Supply</x:v>
      </x:c>
      <x:c r="C30" s="3" t="str">
        <x:v>IT / Software</x:v>
      </x:c>
      <x:c r="D30" s="3" t="str">
        <x:v>Atlanta</x:v>
      </x:c>
      <x:c r="E30" s="3" t="n">
        <x:v>46125</x:v>
      </x:c>
      <x:c r="F30" s="3" t="n">
        <x:v>60</x:v>
      </x:c>
      <x:c r="G30" s="3" t="n">
        <x:v>46185</x:v>
      </x:c>
      <x:c r="H30" s="3" t="n">
        <x:v>120890</x:v>
      </x:c>
      <x:c r="I30" s="3" t="n">
        <x:v>60445</x:v>
      </x:c>
      <x:c r="J30" s="3" t="str">
        <x:v>No</x:v>
      </x:c>
      <x:c r="K30" s="3" t="str">
        <x:v>Yes</x:v>
      </x:c>
      <x:c r="L30" s="3" t="n">
        <x:f>G30-TODAY()</x:f>
        <x:v>40</x:v>
      </x:c>
      <x:c r="M30" s="3" t="n">
        <x:f>IF(J30="Yes",F30,IF(K30="Yes",MAX(F30,45),MAX(F30,60)))</x:f>
        <x:v>60</x:v>
      </x:c>
      <x:c r="N30" s="3" t="n">
        <x:f>MAX(M30-F30,0)</x:f>
        <x:v>0</x:v>
      </x:c>
      <x:c r="O30" s="3" t="n">
        <x:f>I30*N30/365</x:f>
        <x:v>0</x:v>
      </x:c>
      <x:c r="P30" s="3" t="str">
        <x:f>IF(N30&gt;0,"Renegotiate terms","Maintain")</x:f>
        <x:v>Maintain</x:v>
      </x:c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 t="str">
        <x:v>AP-30030</x:v>
      </x:c>
      <x:c r="B31" s="3" t="str">
        <x:v>Summit Utilities</x:v>
      </x:c>
      <x:c r="C31" s="3" t="str">
        <x:v>Packaging</x:v>
      </x:c>
      <x:c r="D31" s="3" t="str">
        <x:v>Nashville</x:v>
      </x:c>
      <x:c r="E31" s="3" t="n">
        <x:v>46089</x:v>
      </x:c>
      <x:c r="F31" s="3" t="n">
        <x:v>60</x:v>
      </x:c>
      <x:c r="G31" s="3" t="n">
        <x:v>46149</x:v>
      </x:c>
      <x:c r="H31" s="3" t="n">
        <x:v>264848</x:v>
      </x:c>
      <x:c r="I31" s="3" t="n">
        <x:v>264848</x:v>
      </x:c>
      <x:c r="J31" s="3" t="str">
        <x:v>No</x:v>
      </x:c>
      <x:c r="K31" s="3" t="str">
        <x:v>No</x:v>
      </x:c>
      <x:c r="L31" s="3" t="n">
        <x:f>G31-TODAY()</x:f>
        <x:v>4</x:v>
      </x:c>
      <x:c r="M31" s="3" t="n">
        <x:f>IF(J31="Yes",F31,IF(K31="Yes",MAX(F31,45),MAX(F31,60)))</x:f>
        <x:v>60</x:v>
      </x:c>
      <x:c r="N31" s="3" t="n">
        <x:f>MAX(M31-F31,0)</x:f>
        <x:v>0</x:v>
      </x:c>
      <x:c r="O31" s="3" t="n">
        <x:f>I31*N31/365</x:f>
        <x:v>0</x:v>
      </x:c>
      <x:c r="P31" s="3" t="str">
        <x:f>IF(N31&gt;0,"Renegotiate terms","Maintain")</x:f>
        <x:v>Maintain</x:v>
      </x:c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 t="str">
        <x:v>AP-30031</x:v>
      </x:c>
      <x:c r="B32" s="3" t="str">
        <x:v>Vertex Warehousing</x:v>
      </x:c>
      <x:c r="C32" s="3" t="str">
        <x:v>Insurance</x:v>
      </x:c>
      <x:c r="D32" s="3" t="str">
        <x:v>Columbus</x:v>
      </x:c>
      <x:c r="E32" s="3" t="n">
        <x:v>46103</x:v>
      </x:c>
      <x:c r="F32" s="3" t="n">
        <x:v>45</x:v>
      </x:c>
      <x:c r="G32" s="3" t="n">
        <x:v>46148</x:v>
      </x:c>
      <x:c r="H32" s="3" t="n">
        <x:v>219045</x:v>
      </x:c>
      <x:c r="I32" s="3" t="n">
        <x:v>219045</x:v>
      </x:c>
      <x:c r="J32" s="3" t="str">
        <x:v>No</x:v>
      </x:c>
      <x:c r="K32" s="3" t="str">
        <x:v>Yes</x:v>
      </x:c>
      <x:c r="L32" s="3" t="n">
        <x:f>G32-TODAY()</x:f>
        <x:v>3</x:v>
      </x:c>
      <x:c r="M32" s="3" t="n">
        <x:f>IF(J32="Yes",F32,IF(K32="Yes",MAX(F32,45),MAX(F32,60)))</x:f>
        <x:v>45</x:v>
      </x:c>
      <x:c r="N32" s="3" t="n">
        <x:f>MAX(M32-F32,0)</x:f>
        <x:v>0</x:v>
      </x:c>
      <x:c r="O32" s="3" t="n">
        <x:f>I32*N32/365</x:f>
        <x:v>0</x:v>
      </x:c>
      <x:c r="P32" s="3" t="str">
        <x:f>IF(N32&gt;0,"Renegotiate terms","Maintain")</x:f>
        <x:v>Maintain</x:v>
      </x:c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 t="str">
        <x:v>AP-30032</x:v>
      </x:c>
      <x:c r="B33" s="3" t="str">
        <x:v>RedRock Components</x:v>
      </x:c>
      <x:c r="C33" s="3" t="str">
        <x:v>Maintenance</x:v>
      </x:c>
      <x:c r="D33" s="3" t="str">
        <x:v>Dallas</x:v>
      </x:c>
      <x:c r="E33" s="3" t="n">
        <x:v>46115</x:v>
      </x:c>
      <x:c r="F33" s="3" t="n">
        <x:v>30</x:v>
      </x:c>
      <x:c r="G33" s="3" t="n">
        <x:v>46145</x:v>
      </x:c>
      <x:c r="H33" s="3" t="n">
        <x:v>80681</x:v>
      </x:c>
      <x:c r="I33" s="3" t="n">
        <x:v>40340</x:v>
      </x:c>
      <x:c r="J33" s="3" t="str">
        <x:v>No</x:v>
      </x:c>
      <x:c r="K33" s="3" t="str">
        <x:v>No</x:v>
      </x:c>
      <x:c r="L33" s="3" t="n">
        <x:f>G33-TODAY()</x:f>
        <x:v>0</x:v>
      </x:c>
      <x:c r="M33" s="3" t="n">
        <x:f>IF(J33="Yes",F33,IF(K33="Yes",MAX(F33,45),MAX(F33,60)))</x:f>
        <x:v>60</x:v>
      </x:c>
      <x:c r="N33" s="3" t="n">
        <x:f>MAX(M33-F33,0)</x:f>
        <x:v>30</x:v>
      </x:c>
      <x:c r="O33" s="3" t="n">
        <x:f>I33*N33/365</x:f>
        <x:v>3315.6164383561645</x:v>
      </x:c>
      <x:c r="P33" s="3" t="str">
        <x:f>IF(N33&gt;0,"Renegotiate terms","Maintain")</x:f>
        <x:v>Renegotiate terms</x:v>
      </x:c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 t="str">
        <x:v>AP-30033</x:v>
      </x:c>
      <x:c r="B34" s="3" t="str">
        <x:v>Nexus Freight</x:v>
      </x:c>
      <x:c r="C34" s="3" t="str">
        <x:v>Utilities</x:v>
      </x:c>
      <x:c r="D34" s="3" t="str">
        <x:v>Columbus</x:v>
      </x:c>
      <x:c r="E34" s="3" t="n">
        <x:v>46126</x:v>
      </x:c>
      <x:c r="F34" s="3" t="n">
        <x:v>45</x:v>
      </x:c>
      <x:c r="G34" s="3" t="n">
        <x:v>46171</x:v>
      </x:c>
      <x:c r="H34" s="3" t="n">
        <x:v>132327</x:v>
      </x:c>
      <x:c r="I34" s="3" t="n">
        <x:v>99245</x:v>
      </x:c>
      <x:c r="J34" s="3" t="str">
        <x:v>No</x:v>
      </x:c>
      <x:c r="K34" s="3" t="str">
        <x:v>No</x:v>
      </x:c>
      <x:c r="L34" s="3" t="n">
        <x:f>G34-TODAY()</x:f>
        <x:v>26</x:v>
      </x:c>
      <x:c r="M34" s="3" t="n">
        <x:f>IF(J34="Yes",F34,IF(K34="Yes",MAX(F34,45),MAX(F34,60)))</x:f>
        <x:v>60</x:v>
      </x:c>
      <x:c r="N34" s="3" t="n">
        <x:f>MAX(M34-F34,0)</x:f>
        <x:v>15</x:v>
      </x:c>
      <x:c r="O34" s="3" t="n">
        <x:f>I34*N34/365</x:f>
        <x:v>4078.5616438356165</x:v>
      </x:c>
      <x:c r="P34" s="3" t="str">
        <x:f>IF(N34&gt;0,"Renegotiate terms","Maintain")</x:f>
        <x:v>Renegotiate terms</x:v>
      </x:c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 t="str">
        <x:v>AP-30034</x:v>
      </x:c>
      <x:c r="B35" s="3" t="str">
        <x:v>Omega Chemicals</x:v>
      </x:c>
      <x:c r="C35" s="3" t="str">
        <x:v>Facilities</x:v>
      </x:c>
      <x:c r="D35" s="3" t="str">
        <x:v>Chicago</x:v>
      </x:c>
      <x:c r="E35" s="3" t="n">
        <x:v>46075</x:v>
      </x:c>
      <x:c r="F35" s="3" t="n">
        <x:v>30</x:v>
      </x:c>
      <x:c r="G35" s="3" t="n">
        <x:v>46105</x:v>
      </x:c>
      <x:c r="H35" s="3" t="n">
        <x:v>32020</x:v>
      </x:c>
      <x:c r="I35" s="3" t="n">
        <x:v>24015</x:v>
      </x:c>
      <x:c r="J35" s="3" t="str">
        <x:v>No</x:v>
      </x:c>
      <x:c r="K35" s="3" t="str">
        <x:v>No</x:v>
      </x:c>
      <x:c r="L35" s="3" t="n">
        <x:f>G35-TODAY()</x:f>
        <x:v>-40</x:v>
      </x:c>
      <x:c r="M35" s="3" t="n">
        <x:f>IF(J35="Yes",F35,IF(K35="Yes",MAX(F35,45),MAX(F35,60)))</x:f>
        <x:v>60</x:v>
      </x:c>
      <x:c r="N35" s="3" t="n">
        <x:f>MAX(M35-F35,0)</x:f>
        <x:v>30</x:v>
      </x:c>
      <x:c r="O35" s="3" t="n">
        <x:f>I35*N35/365</x:f>
        <x:v>1973.835616438356</x:v>
      </x:c>
      <x:c r="P35" s="3" t="str">
        <x:f>IF(N35&gt;0,"Renegotiate terms","Maintain")</x:f>
        <x:v>Renegotiate terms</x:v>
      </x:c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 t="str">
        <x:v>AP-30035</x:v>
      </x:c>
      <x:c r="B36" s="3" t="str">
        <x:v>BlueSteel Materials</x:v>
      </x:c>
      <x:c r="C36" s="3" t="str">
        <x:v>Raw Materials</x:v>
      </x:c>
      <x:c r="D36" s="3" t="str">
        <x:v>Dallas</x:v>
      </x:c>
      <x:c r="E36" s="3" t="n">
        <x:v>46072</x:v>
      </x:c>
      <x:c r="F36" s="3" t="n">
        <x:v>30</x:v>
      </x:c>
      <x:c r="G36" s="3" t="n">
        <x:v>46102</x:v>
      </x:c>
      <x:c r="H36" s="3" t="n">
        <x:v>256340</x:v>
      </x:c>
      <x:c r="I36" s="3" t="n">
        <x:v>256340</x:v>
      </x:c>
      <x:c r="J36" s="3" t="str">
        <x:v>No</x:v>
      </x:c>
      <x:c r="K36" s="3" t="str">
        <x:v>Yes</x:v>
      </x:c>
      <x:c r="L36" s="3" t="n">
        <x:f>G36-TODAY()</x:f>
        <x:v>-43</x:v>
      </x:c>
      <x:c r="M36" s="3" t="n">
        <x:f>IF(J36="Yes",F36,IF(K36="Yes",MAX(F36,45),MAX(F36,60)))</x:f>
        <x:v>45</x:v>
      </x:c>
      <x:c r="N36" s="3" t="n">
        <x:f>MAX(M36-F36,0)</x:f>
        <x:v>15</x:v>
      </x:c>
      <x:c r="O36" s="3" t="n">
        <x:f>I36*N36/365</x:f>
        <x:v>10534.520547945205</x:v>
      </x:c>
      <x:c r="P36" s="3" t="str">
        <x:f>IF(N36&gt;0,"Renegotiate terms","Maintain")</x:f>
        <x:v>Renegotiate terms</x:v>
      </x:c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 t="str">
        <x:v>AP-30036</x:v>
      </x:c>
      <x:c r="B37" s="3" t="str">
        <x:v>Acme Logistics</x:v>
      </x:c>
      <x:c r="C37" s="3" t="str">
        <x:v>IT / Software</x:v>
      </x:c>
      <x:c r="D37" s="3" t="str">
        <x:v>Dallas</x:v>
      </x:c>
      <x:c r="E37" s="3" t="n">
        <x:v>46128</x:v>
      </x:c>
      <x:c r="F37" s="3" t="n">
        <x:v>45</x:v>
      </x:c>
      <x:c r="G37" s="3" t="n">
        <x:v>46173</x:v>
      </x:c>
      <x:c r="H37" s="3" t="n">
        <x:v>132188</x:v>
      </x:c>
      <x:c r="I37" s="3" t="n">
        <x:v>132188</x:v>
      </x:c>
      <x:c r="J37" s="3" t="str">
        <x:v>No</x:v>
      </x:c>
      <x:c r="K37" s="3" t="str">
        <x:v>Yes</x:v>
      </x:c>
      <x:c r="L37" s="3" t="n">
        <x:f>G37-TODAY()</x:f>
        <x:v>28</x:v>
      </x:c>
      <x:c r="M37" s="3" t="n">
        <x:f>IF(J37="Yes",F37,IF(K37="Yes",MAX(F37,45),MAX(F37,60)))</x:f>
        <x:v>45</x:v>
      </x:c>
      <x:c r="N37" s="3" t="n">
        <x:f>MAX(M37-F37,0)</x:f>
        <x:v>0</x:v>
      </x:c>
      <x:c r="O37" s="3" t="n">
        <x:f>I37*N37/365</x:f>
        <x:v>0</x:v>
      </x:c>
      <x:c r="P37" s="3" t="str">
        <x:f>IF(N37&gt;0,"Renegotiate terms","Maintain")</x:f>
        <x:v>Maintain</x:v>
      </x:c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 t="str">
        <x:v>AP-30037</x:v>
      </x:c>
      <x:c r="B38" s="3" t="str">
        <x:v>Kappa Office Supply</x:v>
      </x:c>
      <x:c r="C38" s="3" t="str">
        <x:v>Professional Services</x:v>
      </x:c>
      <x:c r="D38" s="3" t="str">
        <x:v>Phoenix</x:v>
      </x:c>
      <x:c r="E38" s="3" t="n">
        <x:v>46084</x:v>
      </x:c>
      <x:c r="F38" s="3" t="n">
        <x:v>60</x:v>
      </x:c>
      <x:c r="G38" s="3" t="n">
        <x:v>46144</x:v>
      </x:c>
      <x:c r="H38" s="3" t="n">
        <x:v>345116</x:v>
      </x:c>
      <x:c r="I38" s="3" t="n">
        <x:v>258837</x:v>
      </x:c>
      <x:c r="J38" s="3" t="str">
        <x:v>No</x:v>
      </x:c>
      <x:c r="K38" s="3" t="str">
        <x:v>Yes</x:v>
      </x:c>
      <x:c r="L38" s="3" t="n">
        <x:f>G38-TODAY()</x:f>
        <x:v>-1</x:v>
      </x:c>
      <x:c r="M38" s="3" t="n">
        <x:f>IF(J38="Yes",F38,IF(K38="Yes",MAX(F38,45),MAX(F38,60)))</x:f>
        <x:v>60</x:v>
      </x:c>
      <x:c r="N38" s="3" t="n">
        <x:f>MAX(M38-F38,0)</x:f>
        <x:v>0</x:v>
      </x:c>
      <x:c r="O38" s="3" t="n">
        <x:f>I38*N38/365</x:f>
        <x:v>0</x:v>
      </x:c>
      <x:c r="P38" s="3" t="str">
        <x:f>IF(N38&gt;0,"Renegotiate terms","Maintain")</x:f>
        <x:v>Maintain</x:v>
      </x:c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 t="str">
        <x:v>AP-30038</x:v>
      </x:c>
      <x:c r="B39" s="3" t="str">
        <x:v>Pioneer Staffing</x:v>
      </x:c>
      <x:c r="C39" s="3" t="str">
        <x:v>Maintenance</x:v>
      </x:c>
      <x:c r="D39" s="3" t="str">
        <x:v>Chicago</x:v>
      </x:c>
      <x:c r="E39" s="3" t="n">
        <x:v>46083</x:v>
      </x:c>
      <x:c r="F39" s="3" t="n">
        <x:v>30</x:v>
      </x:c>
      <x:c r="G39" s="3" t="n">
        <x:v>46113</x:v>
      </x:c>
      <x:c r="H39" s="3" t="n">
        <x:v>111497</x:v>
      </x:c>
      <x:c r="I39" s="3" t="n">
        <x:v>83623</x:v>
      </x:c>
      <x:c r="J39" s="3" t="str">
        <x:v>No</x:v>
      </x:c>
      <x:c r="K39" s="3" t="str">
        <x:v>Yes</x:v>
      </x:c>
      <x:c r="L39" s="3" t="n">
        <x:f>G39-TODAY()</x:f>
        <x:v>-32</x:v>
      </x:c>
      <x:c r="M39" s="3" t="n">
        <x:f>IF(J39="Yes",F39,IF(K39="Yes",MAX(F39,45),MAX(F39,60)))</x:f>
        <x:v>45</x:v>
      </x:c>
      <x:c r="N39" s="3" t="n">
        <x:f>MAX(M39-F39,0)</x:f>
        <x:v>15</x:v>
      </x:c>
      <x:c r="O39" s="3" t="n">
        <x:f>I39*N39/365</x:f>
        <x:v>3436.5616438356165</x:v>
      </x:c>
      <x:c r="P39" s="3" t="str">
        <x:f>IF(N39&gt;0,"Renegotiate terms","Maintain")</x:f>
        <x:v>Renegotiate terms</x:v>
      </x:c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 t="str">
        <x:v>AP-30039</x:v>
      </x:c>
      <x:c r="B40" s="3" t="str">
        <x:v>Horizon Insurance</x:v>
      </x:c>
      <x:c r="C40" s="3" t="str">
        <x:v>Packaging</x:v>
      </x:c>
      <x:c r="D40" s="3" t="str">
        <x:v>Chicago</x:v>
      </x:c>
      <x:c r="E40" s="3" t="n">
        <x:v>46110</x:v>
      </x:c>
      <x:c r="F40" s="3" t="n">
        <x:v>60</x:v>
      </x:c>
      <x:c r="G40" s="3" t="n">
        <x:v>46170</x:v>
      </x:c>
      <x:c r="H40" s="3" t="n">
        <x:v>311200</x:v>
      </x:c>
      <x:c r="I40" s="3" t="n">
        <x:v>155600</x:v>
      </x:c>
      <x:c r="J40" s="3" t="str">
        <x:v>No</x:v>
      </x:c>
      <x:c r="K40" s="3" t="str">
        <x:v>Yes</x:v>
      </x:c>
      <x:c r="L40" s="3" t="n">
        <x:f>G40-TODAY()</x:f>
        <x:v>25</x:v>
      </x:c>
      <x:c r="M40" s="3" t="n">
        <x:f>IF(J40="Yes",F40,IF(K40="Yes",MAX(F40,45),MAX(F40,60)))</x:f>
        <x:v>60</x:v>
      </x:c>
      <x:c r="N40" s="3" t="n">
        <x:f>MAX(M40-F40,0)</x:f>
        <x:v>0</x:v>
      </x:c>
      <x:c r="O40" s="3" t="n">
        <x:f>I40*N40/365</x:f>
        <x:v>0</x:v>
      </x:c>
      <x:c r="P40" s="3" t="str">
        <x:f>IF(N40&gt;0,"Renegotiate terms","Maintain")</x:f>
        <x:v>Maintain</x:v>
      </x:c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 t="str">
        <x:v>AP-30040</x:v>
      </x:c>
      <x:c r="B41" s="3" t="str">
        <x:v>Horizon Insurance</x:v>
      </x:c>
      <x:c r="C41" s="3" t="str">
        <x:v>Insurance</x:v>
      </x:c>
      <x:c r="D41" s="3" t="str">
        <x:v>Columbus</x:v>
      </x:c>
      <x:c r="E41" s="3" t="n">
        <x:v>46112</x:v>
      </x:c>
      <x:c r="F41" s="3" t="n">
        <x:v>45</x:v>
      </x:c>
      <x:c r="G41" s="3" t="n">
        <x:v>46157</x:v>
      </x:c>
      <x:c r="H41" s="3" t="n">
        <x:v>293695</x:v>
      </x:c>
      <x:c r="I41" s="3" t="n">
        <x:v>220271</x:v>
      </x:c>
      <x:c r="J41" s="3" t="str">
        <x:v>No</x:v>
      </x:c>
      <x:c r="K41" s="3" t="str">
        <x:v>No</x:v>
      </x:c>
      <x:c r="L41" s="3" t="n">
        <x:f>G41-TODAY()</x:f>
        <x:v>12</x:v>
      </x:c>
      <x:c r="M41" s="3" t="n">
        <x:f>IF(J41="Yes",F41,IF(K41="Yes",MAX(F41,45),MAX(F41,60)))</x:f>
        <x:v>60</x:v>
      </x:c>
      <x:c r="N41" s="3" t="n">
        <x:f>MAX(M41-F41,0)</x:f>
        <x:v>15</x:v>
      </x:c>
      <x:c r="O41" s="3" t="n">
        <x:f>I41*N41/365</x:f>
        <x:v>9052.232876712329</x:v>
      </x:c>
      <x:c r="P41" s="3" t="str">
        <x:f>IF(N41&gt;0,"Renegotiate terms","Maintain")</x:f>
        <x:v>Renegotiate terms</x:v>
      </x:c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 t="str">
        <x:v>AP-30041</x:v>
      </x:c>
      <x:c r="B42" s="3" t="str">
        <x:v>Zenith Services</x:v>
      </x:c>
      <x:c r="C42" s="3" t="str">
        <x:v>Maintenance</x:v>
      </x:c>
      <x:c r="D42" s="3" t="str">
        <x:v>Phoenix</x:v>
      </x:c>
      <x:c r="E42" s="3" t="n">
        <x:v>46122</x:v>
      </x:c>
      <x:c r="F42" s="3" t="n">
        <x:v>30</x:v>
      </x:c>
      <x:c r="G42" s="3" t="n">
        <x:v>46152</x:v>
      </x:c>
      <x:c r="H42" s="3" t="n">
        <x:v>93743</x:v>
      </x:c>
      <x:c r="I42" s="3" t="n">
        <x:v>93743</x:v>
      </x:c>
      <x:c r="J42" s="3" t="str">
        <x:v>No</x:v>
      </x:c>
      <x:c r="K42" s="3" t="str">
        <x:v>Yes</x:v>
      </x:c>
      <x:c r="L42" s="3" t="n">
        <x:f>G42-TODAY()</x:f>
        <x:v>7</x:v>
      </x:c>
      <x:c r="M42" s="3" t="n">
        <x:f>IF(J42="Yes",F42,IF(K42="Yes",MAX(F42,45),MAX(F42,60)))</x:f>
        <x:v>45</x:v>
      </x:c>
      <x:c r="N42" s="3" t="n">
        <x:f>MAX(M42-F42,0)</x:f>
        <x:v>15</x:v>
      </x:c>
      <x:c r="O42" s="3" t="n">
        <x:f>I42*N42/365</x:f>
        <x:v>3852.4520547945203</x:v>
      </x:c>
      <x:c r="P42" s="3" t="str">
        <x:f>IF(N42&gt;0,"Renegotiate terms","Maintain")</x:f>
        <x:v>Renegotiate terms</x:v>
      </x:c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 t="str">
        <x:v>AP-30042</x:v>
      </x:c>
      <x:c r="B43" s="3" t="str">
        <x:v>RedRock Components</x:v>
      </x:c>
      <x:c r="C43" s="3" t="str">
        <x:v>Logistics</x:v>
      </x:c>
      <x:c r="D43" s="3" t="str">
        <x:v>Columbus</x:v>
      </x:c>
      <x:c r="E43" s="3" t="n">
        <x:v>46139</x:v>
      </x:c>
      <x:c r="F43" s="3" t="n">
        <x:v>15</x:v>
      </x:c>
      <x:c r="G43" s="3" t="n">
        <x:v>46154</x:v>
      </x:c>
      <x:c r="H43" s="3" t="n">
        <x:v>355337</x:v>
      </x:c>
      <x:c r="I43" s="3" t="n">
        <x:v>355337</x:v>
      </x:c>
      <x:c r="J43" s="3" t="str">
        <x:v>No</x:v>
      </x:c>
      <x:c r="K43" s="3" t="str">
        <x:v>Yes</x:v>
      </x:c>
      <x:c r="L43" s="3" t="n">
        <x:f>G43-TODAY()</x:f>
        <x:v>9</x:v>
      </x:c>
      <x:c r="M43" s="3" t="n">
        <x:f>IF(J43="Yes",F43,IF(K43="Yes",MAX(F43,45),MAX(F43,60)))</x:f>
        <x:v>45</x:v>
      </x:c>
      <x:c r="N43" s="3" t="n">
        <x:f>MAX(M43-F43,0)</x:f>
        <x:v>30</x:v>
      </x:c>
      <x:c r="O43" s="3" t="n">
        <x:f>I43*N43/365</x:f>
        <x:v>29205.780821917808</x:v>
      </x:c>
      <x:c r="P43" s="3" t="str">
        <x:f>IF(N43&gt;0,"Renegotiate terms","Maintain")</x:f>
        <x:v>Renegotiate terms</x:v>
      </x:c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 t="str">
        <x:v>AP-30043</x:v>
      </x:c>
      <x:c r="B44" s="3" t="str">
        <x:v>United Components</x:v>
      </x:c>
      <x:c r="C44" s="3" t="str">
        <x:v>IT / Software</x:v>
      </x:c>
      <x:c r="D44" s="3" t="str">
        <x:v>Chicago</x:v>
      </x:c>
      <x:c r="E44" s="3" t="n">
        <x:v>46124</x:v>
      </x:c>
      <x:c r="F44" s="3" t="n">
        <x:v>15</x:v>
      </x:c>
      <x:c r="G44" s="3" t="n">
        <x:v>46139</x:v>
      </x:c>
      <x:c r="H44" s="3" t="n">
        <x:v>119672</x:v>
      </x:c>
      <x:c r="I44" s="3" t="n">
        <x:v>59836</x:v>
      </x:c>
      <x:c r="J44" s="3" t="str">
        <x:v>No</x:v>
      </x:c>
      <x:c r="K44" s="3" t="str">
        <x:v>No</x:v>
      </x:c>
      <x:c r="L44" s="3" t="n">
        <x:f>G44-TODAY()</x:f>
        <x:v>-6</x:v>
      </x:c>
      <x:c r="M44" s="3" t="n">
        <x:f>IF(J44="Yes",F44,IF(K44="Yes",MAX(F44,45),MAX(F44,60)))</x:f>
        <x:v>60</x:v>
      </x:c>
      <x:c r="N44" s="3" t="n">
        <x:f>MAX(M44-F44,0)</x:f>
        <x:v>45</x:v>
      </x:c>
      <x:c r="O44" s="3" t="n">
        <x:f>I44*N44/365</x:f>
        <x:v>7377.041095890411</x:v>
      </x:c>
      <x:c r="P44" s="3" t="str">
        <x:f>IF(N44&gt;0,"Renegotiate terms","Maintain")</x:f>
        <x:v>Renegotiate terms</x:v>
      </x:c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 t="str">
        <x:v>AP-30044</x:v>
      </x:c>
      <x:c r="B45" s="3" t="str">
        <x:v>Vertex Warehousing</x:v>
      </x:c>
      <x:c r="C45" s="3" t="str">
        <x:v>Staffing</x:v>
      </x:c>
      <x:c r="D45" s="3" t="str">
        <x:v>Phoenix</x:v>
      </x:c>
      <x:c r="E45" s="3" t="n">
        <x:v>46081</x:v>
      </x:c>
      <x:c r="F45" s="3" t="n">
        <x:v>15</x:v>
      </x:c>
      <x:c r="G45" s="3" t="n">
        <x:v>46096</x:v>
      </x:c>
      <x:c r="H45" s="3" t="n">
        <x:v>8466</x:v>
      </x:c>
      <x:c r="I45" s="3" t="n">
        <x:v>4233</x:v>
      </x:c>
      <x:c r="J45" s="3" t="str">
        <x:v>Yes</x:v>
      </x:c>
      <x:c r="K45" s="3" t="str">
        <x:v>Yes</x:v>
      </x:c>
      <x:c r="L45" s="3" t="n">
        <x:f>G45-TODAY()</x:f>
        <x:v>-49</x:v>
      </x:c>
      <x:c r="M45" s="3" t="n">
        <x:f>IF(J45="Yes",F45,IF(K45="Yes",MAX(F45,45),MAX(F45,60)))</x:f>
        <x:v>15</x:v>
      </x:c>
      <x:c r="N45" s="3" t="n">
        <x:f>MAX(M45-F45,0)</x:f>
        <x:v>0</x:v>
      </x:c>
      <x:c r="O45" s="3" t="n">
        <x:f>I45*N45/365</x:f>
        <x:v>0</x:v>
      </x:c>
      <x:c r="P45" s="3" t="str">
        <x:f>IF(N45&gt;0,"Renegotiate terms","Maintain")</x:f>
        <x:v>Maintain</x:v>
      </x:c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 t="str">
        <x:v>AP-30045</x:v>
      </x:c>
      <x:c r="B46" s="3" t="str">
        <x:v>Ironclad Metals</x:v>
      </x:c>
      <x:c r="C46" s="3" t="str">
        <x:v>Utilities</x:v>
      </x:c>
      <x:c r="D46" s="3" t="str">
        <x:v>Atlanta</x:v>
      </x:c>
      <x:c r="E46" s="3" t="n">
        <x:v>46141</x:v>
      </x:c>
      <x:c r="F46" s="3" t="n">
        <x:v>60</x:v>
      </x:c>
      <x:c r="G46" s="3" t="n">
        <x:v>46201</x:v>
      </x:c>
      <x:c r="H46" s="3" t="n">
        <x:v>370879</x:v>
      </x:c>
      <x:c r="I46" s="3" t="n">
        <x:v>185440</x:v>
      </x:c>
      <x:c r="J46" s="3" t="str">
        <x:v>No</x:v>
      </x:c>
      <x:c r="K46" s="3" t="str">
        <x:v>No</x:v>
      </x:c>
      <x:c r="L46" s="3" t="n">
        <x:f>G46-TODAY()</x:f>
        <x:v>56</x:v>
      </x:c>
      <x:c r="M46" s="3" t="n">
        <x:f>IF(J46="Yes",F46,IF(K46="Yes",MAX(F46,45),MAX(F46,60)))</x:f>
        <x:v>60</x:v>
      </x:c>
      <x:c r="N46" s="3" t="n">
        <x:f>MAX(M46-F46,0)</x:f>
        <x:v>0</x:v>
      </x:c>
      <x:c r="O46" s="3" t="n">
        <x:f>I46*N46/365</x:f>
        <x:v>0</x:v>
      </x:c>
      <x:c r="P46" s="3" t="str">
        <x:f>IF(N46&gt;0,"Renegotiate terms","Maintain")</x:f>
        <x:v>Maintain</x:v>
      </x:c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 t="str">
        <x:v>AP-30046</x:v>
      </x:c>
      <x:c r="B47" s="3" t="str">
        <x:v>Delta Telecom</x:v>
      </x:c>
      <x:c r="C47" s="3" t="str">
        <x:v>Raw Materials</x:v>
      </x:c>
      <x:c r="D47" s="3" t="str">
        <x:v>Columbus</x:v>
      </x:c>
      <x:c r="E47" s="3" t="n">
        <x:v>46124</x:v>
      </x:c>
      <x:c r="F47" s="3" t="n">
        <x:v>30</x:v>
      </x:c>
      <x:c r="G47" s="3" t="n">
        <x:v>46154</x:v>
      </x:c>
      <x:c r="H47" s="3" t="n">
        <x:v>105627</x:v>
      </x:c>
      <x:c r="I47" s="3" t="n">
        <x:v>79220</x:v>
      </x:c>
      <x:c r="J47" s="3" t="str">
        <x:v>No</x:v>
      </x:c>
      <x:c r="K47" s="3" t="str">
        <x:v>Yes</x:v>
      </x:c>
      <x:c r="L47" s="3" t="n">
        <x:f>G47-TODAY()</x:f>
        <x:v>9</x:v>
      </x:c>
      <x:c r="M47" s="3" t="n">
        <x:f>IF(J47="Yes",F47,IF(K47="Yes",MAX(F47,45),MAX(F47,60)))</x:f>
        <x:v>45</x:v>
      </x:c>
      <x:c r="N47" s="3" t="n">
        <x:f>MAX(M47-F47,0)</x:f>
        <x:v>15</x:v>
      </x:c>
      <x:c r="O47" s="3" t="n">
        <x:f>I47*N47/365</x:f>
        <x:v>3255.6164383561645</x:v>
      </x:c>
      <x:c r="P47" s="3" t="str">
        <x:f>IF(N47&gt;0,"Renegotiate terms","Maintain")</x:f>
        <x:v>Renegotiate terms</x:v>
      </x:c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 t="str">
        <x:v>AP-30047</x:v>
      </x:c>
      <x:c r="B48" s="3" t="str">
        <x:v>Metro Maintenance</x:v>
      </x:c>
      <x:c r="C48" s="3" t="str">
        <x:v>Raw Materials</x:v>
      </x:c>
      <x:c r="D48" s="3" t="str">
        <x:v>Atlanta</x:v>
      </x:c>
      <x:c r="E48" s="3" t="n">
        <x:v>46092</x:v>
      </x:c>
      <x:c r="F48" s="3" t="n">
        <x:v>45</x:v>
      </x:c>
      <x:c r="G48" s="3" t="n">
        <x:v>46137</x:v>
      </x:c>
      <x:c r="H48" s="3" t="n">
        <x:v>301223</x:v>
      </x:c>
      <x:c r="I48" s="3" t="n">
        <x:v>301223</x:v>
      </x:c>
      <x:c r="J48" s="3" t="str">
        <x:v>No</x:v>
      </x:c>
      <x:c r="K48" s="3" t="str">
        <x:v>Yes</x:v>
      </x:c>
      <x:c r="L48" s="3" t="n">
        <x:f>G48-TODAY()</x:f>
        <x:v>-8</x:v>
      </x:c>
      <x:c r="M48" s="3" t="n">
        <x:f>IF(J48="Yes",F48,IF(K48="Yes",MAX(F48,45),MAX(F48,60)))</x:f>
        <x:v>45</x:v>
      </x:c>
      <x:c r="N48" s="3" t="n">
        <x:f>MAX(M48-F48,0)</x:f>
        <x:v>0</x:v>
      </x:c>
      <x:c r="O48" s="3" t="n">
        <x:f>I48*N48/365</x:f>
        <x:v>0</x:v>
      </x:c>
      <x:c r="P48" s="3" t="str">
        <x:f>IF(N48&gt;0,"Renegotiate terms","Maintain")</x:f>
        <x:v>Maintain</x:v>
      </x:c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 t="str">
        <x:v>AP-30048</x:v>
      </x:c>
      <x:c r="B49" s="3" t="str">
        <x:v>Vertex Warehousing</x:v>
      </x:c>
      <x:c r="C49" s="3" t="str">
        <x:v>Raw Materials</x:v>
      </x:c>
      <x:c r="D49" s="3" t="str">
        <x:v>Nashville</x:v>
      </x:c>
      <x:c r="E49" s="3" t="n">
        <x:v>46139</x:v>
      </x:c>
      <x:c r="F49" s="3" t="n">
        <x:v>15</x:v>
      </x:c>
      <x:c r="G49" s="3" t="n">
        <x:v>46154</x:v>
      </x:c>
      <x:c r="H49" s="3" t="n">
        <x:v>217482</x:v>
      </x:c>
      <x:c r="I49" s="3" t="n">
        <x:v>108741</x:v>
      </x:c>
      <x:c r="J49" s="3" t="str">
        <x:v>No</x:v>
      </x:c>
      <x:c r="K49" s="3" t="str">
        <x:v>Yes</x:v>
      </x:c>
      <x:c r="L49" s="3" t="n">
        <x:f>G49-TODAY()</x:f>
        <x:v>9</x:v>
      </x:c>
      <x:c r="M49" s="3" t="n">
        <x:f>IF(J49="Yes",F49,IF(K49="Yes",MAX(F49,45),MAX(F49,60)))</x:f>
        <x:v>45</x:v>
      </x:c>
      <x:c r="N49" s="3" t="n">
        <x:f>MAX(M49-F49,0)</x:f>
        <x:v>30</x:v>
      </x:c>
      <x:c r="O49" s="3" t="n">
        <x:f>I49*N49/365</x:f>
        <x:v>8937.616438356165</x:v>
      </x:c>
      <x:c r="P49" s="3" t="str">
        <x:f>IF(N49&gt;0,"Renegotiate terms","Maintain")</x:f>
        <x:v>Renegotiate terms</x:v>
      </x:c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 t="str">
        <x:v>AP-30049</x:v>
      </x:c>
      <x:c r="B50" s="3" t="str">
        <x:v>United Components</x:v>
      </x:c>
      <x:c r="C50" s="3" t="str">
        <x:v>Logistics</x:v>
      </x:c>
      <x:c r="D50" s="3" t="str">
        <x:v>Nashville</x:v>
      </x:c>
      <x:c r="E50" s="3" t="n">
        <x:v>46122</x:v>
      </x:c>
      <x:c r="F50" s="3" t="n">
        <x:v>15</x:v>
      </x:c>
      <x:c r="G50" s="3" t="n">
        <x:v>46137</x:v>
      </x:c>
      <x:c r="H50" s="3" t="n">
        <x:v>267069</x:v>
      </x:c>
      <x:c r="I50" s="3" t="n">
        <x:v>133534</x:v>
      </x:c>
      <x:c r="J50" s="3" t="str">
        <x:v>No</x:v>
      </x:c>
      <x:c r="K50" s="3" t="str">
        <x:v>Yes</x:v>
      </x:c>
      <x:c r="L50" s="3" t="n">
        <x:f>G50-TODAY()</x:f>
        <x:v>-8</x:v>
      </x:c>
      <x:c r="M50" s="3" t="n">
        <x:f>IF(J50="Yes",F50,IF(K50="Yes",MAX(F50,45),MAX(F50,60)))</x:f>
        <x:v>45</x:v>
      </x:c>
      <x:c r="N50" s="3" t="n">
        <x:f>MAX(M50-F50,0)</x:f>
        <x:v>30</x:v>
      </x:c>
      <x:c r="O50" s="3" t="n">
        <x:f>I50*N50/365</x:f>
        <x:v>10975.397260273972</x:v>
      </x:c>
      <x:c r="P50" s="3" t="str">
        <x:f>IF(N50&gt;0,"Renegotiate terms","Maintain")</x:f>
        <x:v>Renegotiate terms</x:v>
      </x:c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 t="str">
        <x:v>AP-30050</x:v>
      </x:c>
      <x:c r="B51" s="3" t="str">
        <x:v>Delta Telecom</x:v>
      </x:c>
      <x:c r="C51" s="3" t="str">
        <x:v>Utilities</x:v>
      </x:c>
      <x:c r="D51" s="3" t="str">
        <x:v>Chicago</x:v>
      </x:c>
      <x:c r="E51" s="3" t="n">
        <x:v>46114</x:v>
      </x:c>
      <x:c r="F51" s="3" t="n">
        <x:v>30</x:v>
      </x:c>
      <x:c r="G51" s="3" t="n">
        <x:v>46144</x:v>
      </x:c>
      <x:c r="H51" s="3" t="n">
        <x:v>367958</x:v>
      </x:c>
      <x:c r="I51" s="3" t="n">
        <x:v>183979</x:v>
      </x:c>
      <x:c r="J51" s="3" t="str">
        <x:v>No</x:v>
      </x:c>
      <x:c r="K51" s="3" t="str">
        <x:v>No</x:v>
      </x:c>
      <x:c r="L51" s="3" t="n">
        <x:f>G51-TODAY()</x:f>
        <x:v>-1</x:v>
      </x:c>
      <x:c r="M51" s="3" t="n">
        <x:f>IF(J51="Yes",F51,IF(K51="Yes",MAX(F51,45),MAX(F51,60)))</x:f>
        <x:v>60</x:v>
      </x:c>
      <x:c r="N51" s="3" t="n">
        <x:f>MAX(M51-F51,0)</x:f>
        <x:v>30</x:v>
      </x:c>
      <x:c r="O51" s="3" t="n">
        <x:f>I51*N51/365</x:f>
        <x:v>15121.561643835616</x:v>
      </x:c>
      <x:c r="P51" s="3" t="str">
        <x:f>IF(N51&gt;0,"Renegotiate terms","Maintain")</x:f>
        <x:v>Renegotiate terms</x:v>
      </x:c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 t="str">
        <x:v>AP-30051</x:v>
      </x:c>
      <x:c r="B52" s="3" t="str">
        <x:v>Vertex Warehousing</x:v>
      </x:c>
      <x:c r="C52" s="3" t="str">
        <x:v>Professional Services</x:v>
      </x:c>
      <x:c r="D52" s="3" t="str">
        <x:v>Columbus</x:v>
      </x:c>
      <x:c r="E52" s="3" t="n">
        <x:v>46071</x:v>
      </x:c>
      <x:c r="F52" s="3" t="n">
        <x:v>15</x:v>
      </x:c>
      <x:c r="G52" s="3" t="n">
        <x:v>46086</x:v>
      </x:c>
      <x:c r="H52" s="3" t="n">
        <x:v>99033</x:v>
      </x:c>
      <x:c r="I52" s="3" t="n">
        <x:v>74275</x:v>
      </x:c>
      <x:c r="J52" s="3" t="str">
        <x:v>Yes</x:v>
      </x:c>
      <x:c r="K52" s="3" t="str">
        <x:v>Yes</x:v>
      </x:c>
      <x:c r="L52" s="3" t="n">
        <x:f>G52-TODAY()</x:f>
        <x:v>-59</x:v>
      </x:c>
      <x:c r="M52" s="3" t="n">
        <x:f>IF(J52="Yes",F52,IF(K52="Yes",MAX(F52,45),MAX(F52,60)))</x:f>
        <x:v>15</x:v>
      </x:c>
      <x:c r="N52" s="3" t="n">
        <x:f>MAX(M52-F52,0)</x:f>
        <x:v>0</x:v>
      </x:c>
      <x:c r="O52" s="3" t="n">
        <x:f>I52*N52/365</x:f>
        <x:v>0</x:v>
      </x:c>
      <x:c r="P52" s="3" t="str">
        <x:f>IF(N52&gt;0,"Renegotiate terms","Maintain")</x:f>
        <x:v>Maintain</x:v>
      </x:c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 t="str">
        <x:v>AP-30052</x:v>
      </x:c>
      <x:c r="B53" s="3" t="str">
        <x:v>Edge IT Services</x:v>
      </x:c>
      <x:c r="C53" s="3" t="str">
        <x:v>Insurance</x:v>
      </x:c>
      <x:c r="D53" s="3" t="str">
        <x:v>Chicago</x:v>
      </x:c>
      <x:c r="E53" s="3" t="n">
        <x:v>46105</x:v>
      </x:c>
      <x:c r="F53" s="3" t="n">
        <x:v>30</x:v>
      </x:c>
      <x:c r="G53" s="3" t="n">
        <x:v>46135</x:v>
      </x:c>
      <x:c r="H53" s="3" t="n">
        <x:v>300676</x:v>
      </x:c>
      <x:c r="I53" s="3" t="n">
        <x:v>300676</x:v>
      </x:c>
      <x:c r="J53" s="3" t="str">
        <x:v>No</x:v>
      </x:c>
      <x:c r="K53" s="3" t="str">
        <x:v>No</x:v>
      </x:c>
      <x:c r="L53" s="3" t="n">
        <x:f>G53-TODAY()</x:f>
        <x:v>-10</x:v>
      </x:c>
      <x:c r="M53" s="3" t="n">
        <x:f>IF(J53="Yes",F53,IF(K53="Yes",MAX(F53,45),MAX(F53,60)))</x:f>
        <x:v>60</x:v>
      </x:c>
      <x:c r="N53" s="3" t="n">
        <x:f>MAX(M53-F53,0)</x:f>
        <x:v>30</x:v>
      </x:c>
      <x:c r="O53" s="3" t="n">
        <x:f>I53*N53/365</x:f>
        <x:v>24713.095890410958</x:v>
      </x:c>
      <x:c r="P53" s="3" t="str">
        <x:f>IF(N53&gt;0,"Renegotiate terms","Maintain")</x:f>
        <x:v>Renegotiate terms</x:v>
      </x:c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 t="str">
        <x:v>AP-30053</x:v>
      </x:c>
      <x:c r="B54" s="3" t="str">
        <x:v>Vertex Warehousing</x:v>
      </x:c>
      <x:c r="C54" s="3" t="str">
        <x:v>Utilities</x:v>
      </x:c>
      <x:c r="D54" s="3" t="str">
        <x:v>Atlanta</x:v>
      </x:c>
      <x:c r="E54" s="3" t="n">
        <x:v>46094</x:v>
      </x:c>
      <x:c r="F54" s="3" t="n">
        <x:v>30</x:v>
      </x:c>
      <x:c r="G54" s="3" t="n">
        <x:v>46124</x:v>
      </x:c>
      <x:c r="H54" s="3" t="n">
        <x:v>366397</x:v>
      </x:c>
      <x:c r="I54" s="3" t="n">
        <x:v>366397</x:v>
      </x:c>
      <x:c r="J54" s="3" t="str">
        <x:v>No</x:v>
      </x:c>
      <x:c r="K54" s="3" t="str">
        <x:v>No</x:v>
      </x:c>
      <x:c r="L54" s="3" t="n">
        <x:f>G54-TODAY()</x:f>
        <x:v>-21</x:v>
      </x:c>
      <x:c r="M54" s="3" t="n">
        <x:f>IF(J54="Yes",F54,IF(K54="Yes",MAX(F54,45),MAX(F54,60)))</x:f>
        <x:v>60</x:v>
      </x:c>
      <x:c r="N54" s="3" t="n">
        <x:f>MAX(M54-F54,0)</x:f>
        <x:v>30</x:v>
      </x:c>
      <x:c r="O54" s="3" t="n">
        <x:f>I54*N54/365</x:f>
        <x:v>30114.821917808218</x:v>
      </x:c>
      <x:c r="P54" s="3" t="str">
        <x:f>IF(N54&gt;0,"Renegotiate terms","Maintain")</x:f>
        <x:v>Renegotiate terms</x:v>
      </x:c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 t="str">
        <x:v>AP-30054</x:v>
      </x:c>
      <x:c r="B55" s="3" t="str">
        <x:v>BlueSteel Materials</x:v>
      </x:c>
      <x:c r="C55" s="3" t="str">
        <x:v>Raw Materials</x:v>
      </x:c>
      <x:c r="D55" s="3" t="str">
        <x:v>Phoenix</x:v>
      </x:c>
      <x:c r="E55" s="3" t="n">
        <x:v>46114</x:v>
      </x:c>
      <x:c r="F55" s="3" t="n">
        <x:v>15</x:v>
      </x:c>
      <x:c r="G55" s="3" t="n">
        <x:v>46129</x:v>
      </x:c>
      <x:c r="H55" s="3" t="n">
        <x:v>183568</x:v>
      </x:c>
      <x:c r="I55" s="3" t="n">
        <x:v>91784</x:v>
      </x:c>
      <x:c r="J55" s="3" t="str">
        <x:v>No</x:v>
      </x:c>
      <x:c r="K55" s="3" t="str">
        <x:v>Yes</x:v>
      </x:c>
      <x:c r="L55" s="3" t="n">
        <x:f>G55-TODAY()</x:f>
        <x:v>-16</x:v>
      </x:c>
      <x:c r="M55" s="3" t="n">
        <x:f>IF(J55="Yes",F55,IF(K55="Yes",MAX(F55,45),MAX(F55,60)))</x:f>
        <x:v>45</x:v>
      </x:c>
      <x:c r="N55" s="3" t="n">
        <x:f>MAX(M55-F55,0)</x:f>
        <x:v>30</x:v>
      </x:c>
      <x:c r="O55" s="3" t="n">
        <x:f>I55*N55/365</x:f>
        <x:v>7543.890410958904</x:v>
      </x:c>
      <x:c r="P55" s="3" t="str">
        <x:f>IF(N55&gt;0,"Renegotiate terms","Maintain")</x:f>
        <x:v>Renegotiate terms</x:v>
      </x:c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 t="str">
        <x:v>AP-30055</x:v>
      </x:c>
      <x:c r="B56" s="3" t="str">
        <x:v>United Components</x:v>
      </x:c>
      <x:c r="C56" s="3" t="str">
        <x:v>Professional Services</x:v>
      </x:c>
      <x:c r="D56" s="3" t="str">
        <x:v>Phoenix</x:v>
      </x:c>
      <x:c r="E56" s="3" t="n">
        <x:v>46081</x:v>
      </x:c>
      <x:c r="F56" s="3" t="n">
        <x:v>30</x:v>
      </x:c>
      <x:c r="G56" s="3" t="n">
        <x:v>46111</x:v>
      </x:c>
      <x:c r="H56" s="3" t="n">
        <x:v>191547</x:v>
      </x:c>
      <x:c r="I56" s="3" t="n">
        <x:v>95774</x:v>
      </x:c>
      <x:c r="J56" s="3" t="str">
        <x:v>No</x:v>
      </x:c>
      <x:c r="K56" s="3" t="str">
        <x:v>No</x:v>
      </x:c>
      <x:c r="L56" s="3" t="n">
        <x:f>G56-TODAY()</x:f>
        <x:v>-34</x:v>
      </x:c>
      <x:c r="M56" s="3" t="n">
        <x:f>IF(J56="Yes",F56,IF(K56="Yes",MAX(F56,45),MAX(F56,60)))</x:f>
        <x:v>60</x:v>
      </x:c>
      <x:c r="N56" s="3" t="n">
        <x:f>MAX(M56-F56,0)</x:f>
        <x:v>30</x:v>
      </x:c>
      <x:c r="O56" s="3" t="n">
        <x:f>I56*N56/365</x:f>
        <x:v>7871.835616438356</x:v>
      </x:c>
      <x:c r="P56" s="3" t="str">
        <x:f>IF(N56&gt;0,"Renegotiate terms","Maintain")</x:f>
        <x:v>Renegotiate terms</x:v>
      </x:c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 t="str">
        <x:v>AP-30056</x:v>
      </x:c>
      <x:c r="B57" s="3" t="str">
        <x:v>Vertex Warehousing</x:v>
      </x:c>
      <x:c r="C57" s="3" t="str">
        <x:v>Insurance</x:v>
      </x:c>
      <x:c r="D57" s="3" t="str">
        <x:v>Chicago</x:v>
      </x:c>
      <x:c r="E57" s="3" t="n">
        <x:v>46106</x:v>
      </x:c>
      <x:c r="F57" s="3" t="n">
        <x:v>30</x:v>
      </x:c>
      <x:c r="G57" s="3" t="n">
        <x:v>46136</x:v>
      </x:c>
      <x:c r="H57" s="3" t="n">
        <x:v>43538</x:v>
      </x:c>
      <x:c r="I57" s="3" t="n">
        <x:v>43538</x:v>
      </x:c>
      <x:c r="J57" s="3" t="str">
        <x:v>No</x:v>
      </x:c>
      <x:c r="K57" s="3" t="str">
        <x:v>Yes</x:v>
      </x:c>
      <x:c r="L57" s="3" t="n">
        <x:f>G57-TODAY()</x:f>
        <x:v>-9</x:v>
      </x:c>
      <x:c r="M57" s="3" t="n">
        <x:f>IF(J57="Yes",F57,IF(K57="Yes",MAX(F57,45),MAX(F57,60)))</x:f>
        <x:v>45</x:v>
      </x:c>
      <x:c r="N57" s="3" t="n">
        <x:f>MAX(M57-F57,0)</x:f>
        <x:v>15</x:v>
      </x:c>
      <x:c r="O57" s="3" t="n">
        <x:f>I57*N57/365</x:f>
        <x:v>1789.2328767123288</x:v>
      </x:c>
      <x:c r="P57" s="3" t="str">
        <x:f>IF(N57&gt;0,"Renegotiate terms","Maintain")</x:f>
        <x:v>Renegotiate terms</x:v>
      </x:c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 t="str">
        <x:v>AP-30057</x:v>
      </x:c>
      <x:c r="B58" s="3" t="str">
        <x:v>United Components</x:v>
      </x:c>
      <x:c r="C58" s="3" t="str">
        <x:v>Packaging</x:v>
      </x:c>
      <x:c r="D58" s="3" t="str">
        <x:v>Nashville</x:v>
      </x:c>
      <x:c r="E58" s="3" t="n">
        <x:v>46094</x:v>
      </x:c>
      <x:c r="F58" s="3" t="n">
        <x:v>30</x:v>
      </x:c>
      <x:c r="G58" s="3" t="n">
        <x:v>46124</x:v>
      </x:c>
      <x:c r="H58" s="3" t="n">
        <x:v>194110</x:v>
      </x:c>
      <x:c r="I58" s="3" t="n">
        <x:v>194110</x:v>
      </x:c>
      <x:c r="J58" s="3" t="str">
        <x:v>Yes</x:v>
      </x:c>
      <x:c r="K58" s="3" t="str">
        <x:v>No</x:v>
      </x:c>
      <x:c r="L58" s="3" t="n">
        <x:f>G58-TODAY()</x:f>
        <x:v>-21</x:v>
      </x:c>
      <x:c r="M58" s="3" t="n">
        <x:f>IF(J58="Yes",F58,IF(K58="Yes",MAX(F58,45),MAX(F58,60)))</x:f>
        <x:v>30</x:v>
      </x:c>
      <x:c r="N58" s="3" t="n">
        <x:f>MAX(M58-F58,0)</x:f>
        <x:v>0</x:v>
      </x:c>
      <x:c r="O58" s="3" t="n">
        <x:f>I58*N58/365</x:f>
        <x:v>0</x:v>
      </x:c>
      <x:c r="P58" s="3" t="str">
        <x:f>IF(N58&gt;0,"Renegotiate terms","Maintain")</x:f>
        <x:v>Maintain</x:v>
      </x:c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 t="str">
        <x:v>AP-30058</x:v>
      </x:c>
      <x:c r="B59" s="3" t="str">
        <x:v>Omega Chemicals</x:v>
      </x:c>
      <x:c r="C59" s="3" t="str">
        <x:v>Facilities</x:v>
      </x:c>
      <x:c r="D59" s="3" t="str">
        <x:v>Atlanta</x:v>
      </x:c>
      <x:c r="E59" s="3" t="n">
        <x:v>46130</x:v>
      </x:c>
      <x:c r="F59" s="3" t="n">
        <x:v>30</x:v>
      </x:c>
      <x:c r="G59" s="3" t="n">
        <x:v>46160</x:v>
      </x:c>
      <x:c r="H59" s="3" t="n">
        <x:v>50768</x:v>
      </x:c>
      <x:c r="I59" s="3" t="n">
        <x:v>50768</x:v>
      </x:c>
      <x:c r="J59" s="3" t="str">
        <x:v>No</x:v>
      </x:c>
      <x:c r="K59" s="3" t="str">
        <x:v>No</x:v>
      </x:c>
      <x:c r="L59" s="3" t="n">
        <x:f>G59-TODAY()</x:f>
        <x:v>15</x:v>
      </x:c>
      <x:c r="M59" s="3" t="n">
        <x:f>IF(J59="Yes",F59,IF(K59="Yes",MAX(F59,45),MAX(F59,60)))</x:f>
        <x:v>60</x:v>
      </x:c>
      <x:c r="N59" s="3" t="n">
        <x:f>MAX(M59-F59,0)</x:f>
        <x:v>30</x:v>
      </x:c>
      <x:c r="O59" s="3" t="n">
        <x:f>I59*N59/365</x:f>
        <x:v>4172.712328767123</x:v>
      </x:c>
      <x:c r="P59" s="3" t="str">
        <x:f>IF(N59&gt;0,"Renegotiate terms","Maintain")</x:f>
        <x:v>Renegotiate terms</x:v>
      </x:c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 t="str">
        <x:v>AP-30059</x:v>
      </x:c>
      <x:c r="B60" s="3" t="str">
        <x:v>Quantum Security</x:v>
      </x:c>
      <x:c r="C60" s="3" t="str">
        <x:v>Insurance</x:v>
      </x:c>
      <x:c r="D60" s="3" t="str">
        <x:v>Chicago</x:v>
      </x:c>
      <x:c r="E60" s="3" t="n">
        <x:v>46140</x:v>
      </x:c>
      <x:c r="F60" s="3" t="n">
        <x:v>15</x:v>
      </x:c>
      <x:c r="G60" s="3" t="n">
        <x:v>46155</x:v>
      </x:c>
      <x:c r="H60" s="3" t="n">
        <x:v>190553</x:v>
      </x:c>
      <x:c r="I60" s="3" t="n">
        <x:v>190553</x:v>
      </x:c>
      <x:c r="J60" s="3" t="str">
        <x:v>No</x:v>
      </x:c>
      <x:c r="K60" s="3" t="str">
        <x:v>No</x:v>
      </x:c>
      <x:c r="L60" s="3" t="n">
        <x:f>G60-TODAY()</x:f>
        <x:v>10</x:v>
      </x:c>
      <x:c r="M60" s="3" t="n">
        <x:f>IF(J60="Yes",F60,IF(K60="Yes",MAX(F60,45),MAX(F60,60)))</x:f>
        <x:v>60</x:v>
      </x:c>
      <x:c r="N60" s="3" t="n">
        <x:f>MAX(M60-F60,0)</x:f>
        <x:v>45</x:v>
      </x:c>
      <x:c r="O60" s="3" t="n">
        <x:f>I60*N60/365</x:f>
        <x:v>23492.835616438355</x:v>
      </x:c>
      <x:c r="P60" s="3" t="str">
        <x:f>IF(N60&gt;0,"Renegotiate terms","Maintain")</x:f>
        <x:v>Renegotiate terms</x:v>
      </x:c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 t="str">
        <x:v>AP-30060</x:v>
      </x:c>
      <x:c r="B61" s="3" t="str">
        <x:v>Metro Maintenance</x:v>
      </x:c>
      <x:c r="C61" s="3" t="str">
        <x:v>Logistics</x:v>
      </x:c>
      <x:c r="D61" s="3" t="str">
        <x:v>Atlanta</x:v>
      </x:c>
      <x:c r="E61" s="3" t="n">
        <x:v>46091</x:v>
      </x:c>
      <x:c r="F61" s="3" t="n">
        <x:v>45</x:v>
      </x:c>
      <x:c r="G61" s="3" t="n">
        <x:v>46136</x:v>
      </x:c>
      <x:c r="H61" s="3" t="n">
        <x:v>49406</x:v>
      </x:c>
      <x:c r="I61" s="3" t="n">
        <x:v>49406</x:v>
      </x:c>
      <x:c r="J61" s="3" t="str">
        <x:v>No</x:v>
      </x:c>
      <x:c r="K61" s="3" t="str">
        <x:v>Yes</x:v>
      </x:c>
      <x:c r="L61" s="3" t="n">
        <x:f>G61-TODAY()</x:f>
        <x:v>-9</x:v>
      </x:c>
      <x:c r="M61" s="3" t="n">
        <x:f>IF(J61="Yes",F61,IF(K61="Yes",MAX(F61,45),MAX(F61,60)))</x:f>
        <x:v>45</x:v>
      </x:c>
      <x:c r="N61" s="3" t="n">
        <x:f>MAX(M61-F61,0)</x:f>
        <x:v>0</x:v>
      </x:c>
      <x:c r="O61" s="3" t="n">
        <x:f>I61*N61/365</x:f>
        <x:v>0</x:v>
      </x:c>
      <x:c r="P61" s="3" t="str">
        <x:f>IF(N61&gt;0,"Renegotiate terms","Maintain")</x:f>
        <x:v>Maintain</x:v>
      </x:c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 t="str">
        <x:v>AP-30061</x:v>
      </x:c>
      <x:c r="B62" s="3" t="str">
        <x:v>Metro Maintenance</x:v>
      </x:c>
      <x:c r="C62" s="3" t="str">
        <x:v>Packaging</x:v>
      </x:c>
      <x:c r="D62" s="3" t="str">
        <x:v>Dallas</x:v>
      </x:c>
      <x:c r="E62" s="3" t="n">
        <x:v>46109</x:v>
      </x:c>
      <x:c r="F62" s="3" t="n">
        <x:v>30</x:v>
      </x:c>
      <x:c r="G62" s="3" t="n">
        <x:v>46139</x:v>
      </x:c>
      <x:c r="H62" s="3" t="n">
        <x:v>145722</x:v>
      </x:c>
      <x:c r="I62" s="3" t="n">
        <x:v>72861</x:v>
      </x:c>
      <x:c r="J62" s="3" t="str">
        <x:v>Yes</x:v>
      </x:c>
      <x:c r="K62" s="3" t="str">
        <x:v>Yes</x:v>
      </x:c>
      <x:c r="L62" s="3" t="n">
        <x:f>G62-TODAY()</x:f>
        <x:v>-6</x:v>
      </x:c>
      <x:c r="M62" s="3" t="n">
        <x:f>IF(J62="Yes",F62,IF(K62="Yes",MAX(F62,45),MAX(F62,60)))</x:f>
        <x:v>30</x:v>
      </x:c>
      <x:c r="N62" s="3" t="n">
        <x:f>MAX(M62-F62,0)</x:f>
        <x:v>0</x:v>
      </x:c>
      <x:c r="O62" s="3" t="n">
        <x:f>I62*N62/365</x:f>
        <x:v>0</x:v>
      </x:c>
      <x:c r="P62" s="3" t="str">
        <x:f>IF(N62&gt;0,"Renegotiate terms","Maintain")</x:f>
        <x:v>Maintain</x:v>
      </x:c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 t="str">
        <x:v>AP-30062</x:v>
      </x:c>
      <x:c r="B63" s="3" t="str">
        <x:v>Ironclad Metals</x:v>
      </x:c>
      <x:c r="C63" s="3" t="str">
        <x:v>Insurance</x:v>
      </x:c>
      <x:c r="D63" s="3" t="str">
        <x:v>Atlanta</x:v>
      </x:c>
      <x:c r="E63" s="3" t="n">
        <x:v>46082</x:v>
      </x:c>
      <x:c r="F63" s="3" t="n">
        <x:v>15</x:v>
      </x:c>
      <x:c r="G63" s="3" t="n">
        <x:v>46097</x:v>
      </x:c>
      <x:c r="H63" s="3" t="n">
        <x:v>194333</x:v>
      </x:c>
      <x:c r="I63" s="3" t="n">
        <x:v>145750</x:v>
      </x:c>
      <x:c r="J63" s="3" t="str">
        <x:v>No</x:v>
      </x:c>
      <x:c r="K63" s="3" t="str">
        <x:v>No</x:v>
      </x:c>
      <x:c r="L63" s="3" t="n">
        <x:f>G63-TODAY()</x:f>
        <x:v>-48</x:v>
      </x:c>
      <x:c r="M63" s="3" t="n">
        <x:f>IF(J63="Yes",F63,IF(K63="Yes",MAX(F63,45),MAX(F63,60)))</x:f>
        <x:v>60</x:v>
      </x:c>
      <x:c r="N63" s="3" t="n">
        <x:f>MAX(M63-F63,0)</x:f>
        <x:v>45</x:v>
      </x:c>
      <x:c r="O63" s="3" t="n">
        <x:f>I63*N63/365</x:f>
        <x:v>17969.178082191782</x:v>
      </x:c>
      <x:c r="P63" s="3" t="str">
        <x:f>IF(N63&gt;0,"Renegotiate terms","Maintain")</x:f>
        <x:v>Renegotiate terms</x:v>
      </x:c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 t="str">
        <x:v>AP-30063</x:v>
      </x:c>
      <x:c r="B64" s="3" t="str">
        <x:v>Pioneer Staffing</x:v>
      </x:c>
      <x:c r="C64" s="3" t="str">
        <x:v>Staffing</x:v>
      </x:c>
      <x:c r="D64" s="3" t="str">
        <x:v>Columbus</x:v>
      </x:c>
      <x:c r="E64" s="3" t="n">
        <x:v>46118</x:v>
      </x:c>
      <x:c r="F64" s="3" t="n">
        <x:v>45</x:v>
      </x:c>
      <x:c r="G64" s="3" t="n">
        <x:v>46163</x:v>
      </x:c>
      <x:c r="H64" s="3" t="n">
        <x:v>61084</x:v>
      </x:c>
      <x:c r="I64" s="3" t="n">
        <x:v>61084</x:v>
      </x:c>
      <x:c r="J64" s="3" t="str">
        <x:v>No</x:v>
      </x:c>
      <x:c r="K64" s="3" t="str">
        <x:v>No</x:v>
      </x:c>
      <x:c r="L64" s="3" t="n">
        <x:f>G64-TODAY()</x:f>
        <x:v>18</x:v>
      </x:c>
      <x:c r="M64" s="3" t="n">
        <x:f>IF(J64="Yes",F64,IF(K64="Yes",MAX(F64,45),MAX(F64,60)))</x:f>
        <x:v>60</x:v>
      </x:c>
      <x:c r="N64" s="3" t="n">
        <x:f>MAX(M64-F64,0)</x:f>
        <x:v>15</x:v>
      </x:c>
      <x:c r="O64" s="3" t="n">
        <x:f>I64*N64/365</x:f>
        <x:v>2510.301369863014</x:v>
      </x:c>
      <x:c r="P64" s="3" t="str">
        <x:f>IF(N64&gt;0,"Renegotiate terms","Maintain")</x:f>
        <x:v>Renegotiate terms</x:v>
      </x:c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 t="str">
        <x:v>AP-30064</x:v>
      </x:c>
      <x:c r="B65" s="3" t="str">
        <x:v>Kappa Office Supply</x:v>
      </x:c>
      <x:c r="C65" s="3" t="str">
        <x:v>Staffing</x:v>
      </x:c>
      <x:c r="D65" s="3" t="str">
        <x:v>Phoenix</x:v>
      </x:c>
      <x:c r="E65" s="3" t="n">
        <x:v>46101</x:v>
      </x:c>
      <x:c r="F65" s="3" t="n">
        <x:v>45</x:v>
      </x:c>
      <x:c r="G65" s="3" t="n">
        <x:v>46146</x:v>
      </x:c>
      <x:c r="H65" s="3" t="n">
        <x:v>180498</x:v>
      </x:c>
      <x:c r="I65" s="3" t="n">
        <x:v>90249</x:v>
      </x:c>
      <x:c r="J65" s="3" t="str">
        <x:v>No</x:v>
      </x:c>
      <x:c r="K65" s="3" t="str">
        <x:v>No</x:v>
      </x:c>
      <x:c r="L65" s="3" t="n">
        <x:f>G65-TODAY()</x:f>
        <x:v>1</x:v>
      </x:c>
      <x:c r="M65" s="3" t="n">
        <x:f>IF(J65="Yes",F65,IF(K65="Yes",MAX(F65,45),MAX(F65,60)))</x:f>
        <x:v>60</x:v>
      </x:c>
      <x:c r="N65" s="3" t="n">
        <x:f>MAX(M65-F65,0)</x:f>
        <x:v>15</x:v>
      </x:c>
      <x:c r="O65" s="3" t="n">
        <x:f>I65*N65/365</x:f>
        <x:v>3708.8630136986303</x:v>
      </x:c>
      <x:c r="P65" s="3" t="str">
        <x:f>IF(N65&gt;0,"Renegotiate terms","Maintain")</x:f>
        <x:v>Renegotiate terms</x:v>
      </x:c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 t="str">
        <x:v>AP-30065</x:v>
      </x:c>
      <x:c r="B66" s="3" t="str">
        <x:v>Titan Equipment</x:v>
      </x:c>
      <x:c r="C66" s="3" t="str">
        <x:v>Packaging</x:v>
      </x:c>
      <x:c r="D66" s="3" t="str">
        <x:v>Atlanta</x:v>
      </x:c>
      <x:c r="E66" s="3" t="n">
        <x:v>46102</x:v>
      </x:c>
      <x:c r="F66" s="3" t="n">
        <x:v>60</x:v>
      </x:c>
      <x:c r="G66" s="3" t="n">
        <x:v>46162</x:v>
      </x:c>
      <x:c r="H66" s="3" t="n">
        <x:v>369533</x:v>
      </x:c>
      <x:c r="I66" s="3" t="n">
        <x:v>369533</x:v>
      </x:c>
      <x:c r="J66" s="3" t="str">
        <x:v>No</x:v>
      </x:c>
      <x:c r="K66" s="3" t="str">
        <x:v>Yes</x:v>
      </x:c>
      <x:c r="L66" s="3" t="n">
        <x:f>G66-TODAY()</x:f>
        <x:v>17</x:v>
      </x:c>
      <x:c r="M66" s="3" t="n">
        <x:f>IF(J66="Yes",F66,IF(K66="Yes",MAX(F66,45),MAX(F66,60)))</x:f>
        <x:v>60</x:v>
      </x:c>
      <x:c r="N66" s="3" t="n">
        <x:f>MAX(M66-F66,0)</x:f>
        <x:v>0</x:v>
      </x:c>
      <x:c r="O66" s="3" t="n">
        <x:f>I66*N66/365</x:f>
        <x:v>0</x:v>
      </x:c>
      <x:c r="P66" s="3" t="str">
        <x:f>IF(N66&gt;0,"Renegotiate terms","Maintain")</x:f>
        <x:v>Maintain</x:v>
      </x:c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 t="str">
        <x:v>AP-30066</x:v>
      </x:c>
      <x:c r="B67" s="3" t="str">
        <x:v>Metro Maintenance</x:v>
      </x:c>
      <x:c r="C67" s="3" t="str">
        <x:v>Facilities</x:v>
      </x:c>
      <x:c r="D67" s="3" t="str">
        <x:v>Atlanta</x:v>
      </x:c>
      <x:c r="E67" s="3" t="n">
        <x:v>46081</x:v>
      </x:c>
      <x:c r="F67" s="3" t="n">
        <x:v>60</x:v>
      </x:c>
      <x:c r="G67" s="3" t="n">
        <x:v>46141</x:v>
      </x:c>
      <x:c r="H67" s="3" t="n">
        <x:v>132100</x:v>
      </x:c>
      <x:c r="I67" s="3" t="n">
        <x:v>99075</x:v>
      </x:c>
      <x:c r="J67" s="3" t="str">
        <x:v>No</x:v>
      </x:c>
      <x:c r="K67" s="3" t="str">
        <x:v>No</x:v>
      </x:c>
      <x:c r="L67" s="3" t="n">
        <x:f>G67-TODAY()</x:f>
        <x:v>-4</x:v>
      </x:c>
      <x:c r="M67" s="3" t="n">
        <x:f>IF(J67="Yes",F67,IF(K67="Yes",MAX(F67,45),MAX(F67,60)))</x:f>
        <x:v>60</x:v>
      </x:c>
      <x:c r="N67" s="3" t="n">
        <x:f>MAX(M67-F67,0)</x:f>
        <x:v>0</x:v>
      </x:c>
      <x:c r="O67" s="3" t="n">
        <x:f>I67*N67/365</x:f>
        <x:v>0</x:v>
      </x:c>
      <x:c r="P67" s="3" t="str">
        <x:f>IF(N67&gt;0,"Renegotiate terms","Maintain")</x:f>
        <x:v>Maintain</x:v>
      </x:c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 t="str">
        <x:v>AP-30067</x:v>
      </x:c>
      <x:c r="B68" s="3" t="str">
        <x:v>Metro Maintenance</x:v>
      </x:c>
      <x:c r="C68" s="3" t="str">
        <x:v>Facilities</x:v>
      </x:c>
      <x:c r="D68" s="3" t="str">
        <x:v>Chicago</x:v>
      </x:c>
      <x:c r="E68" s="3" t="n">
        <x:v>46071</x:v>
      </x:c>
      <x:c r="F68" s="3" t="n">
        <x:v>30</x:v>
      </x:c>
      <x:c r="G68" s="3" t="n">
        <x:v>46101</x:v>
      </x:c>
      <x:c r="H68" s="3" t="n">
        <x:v>315497</x:v>
      </x:c>
      <x:c r="I68" s="3" t="n">
        <x:v>315497</x:v>
      </x:c>
      <x:c r="J68" s="3" t="str">
        <x:v>No</x:v>
      </x:c>
      <x:c r="K68" s="3" t="str">
        <x:v>No</x:v>
      </x:c>
      <x:c r="L68" s="3" t="n">
        <x:f>G68-TODAY()</x:f>
        <x:v>-44</x:v>
      </x:c>
      <x:c r="M68" s="3" t="n">
        <x:f>IF(J68="Yes",F68,IF(K68="Yes",MAX(F68,45),MAX(F68,60)))</x:f>
        <x:v>60</x:v>
      </x:c>
      <x:c r="N68" s="3" t="n">
        <x:f>MAX(M68-F68,0)</x:f>
        <x:v>30</x:v>
      </x:c>
      <x:c r="O68" s="3" t="n">
        <x:f>I68*N68/365</x:f>
        <x:v>25931.260273972603</x:v>
      </x:c>
      <x:c r="P68" s="3" t="str">
        <x:f>IF(N68&gt;0,"Renegotiate terms","Maintain")</x:f>
        <x:v>Renegotiate terms</x:v>
      </x:c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 t="str">
        <x:v>AP-30068</x:v>
      </x:c>
      <x:c r="B69" s="3" t="str">
        <x:v>Zenith Services</x:v>
      </x:c>
      <x:c r="C69" s="3" t="str">
        <x:v>Maintenance</x:v>
      </x:c>
      <x:c r="D69" s="3" t="str">
        <x:v>Nashville</x:v>
      </x:c>
      <x:c r="E69" s="3" t="n">
        <x:v>46117</x:v>
      </x:c>
      <x:c r="F69" s="3" t="n">
        <x:v>45</x:v>
      </x:c>
      <x:c r="G69" s="3" t="n">
        <x:v>46162</x:v>
      </x:c>
      <x:c r="H69" s="3" t="n">
        <x:v>157741</x:v>
      </x:c>
      <x:c r="I69" s="3" t="n">
        <x:v>157741</x:v>
      </x:c>
      <x:c r="J69" s="3" t="str">
        <x:v>No</x:v>
      </x:c>
      <x:c r="K69" s="3" t="str">
        <x:v>No</x:v>
      </x:c>
      <x:c r="L69" s="3" t="n">
        <x:f>G69-TODAY()</x:f>
        <x:v>17</x:v>
      </x:c>
      <x:c r="M69" s="3" t="n">
        <x:f>IF(J69="Yes",F69,IF(K69="Yes",MAX(F69,45),MAX(F69,60)))</x:f>
        <x:v>60</x:v>
      </x:c>
      <x:c r="N69" s="3" t="n">
        <x:f>MAX(M69-F69,0)</x:f>
        <x:v>15</x:v>
      </x:c>
      <x:c r="O69" s="3" t="n">
        <x:f>I69*N69/365</x:f>
        <x:v>6482.506849315068</x:v>
      </x:c>
      <x:c r="P69" s="3" t="str">
        <x:f>IF(N69&gt;0,"Renegotiate terms","Maintain")</x:f>
        <x:v>Renegotiate terms</x:v>
      </x:c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 t="str">
        <x:v>AP-30069</x:v>
      </x:c>
      <x:c r="B70" s="3" t="str">
        <x:v>Nexus Freight</x:v>
      </x:c>
      <x:c r="C70" s="3" t="str">
        <x:v>Maintenance</x:v>
      </x:c>
      <x:c r="D70" s="3" t="str">
        <x:v>Dallas</x:v>
      </x:c>
      <x:c r="E70" s="3" t="n">
        <x:v>46105</x:v>
      </x:c>
      <x:c r="F70" s="3" t="n">
        <x:v>30</x:v>
      </x:c>
      <x:c r="G70" s="3" t="n">
        <x:v>46135</x:v>
      </x:c>
      <x:c r="H70" s="3" t="n">
        <x:v>137477</x:v>
      </x:c>
      <x:c r="I70" s="3" t="n">
        <x:v>137477</x:v>
      </x:c>
      <x:c r="J70" s="3" t="str">
        <x:v>No</x:v>
      </x:c>
      <x:c r="K70" s="3" t="str">
        <x:v>No</x:v>
      </x:c>
      <x:c r="L70" s="3" t="n">
        <x:f>G70-TODAY()</x:f>
        <x:v>-10</x:v>
      </x:c>
      <x:c r="M70" s="3" t="n">
        <x:f>IF(J70="Yes",F70,IF(K70="Yes",MAX(F70,45),MAX(F70,60)))</x:f>
        <x:v>60</x:v>
      </x:c>
      <x:c r="N70" s="3" t="n">
        <x:f>MAX(M70-F70,0)</x:f>
        <x:v>30</x:v>
      </x:c>
      <x:c r="O70" s="3" t="n">
        <x:f>I70*N70/365</x:f>
        <x:v>11299.479452054795</x:v>
      </x:c>
      <x:c r="P70" s="3" t="str">
        <x:f>IF(N70&gt;0,"Renegotiate terms","Maintain")</x:f>
        <x:v>Renegotiate terms</x:v>
      </x:c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 t="str">
        <x:v>AP-30070</x:v>
      </x:c>
      <x:c r="B71" s="3" t="str">
        <x:v>Central Packaging</x:v>
      </x:c>
      <x:c r="C71" s="3" t="str">
        <x:v>Maintenance</x:v>
      </x:c>
      <x:c r="D71" s="3" t="str">
        <x:v>Columbus</x:v>
      </x:c>
      <x:c r="E71" s="3" t="n">
        <x:v>46082</x:v>
      </x:c>
      <x:c r="F71" s="3" t="n">
        <x:v>60</x:v>
      </x:c>
      <x:c r="G71" s="3" t="n">
        <x:v>46142</x:v>
      </x:c>
      <x:c r="H71" s="3" t="n">
        <x:v>215137</x:v>
      </x:c>
      <x:c r="I71" s="3" t="n">
        <x:v>107568</x:v>
      </x:c>
      <x:c r="J71" s="3" t="str">
        <x:v>No</x:v>
      </x:c>
      <x:c r="K71" s="3" t="str">
        <x:v>No</x:v>
      </x:c>
      <x:c r="L71" s="3" t="n">
        <x:f>G71-TODAY()</x:f>
        <x:v>-3</x:v>
      </x:c>
      <x:c r="M71" s="3" t="n">
        <x:f>IF(J71="Yes",F71,IF(K71="Yes",MAX(F71,45),MAX(F71,60)))</x:f>
        <x:v>60</x:v>
      </x:c>
      <x:c r="N71" s="3" t="n">
        <x:f>MAX(M71-F71,0)</x:f>
        <x:v>0</x:v>
      </x:c>
      <x:c r="O71" s="3" t="n">
        <x:f>I71*N71/365</x:f>
        <x:v>0</x:v>
      </x:c>
      <x:c r="P71" s="3" t="str">
        <x:f>IF(N71&gt;0,"Renegotiate terms","Maintain")</x:f>
        <x:v>Maintain</x:v>
      </x:c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 t="str">
        <x:v>AP-30071</x:v>
      </x:c>
      <x:c r="B72" s="3" t="str">
        <x:v>Lumen Software</x:v>
      </x:c>
      <x:c r="C72" s="3" t="str">
        <x:v>Utilities</x:v>
      </x:c>
      <x:c r="D72" s="3" t="str">
        <x:v>Columbus</x:v>
      </x:c>
      <x:c r="E72" s="3" t="n">
        <x:v>46133</x:v>
      </x:c>
      <x:c r="F72" s="3" t="n">
        <x:v>15</x:v>
      </x:c>
      <x:c r="G72" s="3" t="n">
        <x:v>46148</x:v>
      </x:c>
      <x:c r="H72" s="3" t="n">
        <x:v>135144</x:v>
      </x:c>
      <x:c r="I72" s="3" t="n">
        <x:v>101358</x:v>
      </x:c>
      <x:c r="J72" s="3" t="str">
        <x:v>Yes</x:v>
      </x:c>
      <x:c r="K72" s="3" t="str">
        <x:v>No</x:v>
      </x:c>
      <x:c r="L72" s="3" t="n">
        <x:f>G72-TODAY()</x:f>
        <x:v>3</x:v>
      </x:c>
      <x:c r="M72" s="3" t="n">
        <x:f>IF(J72="Yes",F72,IF(K72="Yes",MAX(F72,45),MAX(F72,60)))</x:f>
        <x:v>15</x:v>
      </x:c>
      <x:c r="N72" s="3" t="n">
        <x:f>MAX(M72-F72,0)</x:f>
        <x:v>0</x:v>
      </x:c>
      <x:c r="O72" s="3" t="n">
        <x:f>I72*N72/365</x:f>
        <x:v>0</x:v>
      </x:c>
      <x:c r="P72" s="3" t="str">
        <x:f>IF(N72&gt;0,"Renegotiate terms","Maintain")</x:f>
        <x:v>Maintain</x:v>
      </x:c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 t="str">
        <x:v>AP-30072</x:v>
      </x:c>
      <x:c r="B73" s="3" t="str">
        <x:v>Summit Utilities</x:v>
      </x:c>
      <x:c r="C73" s="3" t="str">
        <x:v>Insurance</x:v>
      </x:c>
      <x:c r="D73" s="3" t="str">
        <x:v>Atlanta</x:v>
      </x:c>
      <x:c r="E73" s="3" t="n">
        <x:v>46088</x:v>
      </x:c>
      <x:c r="F73" s="3" t="n">
        <x:v>15</x:v>
      </x:c>
      <x:c r="G73" s="3" t="n">
        <x:v>46103</x:v>
      </x:c>
      <x:c r="H73" s="3" t="n">
        <x:v>10530</x:v>
      </x:c>
      <x:c r="I73" s="3" t="n">
        <x:v>10530</x:v>
      </x:c>
      <x:c r="J73" s="3" t="str">
        <x:v>No</x:v>
      </x:c>
      <x:c r="K73" s="3" t="str">
        <x:v>Yes</x:v>
      </x:c>
      <x:c r="L73" s="3" t="n">
        <x:f>G73-TODAY()</x:f>
        <x:v>-42</x:v>
      </x:c>
      <x:c r="M73" s="3" t="n">
        <x:f>IF(J73="Yes",F73,IF(K73="Yes",MAX(F73,45),MAX(F73,60)))</x:f>
        <x:v>45</x:v>
      </x:c>
      <x:c r="N73" s="3" t="n">
        <x:f>MAX(M73-F73,0)</x:f>
        <x:v>30</x:v>
      </x:c>
      <x:c r="O73" s="3" t="n">
        <x:f>I73*N73/365</x:f>
        <x:v>865.4794520547945</x:v>
      </x:c>
      <x:c r="P73" s="3" t="str">
        <x:f>IF(N73&gt;0,"Renegotiate terms","Maintain")</x:f>
        <x:v>Renegotiate terms</x:v>
      </x:c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 t="str">
        <x:v>AP-30073</x:v>
      </x:c>
      <x:c r="B74" s="3" t="str">
        <x:v>Quantum Security</x:v>
      </x:c>
      <x:c r="C74" s="3" t="str">
        <x:v>Utilities</x:v>
      </x:c>
      <x:c r="D74" s="3" t="str">
        <x:v>Columbus</x:v>
      </x:c>
      <x:c r="E74" s="3" t="n">
        <x:v>46070</x:v>
      </x:c>
      <x:c r="F74" s="3" t="n">
        <x:v>30</x:v>
      </x:c>
      <x:c r="G74" s="3" t="n">
        <x:v>46100</x:v>
      </x:c>
      <x:c r="H74" s="3" t="n">
        <x:v>238716</x:v>
      </x:c>
      <x:c r="I74" s="3" t="n">
        <x:v>179037</x:v>
      </x:c>
      <x:c r="J74" s="3" t="str">
        <x:v>No</x:v>
      </x:c>
      <x:c r="K74" s="3" t="str">
        <x:v>No</x:v>
      </x:c>
      <x:c r="L74" s="3" t="n">
        <x:f>G74-TODAY()</x:f>
        <x:v>-45</x:v>
      </x:c>
      <x:c r="M74" s="3" t="n">
        <x:f>IF(J74="Yes",F74,IF(K74="Yes",MAX(F74,45),MAX(F74,60)))</x:f>
        <x:v>60</x:v>
      </x:c>
      <x:c r="N74" s="3" t="n">
        <x:f>MAX(M74-F74,0)</x:f>
        <x:v>30</x:v>
      </x:c>
      <x:c r="O74" s="3" t="n">
        <x:f>I74*N74/365</x:f>
        <x:v>14715.369863013699</x:v>
      </x:c>
      <x:c r="P74" s="3" t="str">
        <x:f>IF(N74&gt;0,"Renegotiate terms","Maintain")</x:f>
        <x:v>Renegotiate terms</x:v>
      </x:c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 t="str">
        <x:v>AP-30074</x:v>
      </x:c>
      <x:c r="B75" s="3" t="str">
        <x:v>Summit Utilities</x:v>
      </x:c>
      <x:c r="C75" s="3" t="str">
        <x:v>Utilities</x:v>
      </x:c>
      <x:c r="D75" s="3" t="str">
        <x:v>Dallas</x:v>
      </x:c>
      <x:c r="E75" s="3" t="n">
        <x:v>46099</x:v>
      </x:c>
      <x:c r="F75" s="3" t="n">
        <x:v>15</x:v>
      </x:c>
      <x:c r="G75" s="3" t="n">
        <x:v>46114</x:v>
      </x:c>
      <x:c r="H75" s="3" t="n">
        <x:v>258111</x:v>
      </x:c>
      <x:c r="I75" s="3" t="n">
        <x:v>258111</x:v>
      </x:c>
      <x:c r="J75" s="3" t="str">
        <x:v>No</x:v>
      </x:c>
      <x:c r="K75" s="3" t="str">
        <x:v>No</x:v>
      </x:c>
      <x:c r="L75" s="3" t="n">
        <x:f>G75-TODAY()</x:f>
        <x:v>-31</x:v>
      </x:c>
      <x:c r="M75" s="3" t="n">
        <x:f>IF(J75="Yes",F75,IF(K75="Yes",MAX(F75,45),MAX(F75,60)))</x:f>
        <x:v>60</x:v>
      </x:c>
      <x:c r="N75" s="3" t="n">
        <x:f>MAX(M75-F75,0)</x:f>
        <x:v>45</x:v>
      </x:c>
      <x:c r="O75" s="3" t="n">
        <x:f>I75*N75/365</x:f>
        <x:v>31821.904109589042</x:v>
      </x:c>
      <x:c r="P75" s="3" t="str">
        <x:f>IF(N75&gt;0,"Renegotiate terms","Maintain")</x:f>
        <x:v>Renegotiate terms</x:v>
      </x:c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 t="str">
        <x:v>AP-30075</x:v>
      </x:c>
      <x:c r="B76" s="3" t="str">
        <x:v>Central Packaging</x:v>
      </x:c>
      <x:c r="C76" s="3" t="str">
        <x:v>Raw Materials</x:v>
      </x:c>
      <x:c r="D76" s="3" t="str">
        <x:v>Nashville</x:v>
      </x:c>
      <x:c r="E76" s="3" t="n">
        <x:v>46125</x:v>
      </x:c>
      <x:c r="F76" s="3" t="n">
        <x:v>30</x:v>
      </x:c>
      <x:c r="G76" s="3" t="n">
        <x:v>46155</x:v>
      </x:c>
      <x:c r="H76" s="3" t="n">
        <x:v>168520</x:v>
      </x:c>
      <x:c r="I76" s="3" t="n">
        <x:v>126390</x:v>
      </x:c>
      <x:c r="J76" s="3" t="str">
        <x:v>No</x:v>
      </x:c>
      <x:c r="K76" s="3" t="str">
        <x:v>Yes</x:v>
      </x:c>
      <x:c r="L76" s="3" t="n">
        <x:f>G76-TODAY()</x:f>
        <x:v>10</x:v>
      </x:c>
      <x:c r="M76" s="3" t="n">
        <x:f>IF(J76="Yes",F76,IF(K76="Yes",MAX(F76,45),MAX(F76,60)))</x:f>
        <x:v>45</x:v>
      </x:c>
      <x:c r="N76" s="3" t="n">
        <x:f>MAX(M76-F76,0)</x:f>
        <x:v>15</x:v>
      </x:c>
      <x:c r="O76" s="3" t="n">
        <x:f>I76*N76/365</x:f>
        <x:v>5194.109589041096</x:v>
      </x:c>
      <x:c r="P76" s="3" t="str">
        <x:f>IF(N76&gt;0,"Renegotiate terms","Maintain")</x:f>
        <x:v>Renegotiate terms</x:v>
      </x:c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 t="str">
        <x:v>AP-30076</x:v>
      </x:c>
      <x:c r="B77" s="3" t="str">
        <x:v>Pioneer Staffing</x:v>
      </x:c>
      <x:c r="C77" s="3" t="str">
        <x:v>Facilities</x:v>
      </x:c>
      <x:c r="D77" s="3" t="str">
        <x:v>Phoenix</x:v>
      </x:c>
      <x:c r="E77" s="3" t="n">
        <x:v>46131</x:v>
      </x:c>
      <x:c r="F77" s="3" t="n">
        <x:v>45</x:v>
      </x:c>
      <x:c r="G77" s="3" t="n">
        <x:v>46176</x:v>
      </x:c>
      <x:c r="H77" s="3" t="n">
        <x:v>370304</x:v>
      </x:c>
      <x:c r="I77" s="3" t="n">
        <x:v>185152</x:v>
      </x:c>
      <x:c r="J77" s="3" t="str">
        <x:v>No</x:v>
      </x:c>
      <x:c r="K77" s="3" t="str">
        <x:v>Yes</x:v>
      </x:c>
      <x:c r="L77" s="3" t="n">
        <x:f>G77-TODAY()</x:f>
        <x:v>31</x:v>
      </x:c>
      <x:c r="M77" s="3" t="n">
        <x:f>IF(J77="Yes",F77,IF(K77="Yes",MAX(F77,45),MAX(F77,60)))</x:f>
        <x:v>45</x:v>
      </x:c>
      <x:c r="N77" s="3" t="n">
        <x:f>MAX(M77-F77,0)</x:f>
        <x:v>0</x:v>
      </x:c>
      <x:c r="O77" s="3" t="n">
        <x:f>I77*N77/365</x:f>
        <x:v>0</x:v>
      </x:c>
      <x:c r="P77" s="3" t="str">
        <x:f>IF(N77&gt;0,"Renegotiate terms","Maintain")</x:f>
        <x:v>Maintain</x:v>
      </x:c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 t="str">
        <x:v>AP-30077</x:v>
      </x:c>
      <x:c r="B78" s="3" t="str">
        <x:v>Westfield Parts</x:v>
      </x:c>
      <x:c r="C78" s="3" t="str">
        <x:v>Raw Materials</x:v>
      </x:c>
      <x:c r="D78" s="3" t="str">
        <x:v>Chicago</x:v>
      </x:c>
      <x:c r="E78" s="3" t="n">
        <x:v>46100</x:v>
      </x:c>
      <x:c r="F78" s="3" t="n">
        <x:v>15</x:v>
      </x:c>
      <x:c r="G78" s="3" t="n">
        <x:v>46115</x:v>
      </x:c>
      <x:c r="H78" s="3" t="n">
        <x:v>360016</x:v>
      </x:c>
      <x:c r="I78" s="3" t="n">
        <x:v>360016</x:v>
      </x:c>
      <x:c r="J78" s="3" t="str">
        <x:v>No</x:v>
      </x:c>
      <x:c r="K78" s="3" t="str">
        <x:v>No</x:v>
      </x:c>
      <x:c r="L78" s="3" t="n">
        <x:f>G78-TODAY()</x:f>
        <x:v>-30</x:v>
      </x:c>
      <x:c r="M78" s="3" t="n">
        <x:f>IF(J78="Yes",F78,IF(K78="Yes",MAX(F78,45),MAX(F78,60)))</x:f>
        <x:v>60</x:v>
      </x:c>
      <x:c r="N78" s="3" t="n">
        <x:f>MAX(M78-F78,0)</x:f>
        <x:v>45</x:v>
      </x:c>
      <x:c r="O78" s="3" t="n">
        <x:f>I78*N78/365</x:f>
        <x:v>44385.53424657534</x:v>
      </x:c>
      <x:c r="P78" s="3" t="str">
        <x:f>IF(N78&gt;0,"Renegotiate terms","Maintain")</x:f>
        <x:v>Renegotiate terms</x:v>
      </x:c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 t="str">
        <x:v>AP-30078</x:v>
      </x:c>
      <x:c r="B79" s="3" t="str">
        <x:v>Quantum Security</x:v>
      </x:c>
      <x:c r="C79" s="3" t="str">
        <x:v>Packaging</x:v>
      </x:c>
      <x:c r="D79" s="3" t="str">
        <x:v>Columbus</x:v>
      </x:c>
      <x:c r="E79" s="3" t="n">
        <x:v>46123</x:v>
      </x:c>
      <x:c r="F79" s="3" t="n">
        <x:v>30</x:v>
      </x:c>
      <x:c r="G79" s="3" t="n">
        <x:v>46153</x:v>
      </x:c>
      <x:c r="H79" s="3" t="n">
        <x:v>298522</x:v>
      </x:c>
      <x:c r="I79" s="3" t="n">
        <x:v>149261</x:v>
      </x:c>
      <x:c r="J79" s="3" t="str">
        <x:v>No</x:v>
      </x:c>
      <x:c r="K79" s="3" t="str">
        <x:v>Yes</x:v>
      </x:c>
      <x:c r="L79" s="3" t="n">
        <x:f>G79-TODAY()</x:f>
        <x:v>8</x:v>
      </x:c>
      <x:c r="M79" s="3" t="n">
        <x:f>IF(J79="Yes",F79,IF(K79="Yes",MAX(F79,45),MAX(F79,60)))</x:f>
        <x:v>45</x:v>
      </x:c>
      <x:c r="N79" s="3" t="n">
        <x:f>MAX(M79-F79,0)</x:f>
        <x:v>15</x:v>
      </x:c>
      <x:c r="O79" s="3" t="n">
        <x:f>I79*N79/365</x:f>
        <x:v>6134.013698630137</x:v>
      </x:c>
      <x:c r="P79" s="3" t="str">
        <x:f>IF(N79&gt;0,"Renegotiate terms","Maintain")</x:f>
        <x:v>Renegotiate terms</x:v>
      </x:c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 t="str">
        <x:v>AP-30079</x:v>
      </x:c>
      <x:c r="B80" s="3" t="str">
        <x:v>Metro Maintenance</x:v>
      </x:c>
      <x:c r="C80" s="3" t="str">
        <x:v>Packaging</x:v>
      </x:c>
      <x:c r="D80" s="3" t="str">
        <x:v>Dallas</x:v>
      </x:c>
      <x:c r="E80" s="3" t="n">
        <x:v>46088</x:v>
      </x:c>
      <x:c r="F80" s="3" t="n">
        <x:v>45</x:v>
      </x:c>
      <x:c r="G80" s="3" t="n">
        <x:v>46133</x:v>
      </x:c>
      <x:c r="H80" s="3" t="n">
        <x:v>20305</x:v>
      </x:c>
      <x:c r="I80" s="3" t="n">
        <x:v>20305</x:v>
      </x:c>
      <x:c r="J80" s="3" t="str">
        <x:v>No</x:v>
      </x:c>
      <x:c r="K80" s="3" t="str">
        <x:v>Yes</x:v>
      </x:c>
      <x:c r="L80" s="3" t="n">
        <x:f>G80-TODAY()</x:f>
        <x:v>-12</x:v>
      </x:c>
      <x:c r="M80" s="3" t="n">
        <x:f>IF(J80="Yes",F80,IF(K80="Yes",MAX(F80,45),MAX(F80,60)))</x:f>
        <x:v>45</x:v>
      </x:c>
      <x:c r="N80" s="3" t="n">
        <x:f>MAX(M80-F80,0)</x:f>
        <x:v>0</x:v>
      </x:c>
      <x:c r="O80" s="3" t="n">
        <x:f>I80*N80/365</x:f>
        <x:v>0</x:v>
      </x:c>
      <x:c r="P80" s="3" t="str">
        <x:f>IF(N80&gt;0,"Renegotiate terms","Maintain")</x:f>
        <x:v>Maintain</x:v>
      </x:c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 t="str">
        <x:v>AP-30080</x:v>
      </x:c>
      <x:c r="B81" s="3" t="str">
        <x:v>Acme Logistics</x:v>
      </x:c>
      <x:c r="C81" s="3" t="str">
        <x:v>IT / Software</x:v>
      </x:c>
      <x:c r="D81" s="3" t="str">
        <x:v>Dallas</x:v>
      </x:c>
      <x:c r="E81" s="3" t="n">
        <x:v>46108</x:v>
      </x:c>
      <x:c r="F81" s="3" t="n">
        <x:v>15</x:v>
      </x:c>
      <x:c r="G81" s="3" t="n">
        <x:v>46123</x:v>
      </x:c>
      <x:c r="H81" s="3" t="n">
        <x:v>307696</x:v>
      </x:c>
      <x:c r="I81" s="3" t="n">
        <x:v>307696</x:v>
      </x:c>
      <x:c r="J81" s="3" t="str">
        <x:v>No</x:v>
      </x:c>
      <x:c r="K81" s="3" t="str">
        <x:v>Yes</x:v>
      </x:c>
      <x:c r="L81" s="3" t="n">
        <x:f>G81-TODAY()</x:f>
        <x:v>-22</x:v>
      </x:c>
      <x:c r="M81" s="3" t="n">
        <x:f>IF(J81="Yes",F81,IF(K81="Yes",MAX(F81,45),MAX(F81,60)))</x:f>
        <x:v>45</x:v>
      </x:c>
      <x:c r="N81" s="3" t="n">
        <x:f>MAX(M81-F81,0)</x:f>
        <x:v>30</x:v>
      </x:c>
      <x:c r="O81" s="3" t="n">
        <x:f>I81*N81/365</x:f>
        <x:v>25290.08219178082</x:v>
      </x:c>
      <x:c r="P81" s="3" t="str">
        <x:f>IF(N81&gt;0,"Renegotiate terms","Maintain")</x:f>
        <x:v>Renegotiate terms</x:v>
      </x:c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 t="str">
        <x:v>AP-30081</x:v>
      </x:c>
      <x:c r="B82" s="3" t="str">
        <x:v>Lumen Software</x:v>
      </x:c>
      <x:c r="C82" s="3" t="str">
        <x:v>Facilities</x:v>
      </x:c>
      <x:c r="D82" s="3" t="str">
        <x:v>Dallas</x:v>
      </x:c>
      <x:c r="E82" s="3" t="n">
        <x:v>46085</x:v>
      </x:c>
      <x:c r="F82" s="3" t="n">
        <x:v>15</x:v>
      </x:c>
      <x:c r="G82" s="3" t="n">
        <x:v>46100</x:v>
      </x:c>
      <x:c r="H82" s="3" t="n">
        <x:v>142548</x:v>
      </x:c>
      <x:c r="I82" s="3" t="n">
        <x:v>71274</x:v>
      </x:c>
      <x:c r="J82" s="3" t="str">
        <x:v>No</x:v>
      </x:c>
      <x:c r="K82" s="3" t="str">
        <x:v>No</x:v>
      </x:c>
      <x:c r="L82" s="3" t="n">
        <x:f>G82-TODAY()</x:f>
        <x:v>-45</x:v>
      </x:c>
      <x:c r="M82" s="3" t="n">
        <x:f>IF(J82="Yes",F82,IF(K82="Yes",MAX(F82,45),MAX(F82,60)))</x:f>
        <x:v>60</x:v>
      </x:c>
      <x:c r="N82" s="3" t="n">
        <x:f>MAX(M82-F82,0)</x:f>
        <x:v>45</x:v>
      </x:c>
      <x:c r="O82" s="3" t="n">
        <x:f>I82*N82/365</x:f>
        <x:v>8787.205479452055</x:v>
      </x:c>
      <x:c r="P82" s="3" t="str">
        <x:f>IF(N82&gt;0,"Renegotiate terms","Maintain")</x:f>
        <x:v>Renegotiate terms</x:v>
      </x:c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 t="str">
        <x:v>AP-30082</x:v>
      </x:c>
      <x:c r="B83" s="3" t="str">
        <x:v>Titan Equipment</x:v>
      </x:c>
      <x:c r="C83" s="3" t="str">
        <x:v>Insurance</x:v>
      </x:c>
      <x:c r="D83" s="3" t="str">
        <x:v>Columbus</x:v>
      </x:c>
      <x:c r="E83" s="3" t="n">
        <x:v>46093</x:v>
      </x:c>
      <x:c r="F83" s="3" t="n">
        <x:v>60</x:v>
      </x:c>
      <x:c r="G83" s="3" t="n">
        <x:v>46153</x:v>
      </x:c>
      <x:c r="H83" s="3" t="n">
        <x:v>64890</x:v>
      </x:c>
      <x:c r="I83" s="3" t="n">
        <x:v>48668</x:v>
      </x:c>
      <x:c r="J83" s="3" t="str">
        <x:v>No</x:v>
      </x:c>
      <x:c r="K83" s="3" t="str">
        <x:v>Yes</x:v>
      </x:c>
      <x:c r="L83" s="3" t="n">
        <x:f>G83-TODAY()</x:f>
        <x:v>8</x:v>
      </x:c>
      <x:c r="M83" s="3" t="n">
        <x:f>IF(J83="Yes",F83,IF(K83="Yes",MAX(F83,45),MAX(F83,60)))</x:f>
        <x:v>60</x:v>
      </x:c>
      <x:c r="N83" s="3" t="n">
        <x:f>MAX(M83-F83,0)</x:f>
        <x:v>0</x:v>
      </x:c>
      <x:c r="O83" s="3" t="n">
        <x:f>I83*N83/365</x:f>
        <x:v>0</x:v>
      </x:c>
      <x:c r="P83" s="3" t="str">
        <x:f>IF(N83&gt;0,"Renegotiate terms","Maintain")</x:f>
        <x:v>Maintain</x:v>
      </x:c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 t="str">
        <x:v>AP-30083</x:v>
      </x:c>
      <x:c r="B84" s="3" t="str">
        <x:v>FreightOne</x:v>
      </x:c>
      <x:c r="C84" s="3" t="str">
        <x:v>Professional Services</x:v>
      </x:c>
      <x:c r="D84" s="3" t="str">
        <x:v>Columbus</x:v>
      </x:c>
      <x:c r="E84" s="3" t="n">
        <x:v>46133</x:v>
      </x:c>
      <x:c r="F84" s="3" t="n">
        <x:v>30</x:v>
      </x:c>
      <x:c r="G84" s="3" t="n">
        <x:v>46163</x:v>
      </x:c>
      <x:c r="H84" s="3" t="n">
        <x:v>169199</x:v>
      </x:c>
      <x:c r="I84" s="3" t="n">
        <x:v>169199</x:v>
      </x:c>
      <x:c r="J84" s="3" t="str">
        <x:v>No</x:v>
      </x:c>
      <x:c r="K84" s="3" t="str">
        <x:v>Yes</x:v>
      </x:c>
      <x:c r="L84" s="3" t="n">
        <x:f>G84-TODAY()</x:f>
        <x:v>18</x:v>
      </x:c>
      <x:c r="M84" s="3" t="n">
        <x:f>IF(J84="Yes",F84,IF(K84="Yes",MAX(F84,45),MAX(F84,60)))</x:f>
        <x:v>45</x:v>
      </x:c>
      <x:c r="N84" s="3" t="n">
        <x:f>MAX(M84-F84,0)</x:f>
        <x:v>15</x:v>
      </x:c>
      <x:c r="O84" s="3" t="n">
        <x:f>I84*N84/365</x:f>
        <x:v>6953.3835616438355</x:v>
      </x:c>
      <x:c r="P84" s="3" t="str">
        <x:f>IF(N84&gt;0,"Renegotiate terms","Maintain")</x:f>
        <x:v>Renegotiate terms</x:v>
      </x:c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 t="str">
        <x:v>AP-30084</x:v>
      </x:c>
      <x:c r="B85" s="3" t="str">
        <x:v>Lumen Software</x:v>
      </x:c>
      <x:c r="C85" s="3" t="str">
        <x:v>Packaging</x:v>
      </x:c>
      <x:c r="D85" s="3" t="str">
        <x:v>Columbus</x:v>
      </x:c>
      <x:c r="E85" s="3" t="n">
        <x:v>46094</x:v>
      </x:c>
      <x:c r="F85" s="3" t="n">
        <x:v>45</x:v>
      </x:c>
      <x:c r="G85" s="3" t="n">
        <x:v>46139</x:v>
      </x:c>
      <x:c r="H85" s="3" t="n">
        <x:v>317698</x:v>
      </x:c>
      <x:c r="I85" s="3" t="n">
        <x:v>317698</x:v>
      </x:c>
      <x:c r="J85" s="3" t="str">
        <x:v>No</x:v>
      </x:c>
      <x:c r="K85" s="3" t="str">
        <x:v>Yes</x:v>
      </x:c>
      <x:c r="L85" s="3" t="n">
        <x:f>G85-TODAY()</x:f>
        <x:v>-6</x:v>
      </x:c>
      <x:c r="M85" s="3" t="n">
        <x:f>IF(J85="Yes",F85,IF(K85="Yes",MAX(F85,45),MAX(F85,60)))</x:f>
        <x:v>45</x:v>
      </x:c>
      <x:c r="N85" s="3" t="n">
        <x:f>MAX(M85-F85,0)</x:f>
        <x:v>0</x:v>
      </x:c>
      <x:c r="O85" s="3" t="n">
        <x:f>I85*N85/365</x:f>
        <x:v>0</x:v>
      </x:c>
      <x:c r="P85" s="3" t="str">
        <x:f>IF(N85&gt;0,"Renegotiate terms","Maintain")</x:f>
        <x:v>Maintain</x:v>
      </x:c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 t="str">
        <x:v>AP-30085</x:v>
      </x:c>
      <x:c r="B86" s="3" t="str">
        <x:v>Pioneer Staffing</x:v>
      </x:c>
      <x:c r="C86" s="3" t="str">
        <x:v>Utilities</x:v>
      </x:c>
      <x:c r="D86" s="3" t="str">
        <x:v>Nashville</x:v>
      </x:c>
      <x:c r="E86" s="3" t="n">
        <x:v>46121</x:v>
      </x:c>
      <x:c r="F86" s="3" t="n">
        <x:v>60</x:v>
      </x:c>
      <x:c r="G86" s="3" t="n">
        <x:v>46181</x:v>
      </x:c>
      <x:c r="H86" s="3" t="n">
        <x:v>92485</x:v>
      </x:c>
      <x:c r="I86" s="3" t="n">
        <x:v>46242</x:v>
      </x:c>
      <x:c r="J86" s="3" t="str">
        <x:v>No</x:v>
      </x:c>
      <x:c r="K86" s="3" t="str">
        <x:v>Yes</x:v>
      </x:c>
      <x:c r="L86" s="3" t="n">
        <x:f>G86-TODAY()</x:f>
        <x:v>36</x:v>
      </x:c>
      <x:c r="M86" s="3" t="n">
        <x:f>IF(J86="Yes",F86,IF(K86="Yes",MAX(F86,45),MAX(F86,60)))</x:f>
        <x:v>60</x:v>
      </x:c>
      <x:c r="N86" s="3" t="n">
        <x:f>MAX(M86-F86,0)</x:f>
        <x:v>0</x:v>
      </x:c>
      <x:c r="O86" s="3" t="n">
        <x:f>I86*N86/365</x:f>
        <x:v>0</x:v>
      </x:c>
      <x:c r="P86" s="3" t="str">
        <x:f>IF(N86&gt;0,"Renegotiate terms","Maintain")</x:f>
        <x:v>Maintain</x:v>
      </x:c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 t="str">
        <x:v>AP-30086</x:v>
      </x:c>
      <x:c r="B87" s="3" t="str">
        <x:v>Omega Chemicals</x:v>
      </x:c>
      <x:c r="C87" s="3" t="str">
        <x:v>Staffing</x:v>
      </x:c>
      <x:c r="D87" s="3" t="str">
        <x:v>Chicago</x:v>
      </x:c>
      <x:c r="E87" s="3" t="n">
        <x:v>46098</x:v>
      </x:c>
      <x:c r="F87" s="3" t="n">
        <x:v>15</x:v>
      </x:c>
      <x:c r="G87" s="3" t="n">
        <x:v>46113</x:v>
      </x:c>
      <x:c r="H87" s="3" t="n">
        <x:v>259074</x:v>
      </x:c>
      <x:c r="I87" s="3" t="n">
        <x:v>259074</x:v>
      </x:c>
      <x:c r="J87" s="3" t="str">
        <x:v>No</x:v>
      </x:c>
      <x:c r="K87" s="3" t="str">
        <x:v>Yes</x:v>
      </x:c>
      <x:c r="L87" s="3" t="n">
        <x:f>G87-TODAY()</x:f>
        <x:v>-32</x:v>
      </x:c>
      <x:c r="M87" s="3" t="n">
        <x:f>IF(J87="Yes",F87,IF(K87="Yes",MAX(F87,45),MAX(F87,60)))</x:f>
        <x:v>45</x:v>
      </x:c>
      <x:c r="N87" s="3" t="n">
        <x:f>MAX(M87-F87,0)</x:f>
        <x:v>30</x:v>
      </x:c>
      <x:c r="O87" s="3" t="n">
        <x:f>I87*N87/365</x:f>
        <x:v>21293.753424657534</x:v>
      </x:c>
      <x:c r="P87" s="3" t="str">
        <x:f>IF(N87&gt;0,"Renegotiate terms","Maintain")</x:f>
        <x:v>Renegotiate terms</x:v>
      </x:c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 t="str">
        <x:v>AP-30087</x:v>
      </x:c>
      <x:c r="B88" s="3" t="str">
        <x:v>RedRock Components</x:v>
      </x:c>
      <x:c r="C88" s="3" t="str">
        <x:v>Utilities</x:v>
      </x:c>
      <x:c r="D88" s="3" t="str">
        <x:v>Nashville</x:v>
      </x:c>
      <x:c r="E88" s="3" t="n">
        <x:v>46080</x:v>
      </x:c>
      <x:c r="F88" s="3" t="n">
        <x:v>45</x:v>
      </x:c>
      <x:c r="G88" s="3" t="n">
        <x:v>46125</x:v>
      </x:c>
      <x:c r="H88" s="3" t="n">
        <x:v>363978</x:v>
      </x:c>
      <x:c r="I88" s="3" t="n">
        <x:v>181989</x:v>
      </x:c>
      <x:c r="J88" s="3" t="str">
        <x:v>No</x:v>
      </x:c>
      <x:c r="K88" s="3" t="str">
        <x:v>No</x:v>
      </x:c>
      <x:c r="L88" s="3" t="n">
        <x:f>G88-TODAY()</x:f>
        <x:v>-20</x:v>
      </x:c>
      <x:c r="M88" s="3" t="n">
        <x:f>IF(J88="Yes",F88,IF(K88="Yes",MAX(F88,45),MAX(F88,60)))</x:f>
        <x:v>60</x:v>
      </x:c>
      <x:c r="N88" s="3" t="n">
        <x:f>MAX(M88-F88,0)</x:f>
        <x:v>15</x:v>
      </x:c>
      <x:c r="O88" s="3" t="n">
        <x:f>I88*N88/365</x:f>
        <x:v>7479</x:v>
      </x:c>
      <x:c r="P88" s="3" t="str">
        <x:f>IF(N88&gt;0,"Renegotiate terms","Maintain")</x:f>
        <x:v>Renegotiate terms</x:v>
      </x:c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 t="str">
        <x:v>AP-30088</x:v>
      </x:c>
      <x:c r="B89" s="3" t="str">
        <x:v>Pioneer Staffing</x:v>
      </x:c>
      <x:c r="C89" s="3" t="str">
        <x:v>Packaging</x:v>
      </x:c>
      <x:c r="D89" s="3" t="str">
        <x:v>Chicago</x:v>
      </x:c>
      <x:c r="E89" s="3" t="n">
        <x:v>46071</x:v>
      </x:c>
      <x:c r="F89" s="3" t="n">
        <x:v>15</x:v>
      </x:c>
      <x:c r="G89" s="3" t="n">
        <x:v>46086</x:v>
      </x:c>
      <x:c r="H89" s="3" t="n">
        <x:v>120620</x:v>
      </x:c>
      <x:c r="I89" s="3" t="n">
        <x:v>90465</x:v>
      </x:c>
      <x:c r="J89" s="3" t="str">
        <x:v>Yes</x:v>
      </x:c>
      <x:c r="K89" s="3" t="str">
        <x:v>Yes</x:v>
      </x:c>
      <x:c r="L89" s="3" t="n">
        <x:f>G89-TODAY()</x:f>
        <x:v>-59</x:v>
      </x:c>
      <x:c r="M89" s="3" t="n">
        <x:f>IF(J89="Yes",F89,IF(K89="Yes",MAX(F89,45),MAX(F89,60)))</x:f>
        <x:v>15</x:v>
      </x:c>
      <x:c r="N89" s="3" t="n">
        <x:f>MAX(M89-F89,0)</x:f>
        <x:v>0</x:v>
      </x:c>
      <x:c r="O89" s="3" t="n">
        <x:f>I89*N89/365</x:f>
        <x:v>0</x:v>
      </x:c>
      <x:c r="P89" s="3" t="str">
        <x:f>IF(N89&gt;0,"Renegotiate terms","Maintain")</x:f>
        <x:v>Maintain</x:v>
      </x:c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 t="str">
        <x:v>AP-30089</x:v>
      </x:c>
      <x:c r="B90" s="3" t="str">
        <x:v>Jupiter Consulting</x:v>
      </x:c>
      <x:c r="C90" s="3" t="str">
        <x:v>Packaging</x:v>
      </x:c>
      <x:c r="D90" s="3" t="str">
        <x:v>Phoenix</x:v>
      </x:c>
      <x:c r="E90" s="3" t="n">
        <x:v>46071</x:v>
      </x:c>
      <x:c r="F90" s="3" t="n">
        <x:v>45</x:v>
      </x:c>
      <x:c r="G90" s="3" t="n">
        <x:v>46116</x:v>
      </x:c>
      <x:c r="H90" s="3" t="n">
        <x:v>293214</x:v>
      </x:c>
      <x:c r="I90" s="3" t="n">
        <x:v>293214</x:v>
      </x:c>
      <x:c r="J90" s="3" t="str">
        <x:v>No</x:v>
      </x:c>
      <x:c r="K90" s="3" t="str">
        <x:v>Yes</x:v>
      </x:c>
      <x:c r="L90" s="3" t="n">
        <x:f>G90-TODAY()</x:f>
        <x:v>-29</x:v>
      </x:c>
      <x:c r="M90" s="3" t="n">
        <x:f>IF(J90="Yes",F90,IF(K90="Yes",MAX(F90,45),MAX(F90,60)))</x:f>
        <x:v>45</x:v>
      </x:c>
      <x:c r="N90" s="3" t="n">
        <x:f>MAX(M90-F90,0)</x:f>
        <x:v>0</x:v>
      </x:c>
      <x:c r="O90" s="3" t="n">
        <x:f>I90*N90/365</x:f>
        <x:v>0</x:v>
      </x:c>
      <x:c r="P90" s="3" t="str">
        <x:f>IF(N90&gt;0,"Renegotiate terms","Maintain")</x:f>
        <x:v>Maintain</x:v>
      </x:c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 t="str">
        <x:v>AP-30090</x:v>
      </x:c>
      <x:c r="B91" s="3" t="str">
        <x:v>RedRock Components</x:v>
      </x:c>
      <x:c r="C91" s="3" t="str">
        <x:v>Facilities</x:v>
      </x:c>
      <x:c r="D91" s="3" t="str">
        <x:v>Columbus</x:v>
      </x:c>
      <x:c r="E91" s="3" t="n">
        <x:v>46138</x:v>
      </x:c>
      <x:c r="F91" s="3" t="n">
        <x:v>45</x:v>
      </x:c>
      <x:c r="G91" s="3" t="n">
        <x:v>46183</x:v>
      </x:c>
      <x:c r="H91" s="3" t="n">
        <x:v>291446</x:v>
      </x:c>
      <x:c r="I91" s="3" t="n">
        <x:v>291446</x:v>
      </x:c>
      <x:c r="J91" s="3" t="str">
        <x:v>No</x:v>
      </x:c>
      <x:c r="K91" s="3" t="str">
        <x:v>Yes</x:v>
      </x:c>
      <x:c r="L91" s="3" t="n">
        <x:f>G91-TODAY()</x:f>
        <x:v>38</x:v>
      </x:c>
      <x:c r="M91" s="3" t="n">
        <x:f>IF(J91="Yes",F91,IF(K91="Yes",MAX(F91,45),MAX(F91,60)))</x:f>
        <x:v>45</x:v>
      </x:c>
      <x:c r="N91" s="3" t="n">
        <x:f>MAX(M91-F91,0)</x:f>
        <x:v>0</x:v>
      </x:c>
      <x:c r="O91" s="3" t="n">
        <x:f>I91*N91/365</x:f>
        <x:v>0</x:v>
      </x:c>
      <x:c r="P91" s="3" t="str">
        <x:f>IF(N91&gt;0,"Renegotiate terms","Maintain")</x:f>
        <x:v>Maintain</x:v>
      </x:c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 t="str">
        <x:v>AP-30091</x:v>
      </x:c>
      <x:c r="B92" s="3" t="str">
        <x:v>United Components</x:v>
      </x:c>
      <x:c r="C92" s="3" t="str">
        <x:v>IT / Software</x:v>
      </x:c>
      <x:c r="D92" s="3" t="str">
        <x:v>Atlanta</x:v>
      </x:c>
      <x:c r="E92" s="3" t="n">
        <x:v>46139</x:v>
      </x:c>
      <x:c r="F92" s="3" t="n">
        <x:v>45</x:v>
      </x:c>
      <x:c r="G92" s="3" t="n">
        <x:v>46184</x:v>
      </x:c>
      <x:c r="H92" s="3" t="n">
        <x:v>142790</x:v>
      </x:c>
      <x:c r="I92" s="3" t="n">
        <x:v>107092</x:v>
      </x:c>
      <x:c r="J92" s="3" t="str">
        <x:v>No</x:v>
      </x:c>
      <x:c r="K92" s="3" t="str">
        <x:v>Yes</x:v>
      </x:c>
      <x:c r="L92" s="3" t="n">
        <x:f>G92-TODAY()</x:f>
        <x:v>39</x:v>
      </x:c>
      <x:c r="M92" s="3" t="n">
        <x:f>IF(J92="Yes",F92,IF(K92="Yes",MAX(F92,45),MAX(F92,60)))</x:f>
        <x:v>45</x:v>
      </x:c>
      <x:c r="N92" s="3" t="n">
        <x:f>MAX(M92-F92,0)</x:f>
        <x:v>0</x:v>
      </x:c>
      <x:c r="O92" s="3" t="n">
        <x:f>I92*N92/365</x:f>
        <x:v>0</x:v>
      </x:c>
      <x:c r="P92" s="3" t="str">
        <x:f>IF(N92&gt;0,"Renegotiate terms","Maintain")</x:f>
        <x:v>Maintain</x:v>
      </x:c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 t="str">
        <x:v>AP-30092</x:v>
      </x:c>
      <x:c r="B93" s="3" t="str">
        <x:v>Delta Telecom</x:v>
      </x:c>
      <x:c r="C93" s="3" t="str">
        <x:v>IT / Software</x:v>
      </x:c>
      <x:c r="D93" s="3" t="str">
        <x:v>Dallas</x:v>
      </x:c>
      <x:c r="E93" s="3" t="n">
        <x:v>46099</x:v>
      </x:c>
      <x:c r="F93" s="3" t="n">
        <x:v>60</x:v>
      </x:c>
      <x:c r="G93" s="3" t="n">
        <x:v>46159</x:v>
      </x:c>
      <x:c r="H93" s="3" t="n">
        <x:v>336754</x:v>
      </x:c>
      <x:c r="I93" s="3" t="n">
        <x:v>168377</x:v>
      </x:c>
      <x:c r="J93" s="3" t="str">
        <x:v>Yes</x:v>
      </x:c>
      <x:c r="K93" s="3" t="str">
        <x:v>Yes</x:v>
      </x:c>
      <x:c r="L93" s="3" t="n">
        <x:f>G93-TODAY()</x:f>
        <x:v>14</x:v>
      </x:c>
      <x:c r="M93" s="3" t="n">
        <x:f>IF(J93="Yes",F93,IF(K93="Yes",MAX(F93,45),MAX(F93,60)))</x:f>
        <x:v>60</x:v>
      </x:c>
      <x:c r="N93" s="3" t="n">
        <x:f>MAX(M93-F93,0)</x:f>
        <x:v>0</x:v>
      </x:c>
      <x:c r="O93" s="3" t="n">
        <x:f>I93*N93/365</x:f>
        <x:v>0</x:v>
      </x:c>
      <x:c r="P93" s="3" t="str">
        <x:f>IF(N93&gt;0,"Renegotiate terms","Maintain")</x:f>
        <x:v>Maintain</x:v>
      </x:c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 t="str">
        <x:v>AP-30093</x:v>
      </x:c>
      <x:c r="B94" s="3" t="str">
        <x:v>Global Plastics</x:v>
      </x:c>
      <x:c r="C94" s="3" t="str">
        <x:v>IT / Software</x:v>
      </x:c>
      <x:c r="D94" s="3" t="str">
        <x:v>Chicago</x:v>
      </x:c>
      <x:c r="E94" s="3" t="n">
        <x:v>46071</x:v>
      </x:c>
      <x:c r="F94" s="3" t="n">
        <x:v>30</x:v>
      </x:c>
      <x:c r="G94" s="3" t="n">
        <x:v>46101</x:v>
      </x:c>
      <x:c r="H94" s="3" t="n">
        <x:v>284068</x:v>
      </x:c>
      <x:c r="I94" s="3" t="n">
        <x:v>213051</x:v>
      </x:c>
      <x:c r="J94" s="3" t="str">
        <x:v>No</x:v>
      </x:c>
      <x:c r="K94" s="3" t="str">
        <x:v>Yes</x:v>
      </x:c>
      <x:c r="L94" s="3" t="n">
        <x:f>G94-TODAY()</x:f>
        <x:v>-44</x:v>
      </x:c>
      <x:c r="M94" s="3" t="n">
        <x:f>IF(J94="Yes",F94,IF(K94="Yes",MAX(F94,45),MAX(F94,60)))</x:f>
        <x:v>45</x:v>
      </x:c>
      <x:c r="N94" s="3" t="n">
        <x:f>MAX(M94-F94,0)</x:f>
        <x:v>15</x:v>
      </x:c>
      <x:c r="O94" s="3" t="n">
        <x:f>I94*N94/365</x:f>
        <x:v>8755.520547945205</x:v>
      </x:c>
      <x:c r="P94" s="3" t="str">
        <x:f>IF(N94&gt;0,"Renegotiate terms","Maintain")</x:f>
        <x:v>Renegotiate terms</x:v>
      </x:c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 t="str">
        <x:v>AP-30094</x:v>
      </x:c>
      <x:c r="B95" s="3" t="str">
        <x:v>Westfield Parts</x:v>
      </x:c>
      <x:c r="C95" s="3" t="str">
        <x:v>Professional Services</x:v>
      </x:c>
      <x:c r="D95" s="3" t="str">
        <x:v>Atlanta</x:v>
      </x:c>
      <x:c r="E95" s="3" t="n">
        <x:v>46070</x:v>
      </x:c>
      <x:c r="F95" s="3" t="n">
        <x:v>30</x:v>
      </x:c>
      <x:c r="G95" s="3" t="n">
        <x:v>46100</x:v>
      </x:c>
      <x:c r="H95" s="3" t="n">
        <x:v>274701</x:v>
      </x:c>
      <x:c r="I95" s="3" t="n">
        <x:v>274701</x:v>
      </x:c>
      <x:c r="J95" s="3" t="str">
        <x:v>Yes</x:v>
      </x:c>
      <x:c r="K95" s="3" t="str">
        <x:v>No</x:v>
      </x:c>
      <x:c r="L95" s="3" t="n">
        <x:f>G95-TODAY()</x:f>
        <x:v>-45</x:v>
      </x:c>
      <x:c r="M95" s="3" t="n">
        <x:f>IF(J95="Yes",F95,IF(K95="Yes",MAX(F95,45),MAX(F95,60)))</x:f>
        <x:v>30</x:v>
      </x:c>
      <x:c r="N95" s="3" t="n">
        <x:f>MAX(M95-F95,0)</x:f>
        <x:v>0</x:v>
      </x:c>
      <x:c r="O95" s="3" t="n">
        <x:f>I95*N95/365</x:f>
        <x:v>0</x:v>
      </x:c>
      <x:c r="P95" s="3" t="str">
        <x:f>IF(N95&gt;0,"Renegotiate terms","Maintain")</x:f>
        <x:v>Maintain</x:v>
      </x:c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 t="str">
        <x:v>AP-30095</x:v>
      </x:c>
      <x:c r="B96" s="3" t="str">
        <x:v>Nexus Freight</x:v>
      </x:c>
      <x:c r="C96" s="3" t="str">
        <x:v>Logistics</x:v>
      </x:c>
      <x:c r="D96" s="3" t="str">
        <x:v>Atlanta</x:v>
      </x:c>
      <x:c r="E96" s="3" t="n">
        <x:v>46127</x:v>
      </x:c>
      <x:c r="F96" s="3" t="n">
        <x:v>30</x:v>
      </x:c>
      <x:c r="G96" s="3" t="n">
        <x:v>46157</x:v>
      </x:c>
      <x:c r="H96" s="3" t="n">
        <x:v>135902</x:v>
      </x:c>
      <x:c r="I96" s="3" t="n">
        <x:v>135902</x:v>
      </x:c>
      <x:c r="J96" s="3" t="str">
        <x:v>No</x:v>
      </x:c>
      <x:c r="K96" s="3" t="str">
        <x:v>No</x:v>
      </x:c>
      <x:c r="L96" s="3" t="n">
        <x:f>G96-TODAY()</x:f>
        <x:v>12</x:v>
      </x:c>
      <x:c r="M96" s="3" t="n">
        <x:f>IF(J96="Yes",F96,IF(K96="Yes",MAX(F96,45),MAX(F96,60)))</x:f>
        <x:v>60</x:v>
      </x:c>
      <x:c r="N96" s="3" t="n">
        <x:f>MAX(M96-F96,0)</x:f>
        <x:v>30</x:v>
      </x:c>
      <x:c r="O96" s="3" t="n">
        <x:f>I96*N96/365</x:f>
        <x:v>11170.027397260274</x:v>
      </x:c>
      <x:c r="P96" s="3" t="str">
        <x:f>IF(N96&gt;0,"Renegotiate terms","Maintain")</x:f>
        <x:v>Renegotiate terms</x:v>
      </x:c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 t="str">
        <x:v>AP-30096</x:v>
      </x:c>
      <x:c r="B97" s="3" t="str">
        <x:v>Vertex Warehousing</x:v>
      </x:c>
      <x:c r="C97" s="3" t="str">
        <x:v>Insurance</x:v>
      </x:c>
      <x:c r="D97" s="3" t="str">
        <x:v>Phoenix</x:v>
      </x:c>
      <x:c r="E97" s="3" t="n">
        <x:v>46125</x:v>
      </x:c>
      <x:c r="F97" s="3" t="n">
        <x:v>60</x:v>
      </x:c>
      <x:c r="G97" s="3" t="n">
        <x:v>46185</x:v>
      </x:c>
      <x:c r="H97" s="3" t="n">
        <x:v>336560</x:v>
      </x:c>
      <x:c r="I97" s="3" t="n">
        <x:v>252420</x:v>
      </x:c>
      <x:c r="J97" s="3" t="str">
        <x:v>No</x:v>
      </x:c>
      <x:c r="K97" s="3" t="str">
        <x:v>Yes</x:v>
      </x:c>
      <x:c r="L97" s="3" t="n">
        <x:f>G97-TODAY()</x:f>
        <x:v>40</x:v>
      </x:c>
      <x:c r="M97" s="3" t="n">
        <x:f>IF(J97="Yes",F97,IF(K97="Yes",MAX(F97,45),MAX(F97,60)))</x:f>
        <x:v>60</x:v>
      </x:c>
      <x:c r="N97" s="3" t="n">
        <x:f>MAX(M97-F97,0)</x:f>
        <x:v>0</x:v>
      </x:c>
      <x:c r="O97" s="3" t="n">
        <x:f>I97*N97/365</x:f>
        <x:v>0</x:v>
      </x:c>
      <x:c r="P97" s="3" t="str">
        <x:f>IF(N97&gt;0,"Renegotiate terms","Maintain")</x:f>
        <x:v>Maintain</x:v>
      </x:c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 t="str">
        <x:v>AP-30097</x:v>
      </x:c>
      <x:c r="B98" s="3" t="str">
        <x:v>Central Packaging</x:v>
      </x:c>
      <x:c r="C98" s="3" t="str">
        <x:v>Raw Materials</x:v>
      </x:c>
      <x:c r="D98" s="3" t="str">
        <x:v>Phoenix</x:v>
      </x:c>
      <x:c r="E98" s="3" t="n">
        <x:v>46078</x:v>
      </x:c>
      <x:c r="F98" s="3" t="n">
        <x:v>30</x:v>
      </x:c>
      <x:c r="G98" s="3" t="n">
        <x:v>46108</x:v>
      </x:c>
      <x:c r="H98" s="3" t="n">
        <x:v>369224</x:v>
      </x:c>
      <x:c r="I98" s="3" t="n">
        <x:v>276918</x:v>
      </x:c>
      <x:c r="J98" s="3" t="str">
        <x:v>No</x:v>
      </x:c>
      <x:c r="K98" s="3" t="str">
        <x:v>Yes</x:v>
      </x:c>
      <x:c r="L98" s="3" t="n">
        <x:f>G98-TODAY()</x:f>
        <x:v>-37</x:v>
      </x:c>
      <x:c r="M98" s="3" t="n">
        <x:f>IF(J98="Yes",F98,IF(K98="Yes",MAX(F98,45),MAX(F98,60)))</x:f>
        <x:v>45</x:v>
      </x:c>
      <x:c r="N98" s="3" t="n">
        <x:f>MAX(M98-F98,0)</x:f>
        <x:v>15</x:v>
      </x:c>
      <x:c r="O98" s="3" t="n">
        <x:f>I98*N98/365</x:f>
        <x:v>11380.191780821919</x:v>
      </x:c>
      <x:c r="P98" s="3" t="str">
        <x:f>IF(N98&gt;0,"Renegotiate terms","Maintain")</x:f>
        <x:v>Renegotiate terms</x:v>
      </x:c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 t="str">
        <x:v>AP-30098</x:v>
      </x:c>
      <x:c r="B99" s="3" t="str">
        <x:v>Summit Utilities</x:v>
      </x:c>
      <x:c r="C99" s="3" t="str">
        <x:v>Logistics</x:v>
      </x:c>
      <x:c r="D99" s="3" t="str">
        <x:v>Nashville</x:v>
      </x:c>
      <x:c r="E99" s="3" t="n">
        <x:v>46132</x:v>
      </x:c>
      <x:c r="F99" s="3" t="n">
        <x:v>45</x:v>
      </x:c>
      <x:c r="G99" s="3" t="n">
        <x:v>46177</x:v>
      </x:c>
      <x:c r="H99" s="3" t="n">
        <x:v>337839</x:v>
      </x:c>
      <x:c r="I99" s="3" t="n">
        <x:v>253379</x:v>
      </x:c>
      <x:c r="J99" s="3" t="str">
        <x:v>No</x:v>
      </x:c>
      <x:c r="K99" s="3" t="str">
        <x:v>No</x:v>
      </x:c>
      <x:c r="L99" s="3" t="n">
        <x:f>G99-TODAY()</x:f>
        <x:v>32</x:v>
      </x:c>
      <x:c r="M99" s="3" t="n">
        <x:f>IF(J99="Yes",F99,IF(K99="Yes",MAX(F99,45),MAX(F99,60)))</x:f>
        <x:v>60</x:v>
      </x:c>
      <x:c r="N99" s="3" t="n">
        <x:f>MAX(M99-F99,0)</x:f>
        <x:v>15</x:v>
      </x:c>
      <x:c r="O99" s="3" t="n">
        <x:f>I99*N99/365</x:f>
        <x:v>10412.835616438357</x:v>
      </x:c>
      <x:c r="P99" s="3" t="str">
        <x:f>IF(N99&gt;0,"Renegotiate terms","Maintain")</x:f>
        <x:v>Renegotiate terms</x:v>
      </x:c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 t="str">
        <x:v>AP-30099</x:v>
      </x:c>
      <x:c r="B100" s="3" t="str">
        <x:v>Metro Maintenance</x:v>
      </x:c>
      <x:c r="C100" s="3" t="str">
        <x:v>IT / Software</x:v>
      </x:c>
      <x:c r="D100" s="3" t="str">
        <x:v>Phoenix</x:v>
      </x:c>
      <x:c r="E100" s="3" t="n">
        <x:v>46116</x:v>
      </x:c>
      <x:c r="F100" s="3" t="n">
        <x:v>45</x:v>
      </x:c>
      <x:c r="G100" s="3" t="n">
        <x:v>46161</x:v>
      </x:c>
      <x:c r="H100" s="3" t="n">
        <x:v>145790</x:v>
      </x:c>
      <x:c r="I100" s="3" t="n">
        <x:v>109342</x:v>
      </x:c>
      <x:c r="J100" s="3" t="str">
        <x:v>No</x:v>
      </x:c>
      <x:c r="K100" s="3" t="str">
        <x:v>Yes</x:v>
      </x:c>
      <x:c r="L100" s="3" t="n">
        <x:f>G100-TODAY()</x:f>
        <x:v>16</x:v>
      </x:c>
      <x:c r="M100" s="3" t="n">
        <x:f>IF(J100="Yes",F100,IF(K100="Yes",MAX(F100,45),MAX(F100,60)))</x:f>
        <x:v>45</x:v>
      </x:c>
      <x:c r="N100" s="3" t="n">
        <x:f>MAX(M100-F100,0)</x:f>
        <x:v>0</x:v>
      </x:c>
      <x:c r="O100" s="3" t="n">
        <x:f>I100*N100/365</x:f>
        <x:v>0</x:v>
      </x:c>
      <x:c r="P100" s="3" t="str">
        <x:f>IF(N100&gt;0,"Renegotiate terms","Maintain")</x:f>
        <x:v>Maintain</x:v>
      </x:c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 t="str">
        <x:v>AP-30100</x:v>
      </x:c>
      <x:c r="B101" s="3" t="str">
        <x:v>Summit Utilities</x:v>
      </x:c>
      <x:c r="C101" s="3" t="str">
        <x:v>Packaging</x:v>
      </x:c>
      <x:c r="D101" s="3" t="str">
        <x:v>Columbus</x:v>
      </x:c>
      <x:c r="E101" s="3" t="n">
        <x:v>46081</x:v>
      </x:c>
      <x:c r="F101" s="3" t="n">
        <x:v>30</x:v>
      </x:c>
      <x:c r="G101" s="3" t="n">
        <x:v>46111</x:v>
      </x:c>
      <x:c r="H101" s="3" t="n">
        <x:v>362853</x:v>
      </x:c>
      <x:c r="I101" s="3" t="n">
        <x:v>362853</x:v>
      </x:c>
      <x:c r="J101" s="3" t="str">
        <x:v>Yes</x:v>
      </x:c>
      <x:c r="K101" s="3" t="str">
        <x:v>No</x:v>
      </x:c>
      <x:c r="L101" s="3" t="n">
        <x:f>G101-TODAY()</x:f>
        <x:v>-34</x:v>
      </x:c>
      <x:c r="M101" s="3" t="n">
        <x:f>IF(J101="Yes",F101,IF(K101="Yes",MAX(F101,45),MAX(F101,60)))</x:f>
        <x:v>30</x:v>
      </x:c>
      <x:c r="N101" s="3" t="n">
        <x:f>MAX(M101-F101,0)</x:f>
        <x:v>0</x:v>
      </x:c>
      <x:c r="O101" s="3" t="n">
        <x:f>I101*N101/365</x:f>
        <x:v>0</x:v>
      </x:c>
      <x:c r="P101" s="3" t="str">
        <x:f>IF(N101&gt;0,"Renegotiate terms","Maintain")</x:f>
        <x:v>Maintain</x:v>
      </x:c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 t="str">
        <x:v>AP-30101</x:v>
      </x:c>
      <x:c r="B102" s="3" t="str">
        <x:v>Omega Chemicals</x:v>
      </x:c>
      <x:c r="C102" s="3" t="str">
        <x:v>Logistics</x:v>
      </x:c>
      <x:c r="D102" s="3" t="str">
        <x:v>Chicago</x:v>
      </x:c>
      <x:c r="E102" s="3" t="n">
        <x:v>46123</x:v>
      </x:c>
      <x:c r="F102" s="3" t="n">
        <x:v>45</x:v>
      </x:c>
      <x:c r="G102" s="3" t="n">
        <x:v>46168</x:v>
      </x:c>
      <x:c r="H102" s="3" t="n">
        <x:v>244346</x:v>
      </x:c>
      <x:c r="I102" s="3" t="n">
        <x:v>244346</x:v>
      </x:c>
      <x:c r="J102" s="3" t="str">
        <x:v>No</x:v>
      </x:c>
      <x:c r="K102" s="3" t="str">
        <x:v>Yes</x:v>
      </x:c>
      <x:c r="L102" s="3" t="n">
        <x:f>G102-TODAY()</x:f>
        <x:v>23</x:v>
      </x:c>
      <x:c r="M102" s="3" t="n">
        <x:f>IF(J102="Yes",F102,IF(K102="Yes",MAX(F102,45),MAX(F102,60)))</x:f>
        <x:v>45</x:v>
      </x:c>
      <x:c r="N102" s="3" t="n">
        <x:f>MAX(M102-F102,0)</x:f>
        <x:v>0</x:v>
      </x:c>
      <x:c r="O102" s="3" t="n">
        <x:f>I102*N102/365</x:f>
        <x:v>0</x:v>
      </x:c>
      <x:c r="P102" s="3" t="str">
        <x:f>IF(N102&gt;0,"Renegotiate terms","Maintain")</x:f>
        <x:v>Maintain</x:v>
      </x:c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 t="str">
        <x:v>AP-30102</x:v>
      </x:c>
      <x:c r="B103" s="3" t="str">
        <x:v>Westfield Parts</x:v>
      </x:c>
      <x:c r="C103" s="3" t="str">
        <x:v>Packaging</x:v>
      </x:c>
      <x:c r="D103" s="3" t="str">
        <x:v>Nashville</x:v>
      </x:c>
      <x:c r="E103" s="3" t="n">
        <x:v>46105</x:v>
      </x:c>
      <x:c r="F103" s="3" t="n">
        <x:v>30</x:v>
      </x:c>
      <x:c r="G103" s="3" t="n">
        <x:v>46135</x:v>
      </x:c>
      <x:c r="H103" s="3" t="n">
        <x:v>148665</x:v>
      </x:c>
      <x:c r="I103" s="3" t="n">
        <x:v>148665</x:v>
      </x:c>
      <x:c r="J103" s="3" t="str">
        <x:v>No</x:v>
      </x:c>
      <x:c r="K103" s="3" t="str">
        <x:v>Yes</x:v>
      </x:c>
      <x:c r="L103" s="3" t="n">
        <x:f>G103-TODAY()</x:f>
        <x:v>-10</x:v>
      </x:c>
      <x:c r="M103" s="3" t="n">
        <x:f>IF(J103="Yes",F103,IF(K103="Yes",MAX(F103,45),MAX(F103,60)))</x:f>
        <x:v>45</x:v>
      </x:c>
      <x:c r="N103" s="3" t="n">
        <x:f>MAX(M103-F103,0)</x:f>
        <x:v>15</x:v>
      </x:c>
      <x:c r="O103" s="3" t="n">
        <x:f>I103*N103/365</x:f>
        <x:v>6109.520547945205</x:v>
      </x:c>
      <x:c r="P103" s="3" t="str">
        <x:f>IF(N103&gt;0,"Renegotiate terms","Maintain")</x:f>
        <x:v>Renegotiate terms</x:v>
      </x:c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 t="str">
        <x:v>AP-30103</x:v>
      </x:c>
      <x:c r="B104" s="3" t="str">
        <x:v>Lumen Software</x:v>
      </x:c>
      <x:c r="C104" s="3" t="str">
        <x:v>Packaging</x:v>
      </x:c>
      <x:c r="D104" s="3" t="str">
        <x:v>Chicago</x:v>
      </x:c>
      <x:c r="E104" s="3" t="n">
        <x:v>46093</x:v>
      </x:c>
      <x:c r="F104" s="3" t="n">
        <x:v>30</x:v>
      </x:c>
      <x:c r="G104" s="3" t="n">
        <x:v>46123</x:v>
      </x:c>
      <x:c r="H104" s="3" t="n">
        <x:v>371708</x:v>
      </x:c>
      <x:c r="I104" s="3" t="n">
        <x:v>371708</x:v>
      </x:c>
      <x:c r="J104" s="3" t="str">
        <x:v>No</x:v>
      </x:c>
      <x:c r="K104" s="3" t="str">
        <x:v>Yes</x:v>
      </x:c>
      <x:c r="L104" s="3" t="n">
        <x:f>G104-TODAY()</x:f>
        <x:v>-22</x:v>
      </x:c>
      <x:c r="M104" s="3" t="n">
        <x:f>IF(J104="Yes",F104,IF(K104="Yes",MAX(F104,45),MAX(F104,60)))</x:f>
        <x:v>45</x:v>
      </x:c>
      <x:c r="N104" s="3" t="n">
        <x:f>MAX(M104-F104,0)</x:f>
        <x:v>15</x:v>
      </x:c>
      <x:c r="O104" s="3" t="n">
        <x:f>I104*N104/365</x:f>
        <x:v>15275.671232876712</x:v>
      </x:c>
      <x:c r="P104" s="3" t="str">
        <x:f>IF(N104&gt;0,"Renegotiate terms","Maintain")</x:f>
        <x:v>Renegotiate terms</x:v>
      </x:c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 t="str">
        <x:v>AP-30104</x:v>
      </x:c>
      <x:c r="B105" s="3" t="str">
        <x:v>Delta Telecom</x:v>
      </x:c>
      <x:c r="C105" s="3" t="str">
        <x:v>Logistics</x:v>
      </x:c>
      <x:c r="D105" s="3" t="str">
        <x:v>Dallas</x:v>
      </x:c>
      <x:c r="E105" s="3" t="n">
        <x:v>46082</x:v>
      </x:c>
      <x:c r="F105" s="3" t="n">
        <x:v>15</x:v>
      </x:c>
      <x:c r="G105" s="3" t="n">
        <x:v>46097</x:v>
      </x:c>
      <x:c r="H105" s="3" t="n">
        <x:v>74572</x:v>
      </x:c>
      <x:c r="I105" s="3" t="n">
        <x:v>74572</x:v>
      </x:c>
      <x:c r="J105" s="3" t="str">
        <x:v>No</x:v>
      </x:c>
      <x:c r="K105" s="3" t="str">
        <x:v>Yes</x:v>
      </x:c>
      <x:c r="L105" s="3" t="n">
        <x:f>G105-TODAY()</x:f>
        <x:v>-48</x:v>
      </x:c>
      <x:c r="M105" s="3" t="n">
        <x:f>IF(J105="Yes",F105,IF(K105="Yes",MAX(F105,45),MAX(F105,60)))</x:f>
        <x:v>45</x:v>
      </x:c>
      <x:c r="N105" s="3" t="n">
        <x:f>MAX(M105-F105,0)</x:f>
        <x:v>30</x:v>
      </x:c>
      <x:c r="O105" s="3" t="n">
        <x:f>I105*N105/365</x:f>
        <x:v>6129.2054794520545</x:v>
      </x:c>
      <x:c r="P105" s="3" t="str">
        <x:f>IF(N105&gt;0,"Renegotiate terms","Maintain")</x:f>
        <x:v>Renegotiate terms</x:v>
      </x:c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 t="str">
        <x:v>AP-30105</x:v>
      </x:c>
      <x:c r="B106" s="3" t="str">
        <x:v>Acme Logistics</x:v>
      </x:c>
      <x:c r="C106" s="3" t="str">
        <x:v>Facilities</x:v>
      </x:c>
      <x:c r="D106" s="3" t="str">
        <x:v>Chicago</x:v>
      </x:c>
      <x:c r="E106" s="3" t="n">
        <x:v>46089</x:v>
      </x:c>
      <x:c r="F106" s="3" t="n">
        <x:v>30</x:v>
      </x:c>
      <x:c r="G106" s="3" t="n">
        <x:v>46119</x:v>
      </x:c>
      <x:c r="H106" s="3" t="n">
        <x:v>255452</x:v>
      </x:c>
      <x:c r="I106" s="3" t="n">
        <x:v>255452</x:v>
      </x:c>
      <x:c r="J106" s="3" t="str">
        <x:v>No</x:v>
      </x:c>
      <x:c r="K106" s="3" t="str">
        <x:v>Yes</x:v>
      </x:c>
      <x:c r="L106" s="3" t="n">
        <x:f>G106-TODAY()</x:f>
        <x:v>-26</x:v>
      </x:c>
      <x:c r="M106" s="3" t="n">
        <x:f>IF(J106="Yes",F106,IF(K106="Yes",MAX(F106,45),MAX(F106,60)))</x:f>
        <x:v>45</x:v>
      </x:c>
      <x:c r="N106" s="3" t="n">
        <x:f>MAX(M106-F106,0)</x:f>
        <x:v>15</x:v>
      </x:c>
      <x:c r="O106" s="3" t="n">
        <x:f>I106*N106/365</x:f>
        <x:v>10498.027397260274</x:v>
      </x:c>
      <x:c r="P106" s="3" t="str">
        <x:f>IF(N106&gt;0,"Renegotiate terms","Maintain")</x:f>
        <x:v>Renegotiate terms</x:v>
      </x:c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 t="str">
        <x:v>AP-30106</x:v>
      </x:c>
      <x:c r="B107" s="3" t="str">
        <x:v>Delta Telecom</x:v>
      </x:c>
      <x:c r="C107" s="3" t="str">
        <x:v>Raw Materials</x:v>
      </x:c>
      <x:c r="D107" s="3" t="str">
        <x:v>Atlanta</x:v>
      </x:c>
      <x:c r="E107" s="3" t="n">
        <x:v>46096</x:v>
      </x:c>
      <x:c r="F107" s="3" t="n">
        <x:v>30</x:v>
      </x:c>
      <x:c r="G107" s="3" t="n">
        <x:v>46126</x:v>
      </x:c>
      <x:c r="H107" s="3" t="n">
        <x:v>76895</x:v>
      </x:c>
      <x:c r="I107" s="3" t="n">
        <x:v>38448</x:v>
      </x:c>
      <x:c r="J107" s="3" t="str">
        <x:v>No</x:v>
      </x:c>
      <x:c r="K107" s="3" t="str">
        <x:v>No</x:v>
      </x:c>
      <x:c r="L107" s="3" t="n">
        <x:f>G107-TODAY()</x:f>
        <x:v>-19</x:v>
      </x:c>
      <x:c r="M107" s="3" t="n">
        <x:f>IF(J107="Yes",F107,IF(K107="Yes",MAX(F107,45),MAX(F107,60)))</x:f>
        <x:v>60</x:v>
      </x:c>
      <x:c r="N107" s="3" t="n">
        <x:f>MAX(M107-F107,0)</x:f>
        <x:v>30</x:v>
      </x:c>
      <x:c r="O107" s="3" t="n">
        <x:f>I107*N107/365</x:f>
        <x:v>3160.109589041096</x:v>
      </x:c>
      <x:c r="P107" s="3" t="str">
        <x:f>IF(N107&gt;0,"Renegotiate terms","Maintain")</x:f>
        <x:v>Renegotiate terms</x:v>
      </x:c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 t="str">
        <x:v>AP-30107</x:v>
      </x:c>
      <x:c r="B108" s="3" t="str">
        <x:v>Edge IT Services</x:v>
      </x:c>
      <x:c r="C108" s="3" t="str">
        <x:v>Packaging</x:v>
      </x:c>
      <x:c r="D108" s="3" t="str">
        <x:v>Chicago</x:v>
      </x:c>
      <x:c r="E108" s="3" t="n">
        <x:v>46076</x:v>
      </x:c>
      <x:c r="F108" s="3" t="n">
        <x:v>60</x:v>
      </x:c>
      <x:c r="G108" s="3" t="n">
        <x:v>46136</x:v>
      </x:c>
      <x:c r="H108" s="3" t="n">
        <x:v>9443</x:v>
      </x:c>
      <x:c r="I108" s="3" t="n">
        <x:v>9443</x:v>
      </x:c>
      <x:c r="J108" s="3" t="str">
        <x:v>No</x:v>
      </x:c>
      <x:c r="K108" s="3" t="str">
        <x:v>No</x:v>
      </x:c>
      <x:c r="L108" s="3" t="n">
        <x:f>G108-TODAY()</x:f>
        <x:v>-9</x:v>
      </x:c>
      <x:c r="M108" s="3" t="n">
        <x:f>IF(J108="Yes",F108,IF(K108="Yes",MAX(F108,45),MAX(F108,60)))</x:f>
        <x:v>60</x:v>
      </x:c>
      <x:c r="N108" s="3" t="n">
        <x:f>MAX(M108-F108,0)</x:f>
        <x:v>0</x:v>
      </x:c>
      <x:c r="O108" s="3" t="n">
        <x:f>I108*N108/365</x:f>
        <x:v>0</x:v>
      </x:c>
      <x:c r="P108" s="3" t="str">
        <x:f>IF(N108&gt;0,"Renegotiate terms","Maintain")</x:f>
        <x:v>Maintain</x:v>
      </x:c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 t="str">
        <x:v>AP-30108</x:v>
      </x:c>
      <x:c r="B109" s="3" t="str">
        <x:v>United Components</x:v>
      </x:c>
      <x:c r="C109" s="3" t="str">
        <x:v>Packaging</x:v>
      </x:c>
      <x:c r="D109" s="3" t="str">
        <x:v>Phoenix</x:v>
      </x:c>
      <x:c r="E109" s="3" t="n">
        <x:v>46087</x:v>
      </x:c>
      <x:c r="F109" s="3" t="n">
        <x:v>30</x:v>
      </x:c>
      <x:c r="G109" s="3" t="n">
        <x:v>46117</x:v>
      </x:c>
      <x:c r="H109" s="3" t="n">
        <x:v>50449</x:v>
      </x:c>
      <x:c r="I109" s="3" t="n">
        <x:v>50449</x:v>
      </x:c>
      <x:c r="J109" s="3" t="str">
        <x:v>Yes</x:v>
      </x:c>
      <x:c r="K109" s="3" t="str">
        <x:v>Yes</x:v>
      </x:c>
      <x:c r="L109" s="3" t="n">
        <x:f>G109-TODAY()</x:f>
        <x:v>-28</x:v>
      </x:c>
      <x:c r="M109" s="3" t="n">
        <x:f>IF(J109="Yes",F109,IF(K109="Yes",MAX(F109,45),MAX(F109,60)))</x:f>
        <x:v>30</x:v>
      </x:c>
      <x:c r="N109" s="3" t="n">
        <x:f>MAX(M109-F109,0)</x:f>
        <x:v>0</x:v>
      </x:c>
      <x:c r="O109" s="3" t="n">
        <x:f>I109*N109/365</x:f>
        <x:v>0</x:v>
      </x:c>
      <x:c r="P109" s="3" t="str">
        <x:f>IF(N109&gt;0,"Renegotiate terms","Maintain")</x:f>
        <x:v>Maintain</x:v>
      </x:c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 t="str">
        <x:v>AP-30109</x:v>
      </x:c>
      <x:c r="B110" s="3" t="str">
        <x:v>Zenith Services</x:v>
      </x:c>
      <x:c r="C110" s="3" t="str">
        <x:v>Insurance</x:v>
      </x:c>
      <x:c r="D110" s="3" t="str">
        <x:v>Atlanta</x:v>
      </x:c>
      <x:c r="E110" s="3" t="n">
        <x:v>46089</x:v>
      </x:c>
      <x:c r="F110" s="3" t="n">
        <x:v>30</x:v>
      </x:c>
      <x:c r="G110" s="3" t="n">
        <x:v>46119</x:v>
      </x:c>
      <x:c r="H110" s="3" t="n">
        <x:v>78311</x:v>
      </x:c>
      <x:c r="I110" s="3" t="n">
        <x:v>78311</x:v>
      </x:c>
      <x:c r="J110" s="3" t="str">
        <x:v>No</x:v>
      </x:c>
      <x:c r="K110" s="3" t="str">
        <x:v>Yes</x:v>
      </x:c>
      <x:c r="L110" s="3" t="n">
        <x:f>G110-TODAY()</x:f>
        <x:v>-26</x:v>
      </x:c>
      <x:c r="M110" s="3" t="n">
        <x:f>IF(J110="Yes",F110,IF(K110="Yes",MAX(F110,45),MAX(F110,60)))</x:f>
        <x:v>45</x:v>
      </x:c>
      <x:c r="N110" s="3" t="n">
        <x:f>MAX(M110-F110,0)</x:f>
        <x:v>15</x:v>
      </x:c>
      <x:c r="O110" s="3" t="n">
        <x:f>I110*N110/365</x:f>
        <x:v>3218.2602739726026</x:v>
      </x:c>
      <x:c r="P110" s="3" t="str">
        <x:f>IF(N110&gt;0,"Renegotiate terms","Maintain")</x:f>
        <x:v>Renegotiate terms</x:v>
      </x:c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 t="str">
        <x:v>AP-30110</x:v>
      </x:c>
      <x:c r="B111" s="3" t="str">
        <x:v>RedRock Components</x:v>
      </x:c>
      <x:c r="C111" s="3" t="str">
        <x:v>Staffing</x:v>
      </x:c>
      <x:c r="D111" s="3" t="str">
        <x:v>Columbus</x:v>
      </x:c>
      <x:c r="E111" s="3" t="n">
        <x:v>46107</x:v>
      </x:c>
      <x:c r="F111" s="3" t="n">
        <x:v>15</x:v>
      </x:c>
      <x:c r="G111" s="3" t="n">
        <x:v>46122</x:v>
      </x:c>
      <x:c r="H111" s="3" t="n">
        <x:v>350194</x:v>
      </x:c>
      <x:c r="I111" s="3" t="n">
        <x:v>262646</x:v>
      </x:c>
      <x:c r="J111" s="3" t="str">
        <x:v>No</x:v>
      </x:c>
      <x:c r="K111" s="3" t="str">
        <x:v>No</x:v>
      </x:c>
      <x:c r="L111" s="3" t="n">
        <x:f>G111-TODAY()</x:f>
        <x:v>-23</x:v>
      </x:c>
      <x:c r="M111" s="3" t="n">
        <x:f>IF(J111="Yes",F111,IF(K111="Yes",MAX(F111,45),MAX(F111,60)))</x:f>
        <x:v>60</x:v>
      </x:c>
      <x:c r="N111" s="3" t="n">
        <x:f>MAX(M111-F111,0)</x:f>
        <x:v>45</x:v>
      </x:c>
      <x:c r="O111" s="3" t="n">
        <x:f>I111*N111/365</x:f>
        <x:v>32381.013698630137</x:v>
      </x:c>
      <x:c r="P111" s="3" t="str">
        <x:f>IF(N111&gt;0,"Renegotiate terms","Maintain")</x:f>
        <x:v>Renegotiate terms</x:v>
      </x:c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 t="str">
        <x:v>AP-30111</x:v>
      </x:c>
      <x:c r="B112" s="3" t="str">
        <x:v>Global Plastics</x:v>
      </x:c>
      <x:c r="C112" s="3" t="str">
        <x:v>Insurance</x:v>
      </x:c>
      <x:c r="D112" s="3" t="str">
        <x:v>Atlanta</x:v>
      </x:c>
      <x:c r="E112" s="3" t="n">
        <x:v>46137</x:v>
      </x:c>
      <x:c r="F112" s="3" t="n">
        <x:v>30</x:v>
      </x:c>
      <x:c r="G112" s="3" t="n">
        <x:v>46167</x:v>
      </x:c>
      <x:c r="H112" s="3" t="n">
        <x:v>264463</x:v>
      </x:c>
      <x:c r="I112" s="3" t="n">
        <x:v>132232</x:v>
      </x:c>
      <x:c r="J112" s="3" t="str">
        <x:v>Yes</x:v>
      </x:c>
      <x:c r="K112" s="3" t="str">
        <x:v>Yes</x:v>
      </x:c>
      <x:c r="L112" s="3" t="n">
        <x:f>G112-TODAY()</x:f>
        <x:v>22</x:v>
      </x:c>
      <x:c r="M112" s="3" t="n">
        <x:f>IF(J112="Yes",F112,IF(K112="Yes",MAX(F112,45),MAX(F112,60)))</x:f>
        <x:v>30</x:v>
      </x:c>
      <x:c r="N112" s="3" t="n">
        <x:f>MAX(M112-F112,0)</x:f>
        <x:v>0</x:v>
      </x:c>
      <x:c r="O112" s="3" t="n">
        <x:f>I112*N112/365</x:f>
        <x:v>0</x:v>
      </x:c>
      <x:c r="P112" s="3" t="str">
        <x:f>IF(N112&gt;0,"Renegotiate terms","Maintain")</x:f>
        <x:v>Maintain</x:v>
      </x:c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 t="str">
        <x:v>AP-30112</x:v>
      </x:c>
      <x:c r="B113" s="3" t="str">
        <x:v>Titan Equipment</x:v>
      </x:c>
      <x:c r="C113" s="3" t="str">
        <x:v>Raw Materials</x:v>
      </x:c>
      <x:c r="D113" s="3" t="str">
        <x:v>Columbus</x:v>
      </x:c>
      <x:c r="E113" s="3" t="n">
        <x:v>46142</x:v>
      </x:c>
      <x:c r="F113" s="3" t="n">
        <x:v>30</x:v>
      </x:c>
      <x:c r="G113" s="3" t="n">
        <x:v>46172</x:v>
      </x:c>
      <x:c r="H113" s="3" t="n">
        <x:v>170922</x:v>
      </x:c>
      <x:c r="I113" s="3" t="n">
        <x:v>170922</x:v>
      </x:c>
      <x:c r="J113" s="3" t="str">
        <x:v>No</x:v>
      </x:c>
      <x:c r="K113" s="3" t="str">
        <x:v>No</x:v>
      </x:c>
      <x:c r="L113" s="3" t="n">
        <x:f>G113-TODAY()</x:f>
        <x:v>27</x:v>
      </x:c>
      <x:c r="M113" s="3" t="n">
        <x:f>IF(J113="Yes",F113,IF(K113="Yes",MAX(F113,45),MAX(F113,60)))</x:f>
        <x:v>60</x:v>
      </x:c>
      <x:c r="N113" s="3" t="n">
        <x:f>MAX(M113-F113,0)</x:f>
        <x:v>30</x:v>
      </x:c>
      <x:c r="O113" s="3" t="n">
        <x:f>I113*N113/365</x:f>
        <x:v>14048.383561643835</x:v>
      </x:c>
      <x:c r="P113" s="3" t="str">
        <x:f>IF(N113&gt;0,"Renegotiate terms","Maintain")</x:f>
        <x:v>Renegotiate terms</x:v>
      </x:c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 t="str">
        <x:v>AP-30113</x:v>
      </x:c>
      <x:c r="B114" s="3" t="str">
        <x:v>Nexus Freight</x:v>
      </x:c>
      <x:c r="C114" s="3" t="str">
        <x:v>Facilities</x:v>
      </x:c>
      <x:c r="D114" s="3" t="str">
        <x:v>Columbus</x:v>
      </x:c>
      <x:c r="E114" s="3" t="n">
        <x:v>46121</x:v>
      </x:c>
      <x:c r="F114" s="3" t="n">
        <x:v>45</x:v>
      </x:c>
      <x:c r="G114" s="3" t="n">
        <x:v>46166</x:v>
      </x:c>
      <x:c r="H114" s="3" t="n">
        <x:v>43268</x:v>
      </x:c>
      <x:c r="I114" s="3" t="n">
        <x:v>43268</x:v>
      </x:c>
      <x:c r="J114" s="3" t="str">
        <x:v>No</x:v>
      </x:c>
      <x:c r="K114" s="3" t="str">
        <x:v>Yes</x:v>
      </x:c>
      <x:c r="L114" s="3" t="n">
        <x:f>G114-TODAY()</x:f>
        <x:v>21</x:v>
      </x:c>
      <x:c r="M114" s="3" t="n">
        <x:f>IF(J114="Yes",F114,IF(K114="Yes",MAX(F114,45),MAX(F114,60)))</x:f>
        <x:v>45</x:v>
      </x:c>
      <x:c r="N114" s="3" t="n">
        <x:f>MAX(M114-F114,0)</x:f>
        <x:v>0</x:v>
      </x:c>
      <x:c r="O114" s="3" t="n">
        <x:f>I114*N114/365</x:f>
        <x:v>0</x:v>
      </x:c>
      <x:c r="P114" s="3" t="str">
        <x:f>IF(N114&gt;0,"Renegotiate terms","Maintain")</x:f>
        <x:v>Maintain</x:v>
      </x:c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 t="str">
        <x:v>AP-30114</x:v>
      </x:c>
      <x:c r="B115" s="3" t="str">
        <x:v>Global Plastics</x:v>
      </x:c>
      <x:c r="C115" s="3" t="str">
        <x:v>Logistics</x:v>
      </x:c>
      <x:c r="D115" s="3" t="str">
        <x:v>Chicago</x:v>
      </x:c>
      <x:c r="E115" s="3" t="n">
        <x:v>46093</x:v>
      </x:c>
      <x:c r="F115" s="3" t="n">
        <x:v>60</x:v>
      </x:c>
      <x:c r="G115" s="3" t="n">
        <x:v>46153</x:v>
      </x:c>
      <x:c r="H115" s="3" t="n">
        <x:v>155202</x:v>
      </x:c>
      <x:c r="I115" s="3" t="n">
        <x:v>77601</x:v>
      </x:c>
      <x:c r="J115" s="3" t="str">
        <x:v>No</x:v>
      </x:c>
      <x:c r="K115" s="3" t="str">
        <x:v>Yes</x:v>
      </x:c>
      <x:c r="L115" s="3" t="n">
        <x:f>G115-TODAY()</x:f>
        <x:v>8</x:v>
      </x:c>
      <x:c r="M115" s="3" t="n">
        <x:f>IF(J115="Yes",F115,IF(K115="Yes",MAX(F115,45),MAX(F115,60)))</x:f>
        <x:v>60</x:v>
      </x:c>
      <x:c r="N115" s="3" t="n">
        <x:f>MAX(M115-F115,0)</x:f>
        <x:v>0</x:v>
      </x:c>
      <x:c r="O115" s="3" t="n">
        <x:f>I115*N115/365</x:f>
        <x:v>0</x:v>
      </x:c>
      <x:c r="P115" s="3" t="str">
        <x:f>IF(N115&gt;0,"Renegotiate terms","Maintain")</x:f>
        <x:v>Maintain</x:v>
      </x:c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 t="str">
        <x:v>AP-30115</x:v>
      </x:c>
      <x:c r="B116" s="3" t="str">
        <x:v>United Components</x:v>
      </x:c>
      <x:c r="C116" s="3" t="str">
        <x:v>Utilities</x:v>
      </x:c>
      <x:c r="D116" s="3" t="str">
        <x:v>Columbus</x:v>
      </x:c>
      <x:c r="E116" s="3" t="n">
        <x:v>46124</x:v>
      </x:c>
      <x:c r="F116" s="3" t="n">
        <x:v>30</x:v>
      </x:c>
      <x:c r="G116" s="3" t="n">
        <x:v>46154</x:v>
      </x:c>
      <x:c r="H116" s="3" t="n">
        <x:v>48828</x:v>
      </x:c>
      <x:c r="I116" s="3" t="n">
        <x:v>36621</x:v>
      </x:c>
      <x:c r="J116" s="3" t="str">
        <x:v>Yes</x:v>
      </x:c>
      <x:c r="K116" s="3" t="str">
        <x:v>No</x:v>
      </x:c>
      <x:c r="L116" s="3" t="n">
        <x:f>G116-TODAY()</x:f>
        <x:v>9</x:v>
      </x:c>
      <x:c r="M116" s="3" t="n">
        <x:f>IF(J116="Yes",F116,IF(K116="Yes",MAX(F116,45),MAX(F116,60)))</x:f>
        <x:v>30</x:v>
      </x:c>
      <x:c r="N116" s="3" t="n">
        <x:f>MAX(M116-F116,0)</x:f>
        <x:v>0</x:v>
      </x:c>
      <x:c r="O116" s="3" t="n">
        <x:f>I116*N116/365</x:f>
        <x:v>0</x:v>
      </x:c>
      <x:c r="P116" s="3" t="str">
        <x:f>IF(N116&gt;0,"Renegotiate terms","Maintain")</x:f>
        <x:v>Maintain</x:v>
      </x:c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 t="str">
        <x:v>AP-30116</x:v>
      </x:c>
      <x:c r="B117" s="3" t="str">
        <x:v>Edge IT Services</x:v>
      </x:c>
      <x:c r="C117" s="3" t="str">
        <x:v>Utilities</x:v>
      </x:c>
      <x:c r="D117" s="3" t="str">
        <x:v>Atlanta</x:v>
      </x:c>
      <x:c r="E117" s="3" t="n">
        <x:v>46093</x:v>
      </x:c>
      <x:c r="F117" s="3" t="n">
        <x:v>60</x:v>
      </x:c>
      <x:c r="G117" s="3" t="n">
        <x:v>46153</x:v>
      </x:c>
      <x:c r="H117" s="3" t="n">
        <x:v>337552</x:v>
      </x:c>
      <x:c r="I117" s="3" t="n">
        <x:v>337552</x:v>
      </x:c>
      <x:c r="J117" s="3" t="str">
        <x:v>No</x:v>
      </x:c>
      <x:c r="K117" s="3" t="str">
        <x:v>Yes</x:v>
      </x:c>
      <x:c r="L117" s="3" t="n">
        <x:f>G117-TODAY()</x:f>
        <x:v>8</x:v>
      </x:c>
      <x:c r="M117" s="3" t="n">
        <x:f>IF(J117="Yes",F117,IF(K117="Yes",MAX(F117,45),MAX(F117,60)))</x:f>
        <x:v>60</x:v>
      </x:c>
      <x:c r="N117" s="3" t="n">
        <x:f>MAX(M117-F117,0)</x:f>
        <x:v>0</x:v>
      </x:c>
      <x:c r="O117" s="3" t="n">
        <x:f>I117*N117/365</x:f>
        <x:v>0</x:v>
      </x:c>
      <x:c r="P117" s="3" t="str">
        <x:f>IF(N117&gt;0,"Renegotiate terms","Maintain")</x:f>
        <x:v>Maintain</x:v>
      </x:c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 t="str">
        <x:v>AP-30117</x:v>
      </x:c>
      <x:c r="B118" s="3" t="str">
        <x:v>Horizon Insurance</x:v>
      </x:c>
      <x:c r="C118" s="3" t="str">
        <x:v>Logistics</x:v>
      </x:c>
      <x:c r="D118" s="3" t="str">
        <x:v>Dallas</x:v>
      </x:c>
      <x:c r="E118" s="3" t="n">
        <x:v>46132</x:v>
      </x:c>
      <x:c r="F118" s="3" t="n">
        <x:v>45</x:v>
      </x:c>
      <x:c r="G118" s="3" t="n">
        <x:v>46177</x:v>
      </x:c>
      <x:c r="H118" s="3" t="n">
        <x:v>65810</x:v>
      </x:c>
      <x:c r="I118" s="3" t="n">
        <x:v>32905</x:v>
      </x:c>
      <x:c r="J118" s="3" t="str">
        <x:v>No</x:v>
      </x:c>
      <x:c r="K118" s="3" t="str">
        <x:v>Yes</x:v>
      </x:c>
      <x:c r="L118" s="3" t="n">
        <x:f>G118-TODAY()</x:f>
        <x:v>32</x:v>
      </x:c>
      <x:c r="M118" s="3" t="n">
        <x:f>IF(J118="Yes",F118,IF(K118="Yes",MAX(F118,45),MAX(F118,60)))</x:f>
        <x:v>45</x:v>
      </x:c>
      <x:c r="N118" s="3" t="n">
        <x:f>MAX(M118-F118,0)</x:f>
        <x:v>0</x:v>
      </x:c>
      <x:c r="O118" s="3" t="n">
        <x:f>I118*N118/365</x:f>
        <x:v>0</x:v>
      </x:c>
      <x:c r="P118" s="3" t="str">
        <x:f>IF(N118&gt;0,"Renegotiate terms","Maintain")</x:f>
        <x:v>Maintain</x:v>
      </x:c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 t="str">
        <x:v>AP-30118</x:v>
      </x:c>
      <x:c r="B119" s="3" t="str">
        <x:v>Vertex Warehousing</x:v>
      </x:c>
      <x:c r="C119" s="3" t="str">
        <x:v>Packaging</x:v>
      </x:c>
      <x:c r="D119" s="3" t="str">
        <x:v>Chicago</x:v>
      </x:c>
      <x:c r="E119" s="3" t="n">
        <x:v>46142</x:v>
      </x:c>
      <x:c r="F119" s="3" t="n">
        <x:v>30</x:v>
      </x:c>
      <x:c r="G119" s="3" t="n">
        <x:v>46172</x:v>
      </x:c>
      <x:c r="H119" s="3" t="n">
        <x:v>372787</x:v>
      </x:c>
      <x:c r="I119" s="3" t="n">
        <x:v>372787</x:v>
      </x:c>
      <x:c r="J119" s="3" t="str">
        <x:v>Yes</x:v>
      </x:c>
      <x:c r="K119" s="3" t="str">
        <x:v>No</x:v>
      </x:c>
      <x:c r="L119" s="3" t="n">
        <x:f>G119-TODAY()</x:f>
        <x:v>27</x:v>
      </x:c>
      <x:c r="M119" s="3" t="n">
        <x:f>IF(J119="Yes",F119,IF(K119="Yes",MAX(F119,45),MAX(F119,60)))</x:f>
        <x:v>30</x:v>
      </x:c>
      <x:c r="N119" s="3" t="n">
        <x:f>MAX(M119-F119,0)</x:f>
        <x:v>0</x:v>
      </x:c>
      <x:c r="O119" s="3" t="n">
        <x:f>I119*N119/365</x:f>
        <x:v>0</x:v>
      </x:c>
      <x:c r="P119" s="3" t="str">
        <x:f>IF(N119&gt;0,"Renegotiate terms","Maintain")</x:f>
        <x:v>Maintain</x:v>
      </x:c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 t="str">
        <x:v>AP-30119</x:v>
      </x:c>
      <x:c r="B120" s="3" t="str">
        <x:v>Quantum Security</x:v>
      </x:c>
      <x:c r="C120" s="3" t="str">
        <x:v>Utilities</x:v>
      </x:c>
      <x:c r="D120" s="3" t="str">
        <x:v>Nashville</x:v>
      </x:c>
      <x:c r="E120" s="3" t="n">
        <x:v>46110</x:v>
      </x:c>
      <x:c r="F120" s="3" t="n">
        <x:v>30</x:v>
      </x:c>
      <x:c r="G120" s="3" t="n">
        <x:v>46140</x:v>
      </x:c>
      <x:c r="H120" s="3" t="n">
        <x:v>199966</x:v>
      </x:c>
      <x:c r="I120" s="3" t="n">
        <x:v>199966</x:v>
      </x:c>
      <x:c r="J120" s="3" t="str">
        <x:v>No</x:v>
      </x:c>
      <x:c r="K120" s="3" t="str">
        <x:v>No</x:v>
      </x:c>
      <x:c r="L120" s="3" t="n">
        <x:f>G120-TODAY()</x:f>
        <x:v>-5</x:v>
      </x:c>
      <x:c r="M120" s="3" t="n">
        <x:f>IF(J120="Yes",F120,IF(K120="Yes",MAX(F120,45),MAX(F120,60)))</x:f>
        <x:v>60</x:v>
      </x:c>
      <x:c r="N120" s="3" t="n">
        <x:f>MAX(M120-F120,0)</x:f>
        <x:v>30</x:v>
      </x:c>
      <x:c r="O120" s="3" t="n">
        <x:f>I120*N120/365</x:f>
        <x:v>16435.561643835616</x:v>
      </x:c>
      <x:c r="P120" s="3" t="str">
        <x:f>IF(N120&gt;0,"Renegotiate terms","Maintain")</x:f>
        <x:v>Renegotiate terms</x:v>
      </x:c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 t="str">
        <x:v>AP-30120</x:v>
      </x:c>
      <x:c r="B121" s="3" t="str">
        <x:v>Zenith Services</x:v>
      </x:c>
      <x:c r="C121" s="3" t="str">
        <x:v>Raw Materials</x:v>
      </x:c>
      <x:c r="D121" s="3" t="str">
        <x:v>Chicago</x:v>
      </x:c>
      <x:c r="E121" s="3" t="n">
        <x:v>46101</x:v>
      </x:c>
      <x:c r="F121" s="3" t="n">
        <x:v>45</x:v>
      </x:c>
      <x:c r="G121" s="3" t="n">
        <x:v>46146</x:v>
      </x:c>
      <x:c r="H121" s="3" t="n">
        <x:v>147596</x:v>
      </x:c>
      <x:c r="I121" s="3" t="n">
        <x:v>147596</x:v>
      </x:c>
      <x:c r="J121" s="3" t="str">
        <x:v>No</x:v>
      </x:c>
      <x:c r="K121" s="3" t="str">
        <x:v>No</x:v>
      </x:c>
      <x:c r="L121" s="3" t="n">
        <x:f>G121-TODAY()</x:f>
        <x:v>1</x:v>
      </x:c>
      <x:c r="M121" s="3" t="n">
        <x:f>IF(J121="Yes",F121,IF(K121="Yes",MAX(F121,45),MAX(F121,60)))</x:f>
        <x:v>60</x:v>
      </x:c>
      <x:c r="N121" s="3" t="n">
        <x:f>MAX(M121-F121,0)</x:f>
        <x:v>15</x:v>
      </x:c>
      <x:c r="O121" s="3" t="n">
        <x:f>I121*N121/365</x:f>
        <x:v>6065.58904109589</x:v>
      </x:c>
      <x:c r="P121" s="3" t="str">
        <x:f>IF(N121&gt;0,"Renegotiate terms","Maintain")</x:f>
        <x:v>Renegotiate terms</x:v>
      </x:c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 t="str">
        <x:v>AP-30121</x:v>
      </x:c>
      <x:c r="B122" s="3" t="str">
        <x:v>United Components</x:v>
      </x:c>
      <x:c r="C122" s="3" t="str">
        <x:v>Raw Materials</x:v>
      </x:c>
      <x:c r="D122" s="3" t="str">
        <x:v>Phoenix</x:v>
      </x:c>
      <x:c r="E122" s="3" t="n">
        <x:v>46085</x:v>
      </x:c>
      <x:c r="F122" s="3" t="n">
        <x:v>60</x:v>
      </x:c>
      <x:c r="G122" s="3" t="n">
        <x:v>46145</x:v>
      </x:c>
      <x:c r="H122" s="3" t="n">
        <x:v>193808</x:v>
      </x:c>
      <x:c r="I122" s="3" t="n">
        <x:v>193808</x:v>
      </x:c>
      <x:c r="J122" s="3" t="str">
        <x:v>No</x:v>
      </x:c>
      <x:c r="K122" s="3" t="str">
        <x:v>No</x:v>
      </x:c>
      <x:c r="L122" s="3" t="n">
        <x:f>G122-TODAY()</x:f>
        <x:v>0</x:v>
      </x:c>
      <x:c r="M122" s="3" t="n">
        <x:f>IF(J122="Yes",F122,IF(K122="Yes",MAX(F122,45),MAX(F122,60)))</x:f>
        <x:v>60</x:v>
      </x:c>
      <x:c r="N122" s="3" t="n">
        <x:f>MAX(M122-F122,0)</x:f>
        <x:v>0</x:v>
      </x:c>
      <x:c r="O122" s="3" t="n">
        <x:f>I122*N122/365</x:f>
        <x:v>0</x:v>
      </x:c>
      <x:c r="P122" s="3" t="str">
        <x:f>IF(N122&gt;0,"Renegotiate terms","Maintain")</x:f>
        <x:v>Maintain</x:v>
      </x:c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 t="str">
        <x:v>AP-30122</x:v>
      </x:c>
      <x:c r="B123" s="3" t="str">
        <x:v>Lumen Software</x:v>
      </x:c>
      <x:c r="C123" s="3" t="str">
        <x:v>Packaging</x:v>
      </x:c>
      <x:c r="D123" s="3" t="str">
        <x:v>Atlanta</x:v>
      </x:c>
      <x:c r="E123" s="3" t="n">
        <x:v>46130</x:v>
      </x:c>
      <x:c r="F123" s="3" t="n">
        <x:v>60</x:v>
      </x:c>
      <x:c r="G123" s="3" t="n">
        <x:v>46190</x:v>
      </x:c>
      <x:c r="H123" s="3" t="n">
        <x:v>358433</x:v>
      </x:c>
      <x:c r="I123" s="3" t="n">
        <x:v>358433</x:v>
      </x:c>
      <x:c r="J123" s="3" t="str">
        <x:v>No</x:v>
      </x:c>
      <x:c r="K123" s="3" t="str">
        <x:v>Yes</x:v>
      </x:c>
      <x:c r="L123" s="3" t="n">
        <x:f>G123-TODAY()</x:f>
        <x:v>45</x:v>
      </x:c>
      <x:c r="M123" s="3" t="n">
        <x:f>IF(J123="Yes",F123,IF(K123="Yes",MAX(F123,45),MAX(F123,60)))</x:f>
        <x:v>60</x:v>
      </x:c>
      <x:c r="N123" s="3" t="n">
        <x:f>MAX(M123-F123,0)</x:f>
        <x:v>0</x:v>
      </x:c>
      <x:c r="O123" s="3" t="n">
        <x:f>I123*N123/365</x:f>
        <x:v>0</x:v>
      </x:c>
      <x:c r="P123" s="3" t="str">
        <x:f>IF(N123&gt;0,"Renegotiate terms","Maintain")</x:f>
        <x:v>Maintain</x:v>
      </x:c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 t="str">
        <x:v>AP-30123</x:v>
      </x:c>
      <x:c r="B124" s="3" t="str">
        <x:v>BlueSteel Materials</x:v>
      </x:c>
      <x:c r="C124" s="3" t="str">
        <x:v>Logistics</x:v>
      </x:c>
      <x:c r="D124" s="3" t="str">
        <x:v>Dallas</x:v>
      </x:c>
      <x:c r="E124" s="3" t="n">
        <x:v>46138</x:v>
      </x:c>
      <x:c r="F124" s="3" t="n">
        <x:v>45</x:v>
      </x:c>
      <x:c r="G124" s="3" t="n">
        <x:v>46183</x:v>
      </x:c>
      <x:c r="H124" s="3" t="n">
        <x:v>195828</x:v>
      </x:c>
      <x:c r="I124" s="3" t="n">
        <x:v>97914</x:v>
      </x:c>
      <x:c r="J124" s="3" t="str">
        <x:v>No</x:v>
      </x:c>
      <x:c r="K124" s="3" t="str">
        <x:v>Yes</x:v>
      </x:c>
      <x:c r="L124" s="3" t="n">
        <x:f>G124-TODAY()</x:f>
        <x:v>38</x:v>
      </x:c>
      <x:c r="M124" s="3" t="n">
        <x:f>IF(J124="Yes",F124,IF(K124="Yes",MAX(F124,45),MAX(F124,60)))</x:f>
        <x:v>45</x:v>
      </x:c>
      <x:c r="N124" s="3" t="n">
        <x:f>MAX(M124-F124,0)</x:f>
        <x:v>0</x:v>
      </x:c>
      <x:c r="O124" s="3" t="n">
        <x:f>I124*N124/365</x:f>
        <x:v>0</x:v>
      </x:c>
      <x:c r="P124" s="3" t="str">
        <x:f>IF(N124&gt;0,"Renegotiate terms","Maintain")</x:f>
        <x:v>Maintain</x:v>
      </x:c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 t="str">
        <x:v>AP-30124</x:v>
      </x:c>
      <x:c r="B125" s="3" t="str">
        <x:v>BlueSteel Materials</x:v>
      </x:c>
      <x:c r="C125" s="3" t="str">
        <x:v>Utilities</x:v>
      </x:c>
      <x:c r="D125" s="3" t="str">
        <x:v>Nashville</x:v>
      </x:c>
      <x:c r="E125" s="3" t="n">
        <x:v>46090</x:v>
      </x:c>
      <x:c r="F125" s="3" t="n">
        <x:v>30</x:v>
      </x:c>
      <x:c r="G125" s="3" t="n">
        <x:v>46120</x:v>
      </x:c>
      <x:c r="H125" s="3" t="n">
        <x:v>173716</x:v>
      </x:c>
      <x:c r="I125" s="3" t="n">
        <x:v>173716</x:v>
      </x:c>
      <x:c r="J125" s="3" t="str">
        <x:v>No</x:v>
      </x:c>
      <x:c r="K125" s="3" t="str">
        <x:v>No</x:v>
      </x:c>
      <x:c r="L125" s="3" t="n">
        <x:f>G125-TODAY()</x:f>
        <x:v>-25</x:v>
      </x:c>
      <x:c r="M125" s="3" t="n">
        <x:f>IF(J125="Yes",F125,IF(K125="Yes",MAX(F125,45),MAX(F125,60)))</x:f>
        <x:v>60</x:v>
      </x:c>
      <x:c r="N125" s="3" t="n">
        <x:f>MAX(M125-F125,0)</x:f>
        <x:v>30</x:v>
      </x:c>
      <x:c r="O125" s="3" t="n">
        <x:f>I125*N125/365</x:f>
        <x:v>14278.027397260274</x:v>
      </x:c>
      <x:c r="P125" s="3" t="str">
        <x:f>IF(N125&gt;0,"Renegotiate terms","Maintain")</x:f>
        <x:v>Renegotiate terms</x:v>
      </x:c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 t="str">
        <x:v>AP-30125</x:v>
      </x:c>
      <x:c r="B126" s="3" t="str">
        <x:v>Ironclad Metals</x:v>
      </x:c>
      <x:c r="C126" s="3" t="str">
        <x:v>Raw Materials</x:v>
      </x:c>
      <x:c r="D126" s="3" t="str">
        <x:v>Columbus</x:v>
      </x:c>
      <x:c r="E126" s="3" t="n">
        <x:v>46096</x:v>
      </x:c>
      <x:c r="F126" s="3" t="n">
        <x:v>15</x:v>
      </x:c>
      <x:c r="G126" s="3" t="n">
        <x:v>46111</x:v>
      </x:c>
      <x:c r="H126" s="3" t="n">
        <x:v>268214</x:v>
      </x:c>
      <x:c r="I126" s="3" t="n">
        <x:v>268214</x:v>
      </x:c>
      <x:c r="J126" s="3" t="str">
        <x:v>Yes</x:v>
      </x:c>
      <x:c r="K126" s="3" t="str">
        <x:v>No</x:v>
      </x:c>
      <x:c r="L126" s="3" t="n">
        <x:f>G126-TODAY()</x:f>
        <x:v>-34</x:v>
      </x:c>
      <x:c r="M126" s="3" t="n">
        <x:f>IF(J126="Yes",F126,IF(K126="Yes",MAX(F126,45),MAX(F126,60)))</x:f>
        <x:v>15</x:v>
      </x:c>
      <x:c r="N126" s="3" t="n">
        <x:f>MAX(M126-F126,0)</x:f>
        <x:v>0</x:v>
      </x:c>
      <x:c r="O126" s="3" t="n">
        <x:f>I126*N126/365</x:f>
        <x:v>0</x:v>
      </x:c>
      <x:c r="P126" s="3" t="str">
        <x:f>IF(N126&gt;0,"Renegotiate terms","Maintain")</x:f>
        <x:v>Maintain</x:v>
      </x:c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 t="str">
        <x:v>AP-30126</x:v>
      </x:c>
      <x:c r="B127" s="3" t="str">
        <x:v>BlueSteel Materials</x:v>
      </x:c>
      <x:c r="C127" s="3" t="str">
        <x:v>Insurance</x:v>
      </x:c>
      <x:c r="D127" s="3" t="str">
        <x:v>Chicago</x:v>
      </x:c>
      <x:c r="E127" s="3" t="n">
        <x:v>46084</x:v>
      </x:c>
      <x:c r="F127" s="3" t="n">
        <x:v>30</x:v>
      </x:c>
      <x:c r="G127" s="3" t="n">
        <x:v>46114</x:v>
      </x:c>
      <x:c r="H127" s="3" t="n">
        <x:v>167895</x:v>
      </x:c>
      <x:c r="I127" s="3" t="n">
        <x:v>125921</x:v>
      </x:c>
      <x:c r="J127" s="3" t="str">
        <x:v>Yes</x:v>
      </x:c>
      <x:c r="K127" s="3" t="str">
        <x:v>Yes</x:v>
      </x:c>
      <x:c r="L127" s="3" t="n">
        <x:f>G127-TODAY()</x:f>
        <x:v>-31</x:v>
      </x:c>
      <x:c r="M127" s="3" t="n">
        <x:f>IF(J127="Yes",F127,IF(K127="Yes",MAX(F127,45),MAX(F127,60)))</x:f>
        <x:v>30</x:v>
      </x:c>
      <x:c r="N127" s="3" t="n">
        <x:f>MAX(M127-F127,0)</x:f>
        <x:v>0</x:v>
      </x:c>
      <x:c r="O127" s="3" t="n">
        <x:f>I127*N127/365</x:f>
        <x:v>0</x:v>
      </x:c>
      <x:c r="P127" s="3" t="str">
        <x:f>IF(N127&gt;0,"Renegotiate terms","Maintain")</x:f>
        <x:v>Maintain</x:v>
      </x:c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 t="str">
        <x:v>AP-30127</x:v>
      </x:c>
      <x:c r="B128" s="3" t="str">
        <x:v>Lumen Software</x:v>
      </x:c>
      <x:c r="C128" s="3" t="str">
        <x:v>IT / Software</x:v>
      </x:c>
      <x:c r="D128" s="3" t="str">
        <x:v>Atlanta</x:v>
      </x:c>
      <x:c r="E128" s="3" t="n">
        <x:v>46071</x:v>
      </x:c>
      <x:c r="F128" s="3" t="n">
        <x:v>30</x:v>
      </x:c>
      <x:c r="G128" s="3" t="n">
        <x:v>46101</x:v>
      </x:c>
      <x:c r="H128" s="3" t="n">
        <x:v>331483</x:v>
      </x:c>
      <x:c r="I128" s="3" t="n">
        <x:v>331483</x:v>
      </x:c>
      <x:c r="J128" s="3" t="str">
        <x:v>No</x:v>
      </x:c>
      <x:c r="K128" s="3" t="str">
        <x:v>No</x:v>
      </x:c>
      <x:c r="L128" s="3" t="n">
        <x:f>G128-TODAY()</x:f>
        <x:v>-44</x:v>
      </x:c>
      <x:c r="M128" s="3" t="n">
        <x:f>IF(J128="Yes",F128,IF(K128="Yes",MAX(F128,45),MAX(F128,60)))</x:f>
        <x:v>60</x:v>
      </x:c>
      <x:c r="N128" s="3" t="n">
        <x:f>MAX(M128-F128,0)</x:f>
        <x:v>30</x:v>
      </x:c>
      <x:c r="O128" s="3" t="n">
        <x:f>I128*N128/365</x:f>
        <x:v>27245.178082191782</x:v>
      </x:c>
      <x:c r="P128" s="3" t="str">
        <x:f>IF(N128&gt;0,"Renegotiate terms","Maintain")</x:f>
        <x:v>Renegotiate terms</x:v>
      </x:c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 t="str">
        <x:v>AP-30128</x:v>
      </x:c>
      <x:c r="B129" s="3" t="str">
        <x:v>Pioneer Staffing</x:v>
      </x:c>
      <x:c r="C129" s="3" t="str">
        <x:v>IT / Software</x:v>
      </x:c>
      <x:c r="D129" s="3" t="str">
        <x:v>Nashville</x:v>
      </x:c>
      <x:c r="E129" s="3" t="n">
        <x:v>46074</x:v>
      </x:c>
      <x:c r="F129" s="3" t="n">
        <x:v>30</x:v>
      </x:c>
      <x:c r="G129" s="3" t="n">
        <x:v>46104</x:v>
      </x:c>
      <x:c r="H129" s="3" t="n">
        <x:v>83940</x:v>
      </x:c>
      <x:c r="I129" s="3" t="n">
        <x:v>83940</x:v>
      </x:c>
      <x:c r="J129" s="3" t="str">
        <x:v>No</x:v>
      </x:c>
      <x:c r="K129" s="3" t="str">
        <x:v>Yes</x:v>
      </x:c>
      <x:c r="L129" s="3" t="n">
        <x:f>G129-TODAY()</x:f>
        <x:v>-41</x:v>
      </x:c>
      <x:c r="M129" s="3" t="n">
        <x:f>IF(J129="Yes",F129,IF(K129="Yes",MAX(F129,45),MAX(F129,60)))</x:f>
        <x:v>45</x:v>
      </x:c>
      <x:c r="N129" s="3" t="n">
        <x:f>MAX(M129-F129,0)</x:f>
        <x:v>15</x:v>
      </x:c>
      <x:c r="O129" s="3" t="n">
        <x:f>I129*N129/365</x:f>
        <x:v>3449.5890410958905</x:v>
      </x:c>
      <x:c r="P129" s="3" t="str">
        <x:f>IF(N129&gt;0,"Renegotiate terms","Maintain")</x:f>
        <x:v>Renegotiate terms</x:v>
      </x:c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 t="str">
        <x:v>AP-30129</x:v>
      </x:c>
      <x:c r="B130" s="3" t="str">
        <x:v>RedRock Components</x:v>
      </x:c>
      <x:c r="C130" s="3" t="str">
        <x:v>Facilities</x:v>
      </x:c>
      <x:c r="D130" s="3" t="str">
        <x:v>Nashville</x:v>
      </x:c>
      <x:c r="E130" s="3" t="n">
        <x:v>46142</x:v>
      </x:c>
      <x:c r="F130" s="3" t="n">
        <x:v>30</x:v>
      </x:c>
      <x:c r="G130" s="3" t="n">
        <x:v>46172</x:v>
      </x:c>
      <x:c r="H130" s="3" t="n">
        <x:v>5766</x:v>
      </x:c>
      <x:c r="I130" s="3" t="n">
        <x:v>2883</x:v>
      </x:c>
      <x:c r="J130" s="3" t="str">
        <x:v>No</x:v>
      </x:c>
      <x:c r="K130" s="3" t="str">
        <x:v>No</x:v>
      </x:c>
      <x:c r="L130" s="3" t="n">
        <x:f>G130-TODAY()</x:f>
        <x:v>27</x:v>
      </x:c>
      <x:c r="M130" s="3" t="n">
        <x:f>IF(J130="Yes",F130,IF(K130="Yes",MAX(F130,45),MAX(F130,60)))</x:f>
        <x:v>60</x:v>
      </x:c>
      <x:c r="N130" s="3" t="n">
        <x:f>MAX(M130-F130,0)</x:f>
        <x:v>30</x:v>
      </x:c>
      <x:c r="O130" s="3" t="n">
        <x:f>I130*N130/365</x:f>
        <x:v>236.95890410958904</x:v>
      </x:c>
      <x:c r="P130" s="3" t="str">
        <x:f>IF(N130&gt;0,"Renegotiate terms","Maintain")</x:f>
        <x:v>Renegotiate terms</x:v>
      </x:c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 t="str">
        <x:v>AP-30130</x:v>
      </x:c>
      <x:c r="B131" s="3" t="str">
        <x:v>Delta Telecom</x:v>
      </x:c>
      <x:c r="C131" s="3" t="str">
        <x:v>IT / Software</x:v>
      </x:c>
      <x:c r="D131" s="3" t="str">
        <x:v>Columbus</x:v>
      </x:c>
      <x:c r="E131" s="3" t="n">
        <x:v>46113</x:v>
      </x:c>
      <x:c r="F131" s="3" t="n">
        <x:v>45</x:v>
      </x:c>
      <x:c r="G131" s="3" t="n">
        <x:v>46158</x:v>
      </x:c>
      <x:c r="H131" s="3" t="n">
        <x:v>262964</x:v>
      </x:c>
      <x:c r="I131" s="3" t="n">
        <x:v>262964</x:v>
      </x:c>
      <x:c r="J131" s="3" t="str">
        <x:v>No</x:v>
      </x:c>
      <x:c r="K131" s="3" t="str">
        <x:v>Yes</x:v>
      </x:c>
      <x:c r="L131" s="3" t="n">
        <x:f>G131-TODAY()</x:f>
        <x:v>13</x:v>
      </x:c>
      <x:c r="M131" s="3" t="n">
        <x:f>IF(J131="Yes",F131,IF(K131="Yes",MAX(F131,45),MAX(F131,60)))</x:f>
        <x:v>45</x:v>
      </x:c>
      <x:c r="N131" s="3" t="n">
        <x:f>MAX(M131-F131,0)</x:f>
        <x:v>0</x:v>
      </x:c>
      <x:c r="O131" s="3" t="n">
        <x:f>I131*N131/365</x:f>
        <x:v>0</x:v>
      </x:c>
      <x:c r="P131" s="3" t="str">
        <x:f>IF(N131&gt;0,"Renegotiate terms","Maintain")</x:f>
        <x:v>Maintain</x:v>
      </x:c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conditionalFormatting sqref="O2:O131">
    <x:cfRule type="dataBar" priority="1">
      <x:dataBar>
        <x:cfvo type="min"/>
        <x:cfvo type="max"/>
        <x:color rgb="B8862F"/>
      </x:dataBar>
      <x:extLst>
        <x:ext xmlns:x14="http://schemas.microsoft.com/office/spreadsheetml/2009/9/main" uri="{B025F937-C7B1-47D3-B67F-A62EFF666E3E}">
          <x14:id>{9294B20F-1C3D-B586-6C34-F50EE4EE82D2}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1825d93c91f4ba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294B20F-1C3D-B586-6C34-F50EE4EE82D2}">
            <x14:dataBar gradient="1">
              <x14:cfvo type="min"/>
              <x14:cfvo type="max"/>
              <x14:fillColor rgb="B8862F"/>
            </x14:dataBar>
          </x14:cfRule>
          <xm:sqref>O2:O131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.6299991607666" hidden="0" customWidth="1"/>
    <x:col min="3" max="3" width="74.55999755859375" hidden="0" customWidth="1"/>
    <x:col min="4" max="4" width="6.329999923706055" hidden="0" customWidth="1"/>
    <x:col min="5" max="5" width="11.4399995803833" hidden="0" customWidth="1"/>
    <x:col min="6" max="6" width="36" hidden="0" customWidth="1"/>
    <x:col min="7" max="7" width="16.290000915527344" hidden="0" customWidth="1"/>
    <x:col min="8" max="8" width="8.210000038146973" hidden="0" customWidth="1"/>
    <x:col min="9" max="9" width="42" hidden="0" customWidth="1"/>
  </x:cols>
  <x:sheetData>
    <x:row r="1" ht="32" customHeight="1">
      <x:c r="A1" s="7" t="str">
        <x:v>Working Capital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46" t="str">
        <x:v>Metric</x:v>
      </x:c>
      <x:c r="B3" s="46" t="str">
        <x:v>Current</x:v>
      </x:c>
      <x:c r="C3" s="46" t="str">
        <x:v>Target</x:v>
      </x:c>
      <x:c r="D3" s="46" t="str">
        <x:v>Variance</x:v>
      </x:c>
      <x:c r="E3" s="46" t="str">
        <x:v>Cash Impact ($)</x:v>
      </x:c>
      <x:c r="F3" s="46" t="str">
        <x:v>Formula Logic</x:v>
      </x:c>
      <x:c r="G3" s="46" t="str">
        <x:v>Primary Owner</x:v>
      </x:c>
      <x:c r="H3" s="46" t="str">
        <x:v>Priority</x:v>
      </x:c>
      <x:c r="I3" s="46" t="str">
        <x:v>Comment</x:v>
      </x:c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11" t="str">
        <x:v>DSO</x:v>
      </x:c>
      <x:c r="B4" s="50" t="n">
        <x:f>SUM(AR_Data!I:I)/Inputs!$B$4*365</x:f>
        <x:v>41.61705764</x:v>
      </x:c>
      <x:c r="C4" s="50" t="n">
        <x:f>Inputs!$B$10</x:f>
        <x:v>42</x:v>
      </x:c>
      <x:c r="D4" s="50" t="n">
        <x:f>B4-C4</x:f>
        <x:v>-0.38294236000000126</x:v>
      </x:c>
      <x:c r="E4" s="48" t="n">
        <x:f>(B4-C4)*Inputs!$B$4/365</x:f>
        <x:v>-262289.28767123376</x:v>
      </x:c>
      <x:c r="F4" s="3" t="str">
        <x:v>Current AR / Revenue × 365</x:v>
      </x:c>
      <x:c r="G4" s="3" t="str">
        <x:v>Controller</x:v>
      </x:c>
      <x:c r="H4" s="3" t="str">
        <x:v>High</x:v>
      </x:c>
      <x:c r="I4" s="3" t="str">
        <x:v>Reduce aged AR and billing disputes</x:v>
      </x:c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1" t="str">
        <x:v>DIO</x:v>
      </x:c>
      <x:c r="B5" s="50" t="n">
        <x:f>SUM(Inventory_Data!I:I)/Inputs!$B$5*365</x:f>
        <x:v>341.2585499534483</x:v>
      </x:c>
      <x:c r="C5" s="50" t="n">
        <x:f>Inputs!$B$11</x:f>
        <x:v>58</x:v>
      </x:c>
      <x:c r="D5" s="50" t="n">
        <x:f>B5-C5</x:f>
        <x:v>283.2585499534483</x:v>
      </x:c>
      <x:c r="E5" s="48" t="n">
        <x:f>(B5-C5)*Inputs!$B$5/365</x:f>
        <x:v>112527369.15958907</x:v>
      </x:c>
      <x:c r="F5" s="3" t="str">
        <x:v>Inventory / COGS × 365</x:v>
      </x:c>
      <x:c r="G5" s="3" t="str">
        <x:v>COO / Supply Chain</x:v>
      </x:c>
      <x:c r="H5" s="3" t="str">
        <x:v>High</x:v>
      </x:c>
      <x:c r="I5" s="3" t="str">
        <x:v>Reduce excess, obsolete, and slow-moving inventory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1" t="str">
        <x:v>DPO</x:v>
      </x:c>
      <x:c r="B6" s="50" t="n">
        <x:f>SUM(AP_Data!I:I)/Inputs!$B$6*365</x:f>
        <x:v>66.84175041666667</x:v>
      </x:c>
      <x:c r="C6" s="50" t="n">
        <x:f>Inputs!$B$12</x:f>
        <x:v>52</x:v>
      </x:c>
      <x:c r="D6" s="50" t="n">
        <x:f>C6-B6</x:f>
        <x:v>-14.84175041666667</x:v>
      </x:c>
      <x:c r="E6" s="48" t="n">
        <x:f>(C6-B6)*Inputs!$B$6/365</x:f>
        <x:v>-4879479.589041097</x:v>
      </x:c>
      <x:c r="F6" s="3" t="str">
        <x:v>AP / Purchases × 365</x:v>
      </x:c>
      <x:c r="G6" s="3" t="str">
        <x:v>CFO / Procurement</x:v>
      </x:c>
      <x:c r="H6" s="3" t="str">
        <x:v>Medium</x:v>
      </x:c>
      <x:c r="I6" s="3" t="str">
        <x:v>Extend terms where vendor risk is low</x:v>
      </x:c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1" t="str">
        <x:v>Cash Conversion Cycle</x:v>
      </x:c>
      <x:c r="B7" s="50" t="n">
        <x:f>B4+B5-B6</x:f>
        <x:v>316.0338571767816</x:v>
      </x:c>
      <x:c r="C7" s="50" t="n">
        <x:f>C4+C5-C6</x:f>
        <x:v>48</x:v>
      </x:c>
      <x:c r="D7" s="50" t="n">
        <x:f>B7-C7</x:f>
        <x:v>268.0338571767816</x:v>
      </x:c>
      <x:c r="E7" s="48" t="n">
        <x:f>SUM(E4:E6)</x:f>
        <x:v>107385600.28287673</x:v>
      </x:c>
      <x:c r="F7" s="3" t="str">
        <x:v>DSO + DIO - DPO</x:v>
      </x:c>
      <x:c r="G7" s="3" t="str">
        <x:v>CFO</x:v>
      </x:c>
      <x:c r="H7" s="3" t="str">
        <x:v>High</x:v>
      </x:c>
      <x:c r="I7" s="3" t="str">
        <x:v>Total CCC improvement and cash release</x:v>
      </x:c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11" t="str">
        <x:v>EBITDA / Value Context</x:v>
      </x:c>
      <x:c r="B9" s="11" t="str">
        <x:v>Value</x:v>
      </x:c>
      <x:c r="C9" s="11" t="str">
        <x:v>Notes</x:v>
      </x:c>
      <x:c r="D9" s="11" t="str"/>
      <x:c r="E9" s="11" t="str"/>
      <x:c r="F9" s="11" t="str"/>
      <x:c r="G9" s="11" t="str"/>
      <x:c r="H9" s="11" t="str"/>
      <x:c r="I9" s="11" t="str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 t="str">
        <x:v>Total Cash Release</x:v>
      </x:c>
      <x:c r="B10" s="48" t="n">
        <x:f>E7</x:f>
        <x:v>107385600.28287673</x:v>
      </x:c>
      <x:c r="C10" s="3" t="str">
        <x:v>Cash flow / debt paydown capacity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 t="str">
        <x:v>Estimated Annual Interest Savings</x:v>
      </x:c>
      <x:c r="B11" s="48" t="n">
        <x:f>B10*Inputs!$B$8</x:f>
        <x:v>9127776.024044523</x:v>
      </x:c>
      <x:c r="C11" s="3" t="str">
        <x:v>Cash savings from debt paydown at input interest rate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 t="str">
        <x:v>Potential Carrying Cost Reduction</x:v>
      </x:c>
      <x:c r="B12" s="48" t="n">
        <x:f>E5*Inputs!$B$13</x:f>
        <x:v>20254926.448726032</x:v>
      </x:c>
      <x:c r="C12" s="3" t="str">
        <x:v>Inventory carrying cost improvement estimate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 t="str">
        <x:v>Potential Bad Debt / Leakage Reduction</x:v>
      </x:c>
      <x:c r="B13" s="48" t="n">
        <x:f>E4*Inputs!$B$14</x:f>
        <x:v>-52457.85753424675</x:v>
      </x:c>
      <x:c r="C13" s="3" t="str">
        <x:v>Portion of AR release assumed to reduce bad debt/leakage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 t="str">
        <x:v>Less: Implementation Cost</x:v>
      </x:c>
      <x:c r="B14" s="48" t="n">
        <x:f>-Inputs!$B$15</x:f>
        <x:v>-650000</x:v>
      </x:c>
      <x:c r="C14" s="3" t="str">
        <x:v>One-time implementation cost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 t="str">
        <x:v>Annual EBITDA-Adjacent Benefit</x:v>
      </x:c>
      <x:c r="B15" s="48" t="n">
        <x:f>SUM(B11:B14)</x:f>
        <x:v>28680244.61523631</x:v>
      </x:c>
      <x:c r="C15" s="3" t="str">
        <x:v>Interest savings is cash / earnings impact depending treatment; inventory/bad debt can impact EBITDA</x:v>
      </x:c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 t="str">
        <x:v>Illustrative Enterprise Value Impact</x:v>
      </x:c>
      <x:c r="B16" s="48" t="n">
        <x:f>B15*Inputs!$B$9</x:f>
        <x:v>315482690.7675994</x:v>
      </x:c>
      <x:c r="C16" s="3" t="str">
        <x:v>EBITDA-adjacent benefit × multiple</x:v>
      </x:c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I1"/>
  </x:mergeCells>
  <x:conditionalFormatting sqref="E4:E7">
    <x:cfRule type="dataBar" priority="1">
      <x:dataBar>
        <x:cfvo type="min"/>
        <x:cfvo type="max"/>
        <x:color rgb="B8862F"/>
      </x:dataBar>
      <x:extLst>
        <x:ext xmlns:x14="http://schemas.microsoft.com/office/spreadsheetml/2009/9/main" uri="{B025F937-C7B1-47D3-B67F-A62EFF666E3E}">
          <x14:id>{AC7AE507-8321-F6FE-FB19-6E432DF0D1A4}</x14:id>
        </x:ext>
      </x:extLst>
    </x:cfRule>
  </x:conditionalFormatting>
  <x:dataValidations count="2">
    <x:dataValidation type="list" sqref="G4:H7">
      <x:formula1>"CFO,Controller,COO / Supply Chain,Procurement,Sales Ops"</x:formula1>
    </x:dataValidation>
    <x:dataValidation type="list" sqref="H4:H7">
      <x:formula1>"High,Medium,Low"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C7AE507-8321-F6FE-FB19-6E432DF0D1A4}">
            <x14:dataBar gradient="1">
              <x14:cfvo type="min"/>
              <x14:cfvo type="max"/>
              <x14:fillColor rgb="B8862F"/>
            </x14:dataBar>
          </x14:cfRule>
          <xm:sqref>E4:E7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34.86000061035156" hidden="0" customWidth="1"/>
    <x:col min="2" max="2" width="8.079999923706055" hidden="0" customWidth="1"/>
    <x:col min="3" max="3" width="7.809999942779541" hidden="0" customWidth="1"/>
    <x:col min="4" max="4" width="8.210000038146973" hidden="0" customWidth="1"/>
    <x:col min="5" max="5" width="14.539999961853027" hidden="0" customWidth="1"/>
    <x:col min="6" max="6" width="19.520000457763672" hidden="0" customWidth="1"/>
    <x:col min="7" max="7" width="14.399999618530273" hidden="0" customWidth="1"/>
    <x:col min="8" max="8" width="16.020000457763672" hidden="0" customWidth="1"/>
    <x:col min="9" max="9" width="17.6299991607666" hidden="0" customWidth="1"/>
    <x:col min="10" max="10" width="20.59000015258789" hidden="0" customWidth="1"/>
    <x:col min="11" max="11" width="16.290000915527344" hidden="0" customWidth="1"/>
  </x:cols>
  <x:sheetData>
    <x:row r="1" ht="32" customHeight="1">
      <x:c r="A1" s="7" t="str">
        <x:v>Working Capital Scenarios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46" t="str">
        <x:v>Scenario</x:v>
      </x:c>
      <x:c r="B3" s="46" t="str">
        <x:v>Target DSO</x:v>
      </x:c>
      <x:c r="C3" s="46" t="str">
        <x:v>Target DIO</x:v>
      </x:c>
      <x:c r="D3" s="46" t="str">
        <x:v>Target DPO</x:v>
      </x:c>
      <x:c r="E3" s="46" t="str">
        <x:v>AR Cash Release ($)</x:v>
      </x:c>
      <x:c r="F3" s="46" t="str">
        <x:v>Inventory Cash Release ($)</x:v>
      </x:c>
      <x:c r="G3" s="46" t="str">
        <x:v>AP Cash Release ($)</x:v>
      </x:c>
      <x:c r="H3" s="46" t="str">
        <x:v>Total Cash Release ($)</x:v>
      </x:c>
      <x:c r="I3" s="46" t="str">
        <x:v>Interest Savings ($)</x:v>
      </x:c>
      <x:c r="J3" s="46" t="str">
        <x:v>EBITDA-Adjacent Benefit ($)</x:v>
      </x:c>
      <x:c r="K3" s="46" t="str">
        <x:v>EV Impact ($)</x:v>
      </x:c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11" t="str">
        <x:f>Inputs!E4</x:f>
        <x:v>Conservative</x:v>
      </x:c>
      <x:c r="B4" s="50" t="n">
        <x:f>Inputs!F4</x:f>
        <x:v>48</x:v>
      </x:c>
      <x:c r="C4" s="50" t="n">
        <x:f>Inputs!G4</x:f>
        <x:v>65</x:v>
      </x:c>
      <x:c r="D4" s="50" t="n">
        <x:f>Inputs!H4</x:f>
        <x:v>45</x:v>
      </x:c>
      <x:c r="E4" s="48" t="n">
        <x:f>(Working_Capital!B4-B4)*Inputs!$B$4/365</x:f>
        <x:v>-4371878.328767124</x:v>
      </x:c>
      <x:c r="F4" s="48" t="n">
        <x:f>(Working_Capital!B5-C4)*Inputs!$B$5/365</x:f>
        <x:v>109746547.24178085</x:v>
      </x:c>
      <x:c r="G4" s="48" t="n">
        <x:f>(D4-Working_Capital!B6)*Inputs!$B$6/365</x:f>
        <x:v>-7180849.452054796</x:v>
      </x:c>
      <x:c r="H4" s="48" t="n">
        <x:f>SUM(E4:G4)</x:f>
        <x:v>98193819.46095893</x:v>
      </x:c>
      <x:c r="I4" s="48" t="n">
        <x:f>H4*Inputs!$B$8</x:f>
        <x:v>8346474.654181509</x:v>
      </x:c>
      <x:c r="J4" s="48" t="n">
        <x:f>I4+F4*Inputs!$B$13+E4*Inputs!$B$14-Inputs!$B$15</x:f>
        <x:v>26576477.491948638</x:v>
      </x:c>
      <x:c r="K4" s="48" t="n">
        <x:f>J4*Inputs!$B$9</x:f>
        <x:v>292341252.411435</x:v>
      </x:c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11" t="str">
        <x:f>Inputs!E5</x:f>
        <x:v>Base</x:v>
      </x:c>
      <x:c r="B5" s="50" t="n">
        <x:f>Inputs!F5</x:f>
        <x:v>42</x:v>
      </x:c>
      <x:c r="C5" s="50" t="n">
        <x:f>Inputs!G5</x:f>
        <x:v>58</x:v>
      </x:c>
      <x:c r="D5" s="50" t="n">
        <x:f>Inputs!H5</x:f>
        <x:v>52</x:v>
      </x:c>
      <x:c r="E5" s="48" t="n">
        <x:f>(Working_Capital!B4-B5)*Inputs!$B$4/365</x:f>
        <x:v>-262289.28767123376</x:v>
      </x:c>
      <x:c r="F5" s="48" t="n">
        <x:f>(Working_Capital!B5-C5)*Inputs!$B$5/365</x:f>
        <x:v>112527369.15958907</x:v>
      </x:c>
      <x:c r="G5" s="48" t="n">
        <x:f>(D5-Working_Capital!B6)*Inputs!$B$6/365</x:f>
        <x:v>-4879479.589041097</x:v>
      </x:c>
      <x:c r="H5" s="48" t="n">
        <x:f>SUM(E5:G5)</x:f>
        <x:v>107385600.28287673</x:v>
      </x:c>
      <x:c r="I5" s="48" t="n">
        <x:f>H5*Inputs!$B$8</x:f>
        <x:v>9127776.024044523</x:v>
      </x:c>
      <x:c r="J5" s="48" t="n">
        <x:f>I5+F5*Inputs!$B$13+E5*Inputs!$B$14-Inputs!$B$15</x:f>
        <x:v>28680244.61523631</x:v>
      </x:c>
      <x:c r="K5" s="48" t="n">
        <x:f>J5*Inputs!$B$9</x:f>
        <x:v>315482690.7675994</x:v>
      </x:c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11" t="str">
        <x:f>Inputs!E6</x:f>
        <x:v>Upside</x:v>
      </x:c>
      <x:c r="B6" s="50" t="n">
        <x:f>Inputs!F6</x:f>
        <x:v>36</x:v>
      </x:c>
      <x:c r="C6" s="50" t="n">
        <x:f>Inputs!G6</x:f>
        <x:v>50</x:v>
      </x:c>
      <x:c r="D6" s="50" t="n">
        <x:f>Inputs!H6</x:f>
        <x:v>60</x:v>
      </x:c>
      <x:c r="E6" s="48" t="n">
        <x:f>(Working_Capital!B4-B6)*Inputs!$B$4/365</x:f>
        <x:v>3847299.753424657</x:v>
      </x:c>
      <x:c r="F6" s="48" t="n">
        <x:f>(Working_Capital!B5-C6)*Inputs!$B$5/365</x:f>
        <x:v>115705451.35136989</x:v>
      </x:c>
      <x:c r="G6" s="48" t="n">
        <x:f>(D6-Working_Capital!B6)*Inputs!$B$6/365</x:f>
        <x:v>-2249342.602739727</x:v>
      </x:c>
      <x:c r="H6" s="48" t="n">
        <x:f>SUM(E6:G6)</x:f>
        <x:v>117303408.50205483</x:v>
      </x:c>
      <x:c r="I6" s="48" t="n">
        <x:f>H6*Inputs!$B$8</x:f>
        <x:v>9970789.72267466</x:v>
      </x:c>
      <x:c r="J6" s="48" t="n">
        <x:f>I6+F6*Inputs!$B$13+E6*Inputs!$B$14-Inputs!$B$15</x:f>
        <x:v>30917230.91660617</x:v>
      </x:c>
      <x:c r="K6" s="48" t="n">
        <x:f>J6*Inputs!$B$9</x:f>
        <x:v>340089540.0826679</x:v>
      </x:c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.0099983215332" hidden="0" customWidth="1"/>
    <x:col min="2" max="2" width="9.5600004196167" hidden="0" customWidth="1"/>
    <x:col min="3" max="3" width="8.479999542236328" hidden="0" customWidth="1"/>
    <x:col min="4" max="4" width="11.979999542236328" hidden="0" customWidth="1"/>
    <x:col min="5" max="5" width="41.59000015258789" hidden="0" customWidth="1"/>
  </x:cols>
  <x:sheetData>
    <x:row r="1" ht="32" customHeight="1">
      <x:c r="A1" s="7" t="str">
        <x:v>Cash Release Bridge &amp; Validation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17" t="str">
        <x:v>Lever</x:v>
      </x:c>
      <x:c r="B3" s="17" t="str">
        <x:v>Current Days</x:v>
      </x:c>
      <x:c r="C3" s="17" t="str">
        <x:v>Target Days</x:v>
      </x:c>
      <x:c r="D3" s="17" t="str">
        <x:v>Cash Release ($)</x:v>
      </x:c>
      <x:c r="E3" s="17" t="str">
        <x:v>Operating Action</x:v>
      </x:c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tr">
        <x:f>"Receivables / DSO"</x:f>
        <x:v>Receivables / DSO</x:v>
      </x:c>
      <x:c r="B4" s="50" t="n">
        <x:f>Working_Capital!B4</x:f>
        <x:v>41.61705764</x:v>
      </x:c>
      <x:c r="C4" s="50" t="n">
        <x:f>Working_Capital!C4</x:f>
        <x:v>42</x:v>
      </x:c>
      <x:c r="D4" s="48" t="n">
        <x:f>Working_Capital!E4</x:f>
        <x:v>-262289.28767123376</x:v>
      </x:c>
      <x:c r="E4" s="3" t="str">
        <x:f>"Tighten billing, dispute management, collections cadence"</x:f>
        <x:v>Tighten billing, dispute management, collections cadence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f>"Inventory / DIO"</x:f>
        <x:v>Inventory / DIO</x:v>
      </x:c>
      <x:c r="B5" s="50" t="n">
        <x:f>Working_Capital!B5</x:f>
        <x:v>341.2585499534483</x:v>
      </x:c>
      <x:c r="C5" s="50" t="n">
        <x:f>Working_Capital!C5</x:f>
        <x:v>58</x:v>
      </x:c>
      <x:c r="D5" s="48" t="n">
        <x:f>Working_Capital!E5</x:f>
        <x:v>112527369.15958907</x:v>
      </x:c>
      <x:c r="E5" s="3" t="str">
        <x:f>"Reduce SLOB, optimize safety stock, improve S&amp;OP"</x:f>
        <x:v>Reduce SLOB, optimize safety stock, improve S&amp;OP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f>"Payables / DPO"</x:f>
        <x:v>Payables / DPO</x:v>
      </x:c>
      <x:c r="B6" s="50" t="n">
        <x:f>Working_Capital!B6</x:f>
        <x:v>66.84175041666667</x:v>
      </x:c>
      <x:c r="C6" s="50" t="n">
        <x:f>Working_Capital!C6</x:f>
        <x:v>52</x:v>
      </x:c>
      <x:c r="D6" s="48" t="n">
        <x:f>Working_Capital!E6</x:f>
        <x:v>-4879479.589041097</x:v>
      </x:c>
      <x:c r="E6" s="3" t="str">
        <x:f>"Extend terms and standardize procure-to-pay controls"</x:f>
        <x:v>Extend terms and standardize procure-to-pay controls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11" t="str">
        <x:v>Total</x:v>
      </x:c>
      <x:c r="B7" s="52" t="n">
        <x:f>SUM(B4:B6)</x:f>
        <x:v>449.717358010115</x:v>
      </x:c>
      <x:c r="C7" s="52" t="n">
        <x:f>SUM(C4:C6)</x:f>
        <x:v>152</x:v>
      </x:c>
      <x:c r="D7" s="54" t="n">
        <x:f>SUM(D4:D6)</x:f>
        <x:v>107385600.28287673</x:v>
      </x:c>
      <x:c r="E7" s="11" t="str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17" t="str">
        <x:v>Validation Check</x:v>
      </x:c>
      <x:c r="B10" s="17" t="str">
        <x:v>Formula</x:v>
      </x:c>
      <x:c r="C10" s="17" t="str">
        <x:v>Result</x:v>
      </x:c>
      <x:c r="D10" s="17" t="str">
        <x:v>Status</x:v>
      </x:c>
      <x:c r="E10" s="17" t="str">
        <x:v>Notes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 t="str">
        <x:v>AR release matches WC summary</x:v>
      </x:c>
      <x:c r="B11" s="3" t="b">
        <x:f>D4=Working_Capital!E4</x:f>
        <x:v>1</x:v>
      </x:c>
      <x:c r="C11" s="3" t="b">
        <x:f>B11</x:f>
        <x:v>1</x:v>
      </x:c>
      <x:c r="D11" s="3" t="str">
        <x:f>IF(C11=TRUE,"OK","Check")</x:f>
        <x:v>OK</x:v>
      </x:c>
      <x:c r="E11" s="3" t="str">
        <x:v>Should be TRUE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 t="str">
        <x:v>Inventory release matches WC summary</x:v>
      </x:c>
      <x:c r="B12" s="3" t="b">
        <x:f>D5=Working_Capital!E5</x:f>
        <x:v>1</x:v>
      </x:c>
      <x:c r="C12" s="3" t="b">
        <x:f>B12</x:f>
        <x:v>1</x:v>
      </x:c>
      <x:c r="D12" s="3" t="str">
        <x:f>IF(C12=TRUE,"OK","Check")</x:f>
        <x:v>OK</x:v>
      </x:c>
      <x:c r="E12" s="3" t="str">
        <x:v>Should be TRUE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 t="str">
        <x:v>AP release matches WC summary</x:v>
      </x:c>
      <x:c r="B13" s="3" t="b">
        <x:f>D6=Working_Capital!E6</x:f>
        <x:v>1</x:v>
      </x:c>
      <x:c r="C13" s="3" t="b">
        <x:f>B13</x:f>
        <x:v>1</x:v>
      </x:c>
      <x:c r="D13" s="3" t="str">
        <x:f>IF(C13=TRUE,"OK","Check")</x:f>
        <x:v>OK</x:v>
      </x:c>
      <x:c r="E13" s="3" t="str">
        <x:v>Should be TRUE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 t="str">
        <x:v>Total cash release matches</x:v>
      </x:c>
      <x:c r="B14" s="3" t="b">
        <x:f>D7=Working_Capital!E7</x:f>
        <x:v>1</x:v>
      </x:c>
      <x:c r="C14" s="3" t="b">
        <x:f>B14</x:f>
        <x:v>1</x:v>
      </x:c>
      <x:c r="D14" s="3" t="str">
        <x:f>IF(C14=TRUE,"OK","Check")</x:f>
        <x:v>OK</x:v>
      </x:c>
      <x:c r="E14" s="3" t="str">
        <x:v>Should be TRUE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32" customHeight="1">
      <x:c r="A1" s="68" t="str">
        <x:v>Sources &amp; Assumption Notes</x:v>
      </x:c>
      <x:c r="B1" s="14"/>
      <x:c r="C1" s="14"/>
      <x:c r="D1" s="14"/>
      <x:c r="E1" s="14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17" t="str">
        <x:v>Source / Basis</x:v>
      </x:c>
      <x:c r="B3" s="17" t="str">
        <x:v>URL or Location</x:v>
      </x:c>
      <x:c r="C3" s="17" t="str">
        <x:v>Used For</x:v>
      </x:c>
      <x:c r="D3" s="17" t="str">
        <x:v>Notes</x:v>
      </x:c>
      <x:c r="E3" s="17" t="str">
        <x:v>Date</x:v>
      </x:c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 t="str">
        <x:v>User-provided model scope</x:v>
      </x:c>
      <x:c r="B4" s="3" t="str">
        <x:v>ChatGPT conversation</x:v>
      </x:c>
      <x:c r="C4" s="3" t="str">
        <x:v>Workbook design</x:v>
      </x:c>
      <x:c r="D4" s="3" t="str">
        <x:v>Procurement/pricing/working capital model sequence requested by user</x:v>
      </x:c>
      <x:c r="E4" s="3" t="str">
        <x:v>2026-05-02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 t="str">
        <x:v>Ops2EBITDA brand guidelines</x:v>
      </x:c>
      <x:c r="B5" s="3" t="str">
        <x:v>Local file: Ops2EBITDA — Brand Guidelines.pdf</x:v>
      </x:c>
      <x:c r="C5" s="3" t="str">
        <x:v>Colors, typography, visual style</x:v>
      </x:c>
      <x:c r="D5" s="3" t="str">
        <x:v>Bone/ink/ochre/sienna/stone/paper palette</x:v>
      </x:c>
      <x:c r="E5" s="3" t="str">
        <x:v>2026-05-02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3" t="str">
        <x:v>Synthetic sample data</x:v>
      </x:c>
      <x:c r="B6" s="3" t="str">
        <x:v>Generated in workbook</x:v>
      </x:c>
      <x:c r="C6" s="3" t="str">
        <x:v>AR, AP, inventory datasets</x:v>
      </x:c>
      <x:c r="D6" s="3" t="str">
        <x:v>Illustrative data only; replace with company exports</x:v>
      </x:c>
      <x:c r="E6" s="3" t="str">
        <x:v>2026-05-02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3" t="str">
        <x:v>Common PE working capital logic</x:v>
      </x:c>
      <x:c r="B7" s="3" t="str">
        <x:v>Model methodology</x:v>
      </x:c>
      <x:c r="C7" s="3" t="str">
        <x:v>DSO/DIO/DPO and CCC formulas</x:v>
      </x:c>
      <x:c r="D7" s="3" t="str">
        <x:v>DSO = AR/Revenue*365; DIO = Inventory/COGS*365; DPO = AP/Purchases*365</x:v>
      </x:c>
      <x:c r="E7" s="3" t="str">
        <x:v>N/A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</x:sheetData>
  <x:mergeCells>
    <x:mergeCell ref="A1:E1"/>
  </x:mergeCells>
  <x:pageMargins left="0.7" right="0.7" top="0.75" bottom="0.75" header="0.3" footer="0.3"/>
</x:worksheet>
</file>