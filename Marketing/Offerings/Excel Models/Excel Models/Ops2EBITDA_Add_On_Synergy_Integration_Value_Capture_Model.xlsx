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lakehenkelsmacbook/Desktop/Blake's-Vault/projects/pe-ops-learning-os/Marketing/Offerings/Excel Models/Excel Models/"/>
    </mc:Choice>
  </mc:AlternateContent>
  <xr:revisionPtr revIDLastSave="0" documentId="8_{95406174-27AD-DC48-B139-078AA4A57391}" xr6:coauthVersionLast="47" xr6:coauthVersionMax="47" xr10:uidLastSave="{00000000-0000-0000-0000-000000000000}"/>
  <bookViews>
    <workbookView xWindow="29400" yWindow="500" windowWidth="38400" windowHeight="21100" xr2:uid="{00000000-000D-0000-FFFF-FFFF00000000}"/>
  </bookViews>
  <sheets>
    <sheet name="Dashboard" sheetId="1" r:id="rId1"/>
    <sheet name="Instructions" sheetId="2" r:id="rId2"/>
    <sheet name="Inputs" sheetId="3" r:id="rId3"/>
    <sheet name="Target_Financials" sheetId="4" r:id="rId4"/>
    <sheet name="Synergy_Tracker" sheetId="5" r:id="rId5"/>
    <sheet name="Integration_Milestones" sheetId="6" r:id="rId6"/>
    <sheet name="Workstream_Detail" sheetId="7" r:id="rId7"/>
    <sheet name="EBITDA_Bridge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7" l="1"/>
  <c r="B12" i="8"/>
  <c r="B6" i="8"/>
  <c r="B5" i="8"/>
  <c r="B7" i="8" s="1"/>
  <c r="E11" i="7"/>
  <c r="D11" i="7"/>
  <c r="C20" i="1" s="1"/>
  <c r="C11" i="7"/>
  <c r="B11" i="7"/>
  <c r="B20" i="1" s="1"/>
  <c r="E10" i="7"/>
  <c r="D10" i="7"/>
  <c r="C10" i="7"/>
  <c r="B10" i="7"/>
  <c r="B19" i="1" s="1"/>
  <c r="E9" i="7"/>
  <c r="D9" i="7"/>
  <c r="C18" i="1" s="1"/>
  <c r="C9" i="7"/>
  <c r="B9" i="7"/>
  <c r="B18" i="1" s="1"/>
  <c r="E8" i="7"/>
  <c r="D8" i="7"/>
  <c r="C17" i="1" s="1"/>
  <c r="C8" i="7"/>
  <c r="B8" i="7"/>
  <c r="B17" i="1" s="1"/>
  <c r="E7" i="7"/>
  <c r="D7" i="7"/>
  <c r="C7" i="7"/>
  <c r="B7" i="7"/>
  <c r="B16" i="1" s="1"/>
  <c r="E6" i="7"/>
  <c r="D6" i="7"/>
  <c r="C6" i="7"/>
  <c r="B6" i="7"/>
  <c r="B15" i="1" s="1"/>
  <c r="E5" i="7"/>
  <c r="D5" i="7"/>
  <c r="C14" i="1" s="1"/>
  <c r="C5" i="7"/>
  <c r="B5" i="7"/>
  <c r="B14" i="1" s="1"/>
  <c r="E4" i="7"/>
  <c r="D4" i="7"/>
  <c r="C4" i="7"/>
  <c r="B4" i="7"/>
  <c r="B13" i="1" s="1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K4" i="6"/>
  <c r="J4" i="6"/>
  <c r="Q23" i="5"/>
  <c r="R23" i="5" s="1"/>
  <c r="T23" i="5" s="1"/>
  <c r="K23" i="5"/>
  <c r="K22" i="5"/>
  <c r="Q22" i="5" s="1"/>
  <c r="R22" i="5" s="1"/>
  <c r="T22" i="5" s="1"/>
  <c r="Q21" i="5"/>
  <c r="R21" i="5" s="1"/>
  <c r="T21" i="5" s="1"/>
  <c r="K21" i="5"/>
  <c r="K20" i="5"/>
  <c r="Q20" i="5" s="1"/>
  <c r="R20" i="5" s="1"/>
  <c r="T20" i="5" s="1"/>
  <c r="Q19" i="5"/>
  <c r="R19" i="5" s="1"/>
  <c r="T19" i="5" s="1"/>
  <c r="K19" i="5"/>
  <c r="Q18" i="5"/>
  <c r="R18" i="5" s="1"/>
  <c r="T18" i="5" s="1"/>
  <c r="K18" i="5"/>
  <c r="K17" i="5"/>
  <c r="Q17" i="5" s="1"/>
  <c r="R17" i="5" s="1"/>
  <c r="T17" i="5" s="1"/>
  <c r="Q16" i="5"/>
  <c r="R16" i="5" s="1"/>
  <c r="T16" i="5" s="1"/>
  <c r="K16" i="5"/>
  <c r="K15" i="5"/>
  <c r="F11" i="7" s="1"/>
  <c r="R14" i="5"/>
  <c r="T14" i="5" s="1"/>
  <c r="Q14" i="5"/>
  <c r="G10" i="7" s="1"/>
  <c r="E19" i="1" s="1"/>
  <c r="K14" i="5"/>
  <c r="Q13" i="5"/>
  <c r="R13" i="5" s="1"/>
  <c r="K13" i="5"/>
  <c r="F10" i="7" s="1"/>
  <c r="K12" i="5"/>
  <c r="Q11" i="5"/>
  <c r="K11" i="5"/>
  <c r="F8" i="7" s="1"/>
  <c r="K10" i="5"/>
  <c r="Q10" i="5" s="1"/>
  <c r="R10" i="5" s="1"/>
  <c r="T10" i="5" s="1"/>
  <c r="R9" i="5"/>
  <c r="Q9" i="5"/>
  <c r="K9" i="5"/>
  <c r="F7" i="7" s="1"/>
  <c r="Q8" i="5"/>
  <c r="R8" i="5" s="1"/>
  <c r="T8" i="5" s="1"/>
  <c r="K8" i="5"/>
  <c r="K7" i="5"/>
  <c r="Q6" i="5"/>
  <c r="K6" i="5"/>
  <c r="F5" i="7" s="1"/>
  <c r="K5" i="5"/>
  <c r="Q5" i="5" s="1"/>
  <c r="R5" i="5" s="1"/>
  <c r="T5" i="5" s="1"/>
  <c r="Q4" i="5"/>
  <c r="G4" i="7" s="1"/>
  <c r="K4" i="5"/>
  <c r="C21" i="4"/>
  <c r="C20" i="4"/>
  <c r="C19" i="4"/>
  <c r="C18" i="4"/>
  <c r="C17" i="4"/>
  <c r="C16" i="4"/>
  <c r="C15" i="4"/>
  <c r="C14" i="4"/>
  <c r="B10" i="4"/>
  <c r="C8" i="4"/>
  <c r="C9" i="4" s="1"/>
  <c r="C6" i="4"/>
  <c r="B6" i="4"/>
  <c r="C5" i="4"/>
  <c r="B5" i="4"/>
  <c r="D5" i="4" s="1"/>
  <c r="A29" i="1"/>
  <c r="A28" i="1"/>
  <c r="A27" i="1"/>
  <c r="A26" i="1"/>
  <c r="A25" i="1"/>
  <c r="A20" i="1"/>
  <c r="A31" i="1" s="1"/>
  <c r="D19" i="1"/>
  <c r="B30" i="1" s="1"/>
  <c r="F30" i="1" s="1"/>
  <c r="C19" i="1"/>
  <c r="A19" i="1"/>
  <c r="A30" i="1" s="1"/>
  <c r="A18" i="1"/>
  <c r="A17" i="1"/>
  <c r="C16" i="1"/>
  <c r="A16" i="1"/>
  <c r="C15" i="1"/>
  <c r="A15" i="1"/>
  <c r="A14" i="1"/>
  <c r="A13" i="1"/>
  <c r="A24" i="1" s="1"/>
  <c r="B12" i="7" l="1"/>
  <c r="D12" i="7"/>
  <c r="E12" i="7"/>
  <c r="A6" i="1" s="1"/>
  <c r="C12" i="7"/>
  <c r="C13" i="1"/>
  <c r="C7" i="4"/>
  <c r="R6" i="5"/>
  <c r="G5" i="7"/>
  <c r="E14" i="1" s="1"/>
  <c r="D14" i="1"/>
  <c r="B25" i="1" s="1"/>
  <c r="F25" i="1" s="1"/>
  <c r="B20" i="8"/>
  <c r="F6" i="7"/>
  <c r="Q7" i="5"/>
  <c r="D20" i="1"/>
  <c r="B31" i="1" s="1"/>
  <c r="F31" i="1" s="1"/>
  <c r="B26" i="8"/>
  <c r="F9" i="7"/>
  <c r="Q12" i="5"/>
  <c r="B25" i="8"/>
  <c r="F4" i="7"/>
  <c r="B9" i="8"/>
  <c r="H10" i="7"/>
  <c r="B22" i="8"/>
  <c r="T13" i="5"/>
  <c r="B7" i="4"/>
  <c r="D6" i="4"/>
  <c r="R11" i="5"/>
  <c r="G8" i="7"/>
  <c r="E17" i="1" s="1"/>
  <c r="R4" i="5"/>
  <c r="G7" i="7"/>
  <c r="E16" i="1" s="1"/>
  <c r="B23" i="8"/>
  <c r="D17" i="1"/>
  <c r="B28" i="1" s="1"/>
  <c r="F28" i="1" s="1"/>
  <c r="E13" i="1"/>
  <c r="D16" i="1"/>
  <c r="B27" i="1" s="1"/>
  <c r="F27" i="1" s="1"/>
  <c r="T9" i="5"/>
  <c r="H7" i="7"/>
  <c r="J16" i="1" s="1"/>
  <c r="Q15" i="5"/>
  <c r="R15" i="5" l="1"/>
  <c r="G11" i="7"/>
  <c r="E20" i="1" s="1"/>
  <c r="R7" i="5"/>
  <c r="G6" i="7"/>
  <c r="D22" i="8"/>
  <c r="E22" i="8"/>
  <c r="D27" i="1"/>
  <c r="H27" i="1" s="1"/>
  <c r="F19" i="1"/>
  <c r="C30" i="1" s="1"/>
  <c r="G30" i="1" s="1"/>
  <c r="C25" i="8"/>
  <c r="F25" i="8" s="1"/>
  <c r="J10" i="7"/>
  <c r="H19" i="1" s="1"/>
  <c r="I10" i="7"/>
  <c r="C22" i="8"/>
  <c r="F22" i="8" s="1"/>
  <c r="F16" i="1"/>
  <c r="C27" i="1" s="1"/>
  <c r="G27" i="1" s="1"/>
  <c r="J7" i="7"/>
  <c r="H16" i="1" s="1"/>
  <c r="I7" i="7"/>
  <c r="F12" i="7"/>
  <c r="D13" i="1"/>
  <c r="B24" i="1" s="1"/>
  <c r="F24" i="1" s="1"/>
  <c r="B19" i="8"/>
  <c r="H8" i="7"/>
  <c r="T11" i="5"/>
  <c r="B24" i="8"/>
  <c r="D18" i="1"/>
  <c r="B29" i="1" s="1"/>
  <c r="F29" i="1" s="1"/>
  <c r="H5" i="7"/>
  <c r="T6" i="5"/>
  <c r="D15" i="1"/>
  <c r="B26" i="1" s="1"/>
  <c r="F26" i="1" s="1"/>
  <c r="B21" i="8"/>
  <c r="T4" i="5"/>
  <c r="B8" i="8"/>
  <c r="B10" i="8" s="1"/>
  <c r="B11" i="8" s="1"/>
  <c r="B13" i="8" s="1"/>
  <c r="B14" i="8" s="1"/>
  <c r="H4" i="7"/>
  <c r="D25" i="8"/>
  <c r="J19" i="1"/>
  <c r="D7" i="4"/>
  <c r="D10" i="4"/>
  <c r="R12" i="5"/>
  <c r="G9" i="7"/>
  <c r="E18" i="1" s="1"/>
  <c r="F13" i="1" l="1"/>
  <c r="C24" i="1" s="1"/>
  <c r="G24" i="1" s="1"/>
  <c r="C19" i="8"/>
  <c r="D19" i="8" s="1"/>
  <c r="J4" i="7"/>
  <c r="K7" i="7"/>
  <c r="I16" i="1" s="1"/>
  <c r="I27" i="1" s="1"/>
  <c r="G16" i="1"/>
  <c r="T12" i="5"/>
  <c r="H9" i="7"/>
  <c r="E15" i="1"/>
  <c r="G12" i="7"/>
  <c r="E19" i="8"/>
  <c r="B27" i="8"/>
  <c r="T7" i="5"/>
  <c r="H6" i="7"/>
  <c r="C23" i="8"/>
  <c r="F17" i="1"/>
  <c r="C28" i="1" s="1"/>
  <c r="G28" i="1" s="1"/>
  <c r="J8" i="7"/>
  <c r="H17" i="1" s="1"/>
  <c r="I8" i="7"/>
  <c r="J17" i="1"/>
  <c r="J13" i="1"/>
  <c r="D30" i="1"/>
  <c r="H30" i="1" s="1"/>
  <c r="K19" i="1"/>
  <c r="K30" i="1" s="1"/>
  <c r="I4" i="7"/>
  <c r="G19" i="1"/>
  <c r="E30" i="1" s="1"/>
  <c r="J30" i="1" s="1"/>
  <c r="K10" i="7"/>
  <c r="I19" i="1" s="1"/>
  <c r="I30" i="1" s="1"/>
  <c r="C20" i="8"/>
  <c r="F14" i="1"/>
  <c r="C25" i="1" s="1"/>
  <c r="G25" i="1" s="1"/>
  <c r="J5" i="7"/>
  <c r="H14" i="1" s="1"/>
  <c r="I5" i="7"/>
  <c r="J14" i="1"/>
  <c r="E25" i="8"/>
  <c r="C6" i="1"/>
  <c r="T15" i="5"/>
  <c r="H11" i="7"/>
  <c r="F20" i="1" l="1"/>
  <c r="C31" i="1" s="1"/>
  <c r="G31" i="1" s="1"/>
  <c r="C26" i="8"/>
  <c r="J11" i="7"/>
  <c r="H20" i="1" s="1"/>
  <c r="J20" i="1"/>
  <c r="I11" i="7"/>
  <c r="C21" i="8"/>
  <c r="F15" i="1"/>
  <c r="C26" i="1" s="1"/>
  <c r="G26" i="1" s="1"/>
  <c r="J6" i="7"/>
  <c r="H15" i="1" s="1"/>
  <c r="J15" i="1"/>
  <c r="I6" i="7"/>
  <c r="H12" i="7"/>
  <c r="F23" i="8"/>
  <c r="E23" i="8"/>
  <c r="D23" i="8"/>
  <c r="D25" i="1"/>
  <c r="H25" i="1" s="1"/>
  <c r="K5" i="7"/>
  <c r="I14" i="1" s="1"/>
  <c r="I25" i="1" s="1"/>
  <c r="G14" i="1"/>
  <c r="E25" i="1" s="1"/>
  <c r="J25" i="1" s="1"/>
  <c r="H13" i="1"/>
  <c r="F19" i="8"/>
  <c r="F18" i="1"/>
  <c r="C29" i="1" s="1"/>
  <c r="G29" i="1" s="1"/>
  <c r="C24" i="8"/>
  <c r="J9" i="7"/>
  <c r="H18" i="1" s="1"/>
  <c r="I9" i="7"/>
  <c r="J18" i="1"/>
  <c r="K4" i="7"/>
  <c r="I13" i="1" s="1"/>
  <c r="I24" i="1" s="1"/>
  <c r="G13" i="1"/>
  <c r="E24" i="1" s="1"/>
  <c r="J24" i="1" s="1"/>
  <c r="E27" i="1"/>
  <c r="J27" i="1" s="1"/>
  <c r="K16" i="1"/>
  <c r="K27" i="1" s="1"/>
  <c r="D24" i="1"/>
  <c r="H24" i="1" s="1"/>
  <c r="K13" i="1"/>
  <c r="K24" i="1" s="1"/>
  <c r="D28" i="1"/>
  <c r="H28" i="1" s="1"/>
  <c r="G17" i="1"/>
  <c r="E28" i="1" s="1"/>
  <c r="J28" i="1" s="1"/>
  <c r="K8" i="7"/>
  <c r="I17" i="1" s="1"/>
  <c r="I28" i="1" s="1"/>
  <c r="F20" i="8"/>
  <c r="D20" i="8"/>
  <c r="E20" i="8"/>
  <c r="K6" i="7" l="1"/>
  <c r="I15" i="1" s="1"/>
  <c r="I26" i="1" s="1"/>
  <c r="G15" i="1"/>
  <c r="E26" i="1" s="1"/>
  <c r="J26" i="1" s="1"/>
  <c r="G18" i="1"/>
  <c r="E29" i="1" s="1"/>
  <c r="J29" i="1" s="1"/>
  <c r="K9" i="7"/>
  <c r="I18" i="1" s="1"/>
  <c r="I29" i="1" s="1"/>
  <c r="K14" i="1"/>
  <c r="K25" i="1" s="1"/>
  <c r="F21" i="8"/>
  <c r="E21" i="8"/>
  <c r="D21" i="8"/>
  <c r="F24" i="8"/>
  <c r="D24" i="8"/>
  <c r="E24" i="8"/>
  <c r="K11" i="7"/>
  <c r="I20" i="1" s="1"/>
  <c r="I31" i="1" s="1"/>
  <c r="G20" i="1"/>
  <c r="E31" i="1" s="1"/>
  <c r="J31" i="1" s="1"/>
  <c r="K20" i="1"/>
  <c r="K31" i="1" s="1"/>
  <c r="D31" i="1"/>
  <c r="H31" i="1" s="1"/>
  <c r="C27" i="8"/>
  <c r="E27" i="8" s="1"/>
  <c r="F26" i="8"/>
  <c r="E26" i="8"/>
  <c r="D26" i="8"/>
  <c r="D26" i="1"/>
  <c r="H26" i="1" s="1"/>
  <c r="D29" i="1"/>
  <c r="H29" i="1" s="1"/>
  <c r="K17" i="1"/>
  <c r="K28" i="1" s="1"/>
  <c r="J12" i="7"/>
  <c r="I6" i="1" s="1"/>
  <c r="E6" i="1"/>
  <c r="I12" i="7"/>
  <c r="F27" i="8" l="1"/>
  <c r="D27" i="8"/>
  <c r="K18" i="1"/>
  <c r="K29" i="1" s="1"/>
  <c r="G6" i="1"/>
  <c r="K15" i="1"/>
  <c r="K26" i="1" s="1"/>
  <c r="A9" i="1"/>
</calcChain>
</file>

<file path=xl/sharedStrings.xml><?xml version="1.0" encoding="utf-8"?>
<sst xmlns="http://schemas.openxmlformats.org/spreadsheetml/2006/main" count="630" uniqueCount="385">
  <si>
    <t>Ops2EBITDA</t>
  </si>
  <si>
    <t>Add-On Synergy Excel Model</t>
  </si>
  <si>
    <t>Integration value capture dashboard for tuck-in acquisitions and post-close synergy execution.</t>
  </si>
  <si>
    <t>Gross Synergy Target</t>
  </si>
  <si>
    <t>Net Synergy Target</t>
  </si>
  <si>
    <t>Validated EBITDA</t>
  </si>
  <si>
    <t>Validation %</t>
  </si>
  <si>
    <t>EV Uplift</t>
  </si>
  <si>
    <t>Current Read</t>
  </si>
  <si>
    <t>Priority Integration Workstreams</t>
  </si>
  <si>
    <t>Workstream</t>
  </si>
  <si>
    <t>Initiatives</t>
  </si>
  <si>
    <t># At Risk</t>
  </si>
  <si>
    <t>Net Target ($)</t>
  </si>
  <si>
    <t>Run-Rate Captured ($)</t>
  </si>
  <si>
    <t>Validated EBITDA ($)</t>
  </si>
  <si>
    <t>Exit Value ($)</t>
  </si>
  <si>
    <t>Status</t>
  </si>
  <si>
    <t>Gap to Target ($)</t>
  </si>
  <si>
    <t>Management Action</t>
  </si>
  <si>
    <t>Value Capture Visualization</t>
  </si>
  <si>
    <t>Target Bar</t>
  </si>
  <si>
    <t>Validated Bar</t>
  </si>
  <si>
    <t>Gap Bar</t>
  </si>
  <si>
    <t>Evidence Focus</t>
  </si>
  <si>
    <t>Owner Action</t>
  </si>
  <si>
    <t>How to Use This Model</t>
  </si>
  <si>
    <t>Step</t>
  </si>
  <si>
    <t>Action</t>
  </si>
  <si>
    <t>Details</t>
  </si>
  <si>
    <t>1</t>
  </si>
  <si>
    <t>Update Inputs</t>
  </si>
  <si>
    <t>Edit blue-font assumptions in the Inputs sheet. Update close date, current month, multiples, haircut, and financial baselines.</t>
  </si>
  <si>
    <t>2</t>
  </si>
  <si>
    <t>Replace sample synergy initiatives</t>
  </si>
  <si>
    <t>Use Synergy_Tracker to enter each cost, revenue, systems, footprint, and back-office synergy. Keep one initiative per row.</t>
  </si>
  <si>
    <t>3</t>
  </si>
  <si>
    <t>Validate one-time costs</t>
  </si>
  <si>
    <t>Add integration costs by initiative so the EBITDA and value bridge separates run-rate value from implementation cost.</t>
  </si>
  <si>
    <t>4</t>
  </si>
  <si>
    <t>Track milestones</t>
  </si>
  <si>
    <t>Use Integration_Milestones to manage Day 1, Day 30, Day 100, Month 6, and Month 12 execution.</t>
  </si>
  <si>
    <t>5</t>
  </si>
  <si>
    <t>Review Workstream Detail</t>
  </si>
  <si>
    <t>Use Workstream_Detail to identify which workstreams are behind plan, under-validated, or at risk.</t>
  </si>
  <si>
    <t>6</t>
  </si>
  <si>
    <t>Use Dashboard for executive readout</t>
  </si>
  <si>
    <t>Use Dashboard for board/management discussion: total synergy target, captured run-rate, validated EBITDA, EV uplift, and priority actions.</t>
  </si>
  <si>
    <t>7</t>
  </si>
  <si>
    <t>Refresh evidence quality</t>
  </si>
  <si>
    <t>Validated EBITDA is risk-weighted by evidence quality. Increase evidence quality only when savings are visible in budget, invoices, headcount, contracts, or booked contribution margin.</t>
  </si>
  <si>
    <t>Workbook Flow</t>
  </si>
  <si>
    <t>Inputs</t>
  </si>
  <si>
    <t>Set assumptions and deal baseline</t>
  </si>
  <si>
    <t>Target_Financials</t>
  </si>
  <si>
    <t>Review target cost base and entry economics</t>
  </si>
  <si>
    <t>Synergy_Tracker</t>
  </si>
  <si>
    <t>Enter initiatives, target values, risk haircuts, realization, evidence quality</t>
  </si>
  <si>
    <t>Integration_Milestones</t>
  </si>
  <si>
    <t>Track integration execution and due dates</t>
  </si>
  <si>
    <t>Workstream_Detail</t>
  </si>
  <si>
    <t>Summarize target/capture/validation by workstream</t>
  </si>
  <si>
    <t>EBITDA_Bridge</t>
  </si>
  <si>
    <t>Translate synergies into post-synergy EBITDA and enterprise value</t>
  </si>
  <si>
    <t>Dashboard</t>
  </si>
  <si>
    <t>Use as executive summary and management action page</t>
  </si>
  <si>
    <t>Ops2EBITDA — Add-On Synergy &amp; Integration Value Capture Model</t>
  </si>
  <si>
    <t>Editable Assumptions</t>
  </si>
  <si>
    <t>Assumption</t>
  </si>
  <si>
    <t>Value</t>
  </si>
  <si>
    <t>Units / Format</t>
  </si>
  <si>
    <t>Notes</t>
  </si>
  <si>
    <t>Platform Revenue</t>
  </si>
  <si>
    <t>$</t>
  </si>
  <si>
    <t>Standalone platform revenue</t>
  </si>
  <si>
    <t>Platform EBITDA</t>
  </si>
  <si>
    <t>Standalone platform EBITDA</t>
  </si>
  <si>
    <t>Target Revenue</t>
  </si>
  <si>
    <t>Acquired target annual revenue</t>
  </si>
  <si>
    <t>Target EBITDA</t>
  </si>
  <si>
    <t>Acquired target standalone EBITDA</t>
  </si>
  <si>
    <t>Platform Exit Multiple</t>
  </si>
  <si>
    <t>x</t>
  </si>
  <si>
    <t>Valuation multiple for value capture</t>
  </si>
  <si>
    <t>Target Purchase Multiple</t>
  </si>
  <si>
    <t>Entry multiple paid for target EBITDA</t>
  </si>
  <si>
    <t>Tax / Leakage Rate</t>
  </si>
  <si>
    <t>%</t>
  </si>
  <si>
    <t>Optional leakage rate for net value</t>
  </si>
  <si>
    <t>Synergy Realization Haircut</t>
  </si>
  <si>
    <t>Default risk haircut for savings realization</t>
  </si>
  <si>
    <t>One-Time Integration Cost Multiple</t>
  </si>
  <si>
    <t>Default one-time cost as multiple of Year 1 gross run-rate synergy</t>
  </si>
  <si>
    <t>Integration Start Date</t>
  </si>
  <si>
    <t>date</t>
  </si>
  <si>
    <t>Expected Day 1 / close date</t>
  </si>
  <si>
    <t>Current Month</t>
  </si>
  <si>
    <t>Used for status and run-rate tracking</t>
  </si>
  <si>
    <t>EBITDA Validation Threshold</t>
  </si>
  <si>
    <t>Minimum validated / target threshold for green status</t>
  </si>
  <si>
    <t>Run-Rate Threshold</t>
  </si>
  <si>
    <t>Minimum run-rate / target threshold for watchlist</t>
  </si>
  <si>
    <t>Currency</t>
  </si>
  <si>
    <t>USD</t>
  </si>
  <si>
    <t>text</t>
  </si>
  <si>
    <t>Model currency</t>
  </si>
  <si>
    <t>Workstream Benchmarks / Default Realization Curves</t>
  </si>
  <si>
    <t>Default Owner</t>
  </si>
  <si>
    <t>Realization Month 3</t>
  </si>
  <si>
    <t>Realization Month 6</t>
  </si>
  <si>
    <t>Realization Month 12</t>
  </si>
  <si>
    <t>Risk Level</t>
  </si>
  <si>
    <t>Typical Evidence Required</t>
  </si>
  <si>
    <t>Procurement</t>
  </si>
  <si>
    <t>CPO / CFO</t>
  </si>
  <si>
    <t>Medium</t>
  </si>
  <si>
    <t>Signed vendor contract, invoice proof, purchase order compliance</t>
  </si>
  <si>
    <t>G&amp;A / SG&amp;A</t>
  </si>
  <si>
    <t>CFO / COO</t>
  </si>
  <si>
    <t>Org changes, eliminated run-rate spend, budget removal</t>
  </si>
  <si>
    <t>Systems / IT</t>
  </si>
  <si>
    <t>CIO / Integration Lead</t>
  </si>
  <si>
    <t>High</t>
  </si>
  <si>
    <t>System decommissioning, license termination, support cost removal</t>
  </si>
  <si>
    <t>Revenue / Cross-sell</t>
  </si>
  <si>
    <t>CRO</t>
  </si>
  <si>
    <t>Booked revenue, retained margin, CRM opportunity proof</t>
  </si>
  <si>
    <t>Facilities / Footprint</t>
  </si>
  <si>
    <t>COO</t>
  </si>
  <si>
    <t>Lease exit, utilization evidence, cost baseline</t>
  </si>
  <si>
    <t>Finance / Back Office</t>
  </si>
  <si>
    <t>CFO</t>
  </si>
  <si>
    <t>Closed process migration, headcount/vendor cost removal</t>
  </si>
  <si>
    <t>Supply Chain / Logistics</t>
  </si>
  <si>
    <t>COO / VP Supply Chain</t>
  </si>
  <si>
    <t>Carrier rate proof, lane-level savings, freight invoices</t>
  </si>
  <si>
    <t>Revenue Leakage</t>
  </si>
  <si>
    <t>CRO / CFO</t>
  </si>
  <si>
    <t>Contract compliance, billing correction, invoice proof</t>
  </si>
  <si>
    <t>Target + Platform Financial Baseline</t>
  </si>
  <si>
    <t>Financial Baseline and Entry Value</t>
  </si>
  <si>
    <t>Metric</t>
  </si>
  <si>
    <t>Platform</t>
  </si>
  <si>
    <t>Target</t>
  </si>
  <si>
    <t>Combined Pre-Synergy</t>
  </si>
  <si>
    <t>Formula / Notes</t>
  </si>
  <si>
    <t>Revenue ($)</t>
  </si>
  <si>
    <t>Platform + target</t>
  </si>
  <si>
    <t>EBITDA ($)</t>
  </si>
  <si>
    <t>Standalone EBITDA</t>
  </si>
  <si>
    <t>EBITDA Margin</t>
  </si>
  <si>
    <t>EBITDA / Revenue</t>
  </si>
  <si>
    <t>Purchase Enterprise Value ($)</t>
  </si>
  <si>
    <t>Target EBITDA x purchase multiple</t>
  </si>
  <si>
    <t>Implied Revenue Multiple</t>
  </si>
  <si>
    <t>Purchase EV / target revenue</t>
  </si>
  <si>
    <t>Platform EV at Exit Multiple</t>
  </si>
  <si>
    <t>EBITDA x platform multiple</t>
  </si>
  <si>
    <t>Standalone Target P&amp;L by Function / Cost Base</t>
  </si>
  <si>
    <t>Function / Cost Base</t>
  </si>
  <si>
    <t>Annual Cost / Revenue ($)</t>
  </si>
  <si>
    <t>% of Target Revenue</t>
  </si>
  <si>
    <t>Integration Relevance</t>
  </si>
  <si>
    <t>Primary Synergy Lever</t>
  </si>
  <si>
    <t>Direct Materials / COGS</t>
  </si>
  <si>
    <t>Procurement / supply chain</t>
  </si>
  <si>
    <t>Vendor terms, commodity rates, volume leverage</t>
  </si>
  <si>
    <t>Freight &amp; Logistics</t>
  </si>
  <si>
    <t>Carrier consolidation and lane optimization</t>
  </si>
  <si>
    <t>Sales &amp; Marketing</t>
  </si>
  <si>
    <t>G&amp;A / Revenue</t>
  </si>
  <si>
    <t>Channel overlap, cross-sell, marketing stack</t>
  </si>
  <si>
    <t>G&amp;A Payroll</t>
  </si>
  <si>
    <t>Duplicative finance, HR, admin roles</t>
  </si>
  <si>
    <t>IT Software &amp; Infrastructure</t>
  </si>
  <si>
    <t>Duplicate systems, licenses, hosting, support</t>
  </si>
  <si>
    <t>Facilities &amp; Occupancy</t>
  </si>
  <si>
    <t>Lease overlap and site consolidation</t>
  </si>
  <si>
    <t>Finance / Back Office Services</t>
  </si>
  <si>
    <t>External accounting, payroll, AP processing</t>
  </si>
  <si>
    <t>Other OpEx</t>
  </si>
  <si>
    <t>Professional services and discretionary spend</t>
  </si>
  <si>
    <t>Synergy Tracker — Cost, Revenue, and Integration Value Capture</t>
  </si>
  <si>
    <t>ID</t>
  </si>
  <si>
    <t>Initiative</t>
  </si>
  <si>
    <t>Owner</t>
  </si>
  <si>
    <t>Priority</t>
  </si>
  <si>
    <t>Start Date</t>
  </si>
  <si>
    <t>Target Date</t>
  </si>
  <si>
    <t>Gross Target ($)</t>
  </si>
  <si>
    <t>Risk Haircut %</t>
  </si>
  <si>
    <t>One-Time Cost ($)</t>
  </si>
  <si>
    <t>Month 3 Realization %</t>
  </si>
  <si>
    <t>Month 6 Realization %</t>
  </si>
  <si>
    <t>Month 12 Realization %</t>
  </si>
  <si>
    <t>Current Realization %</t>
  </si>
  <si>
    <t>Evidence Quality</t>
  </si>
  <si>
    <t>Value at Exit ($)</t>
  </si>
  <si>
    <t>SYN-001</t>
  </si>
  <si>
    <t>Consolidate packaging vendors</t>
  </si>
  <si>
    <t>CPO</t>
  </si>
  <si>
    <t>In Progress</t>
  </si>
  <si>
    <t>Move target volume to platform preferred supplier</t>
  </si>
  <si>
    <t>SYN-002</t>
  </si>
  <si>
    <t>Renegotiate raw material contracts</t>
  </si>
  <si>
    <t>Not Started</t>
  </si>
  <si>
    <t>Low</t>
  </si>
  <si>
    <t>RFP required for top three suppliers</t>
  </si>
  <si>
    <t>SYN-003</t>
  </si>
  <si>
    <t>Move freight to platform carrier rates</t>
  </si>
  <si>
    <t>VP Supply Chain</t>
  </si>
  <si>
    <t>Lane-level validation started</t>
  </si>
  <si>
    <t>SYN-004</t>
  </si>
  <si>
    <t>Eliminate duplicate accounting roles</t>
  </si>
  <si>
    <t>Complete</t>
  </si>
  <si>
    <t>Severance included in one-time cost</t>
  </si>
  <si>
    <t>SYN-005</t>
  </si>
  <si>
    <t>Consolidate HR and payroll admin</t>
  </si>
  <si>
    <t>CHRO</t>
  </si>
  <si>
    <t>Transition services period through Q4</t>
  </si>
  <si>
    <t>SYN-006</t>
  </si>
  <si>
    <t>Decommission target ERP licenses</t>
  </si>
  <si>
    <t>CIO</t>
  </si>
  <si>
    <t>At Risk</t>
  </si>
  <si>
    <t>Migration dependencies delaying savings</t>
  </si>
  <si>
    <t>SYN-007</t>
  </si>
  <si>
    <t>Consolidate CRM and marketing tools</t>
  </si>
  <si>
    <t>Includes license rationalization</t>
  </si>
  <si>
    <t>SYN-008</t>
  </si>
  <si>
    <t>Close duplicate regional office</t>
  </si>
  <si>
    <t>Lease termination negotiation pending</t>
  </si>
  <si>
    <t>SYN-009</t>
  </si>
  <si>
    <t>Move AP to platform shared service</t>
  </si>
  <si>
    <t>PO compliance required</t>
  </si>
  <si>
    <t>SYN-010</t>
  </si>
  <si>
    <t>Cross-sell target product into platform top accounts</t>
  </si>
  <si>
    <t>Contribution margin savings equivalent</t>
  </si>
  <si>
    <t>SYN-011</t>
  </si>
  <si>
    <t>Bundle platform service into target accounts</t>
  </si>
  <si>
    <t>Requires sales enablement</t>
  </si>
  <si>
    <t>SYN-012</t>
  </si>
  <si>
    <t>Correct under-billed service fees</t>
  </si>
  <si>
    <t>CFO / CRO</t>
  </si>
  <si>
    <t>Contract-to-invoice audit complete</t>
  </si>
  <si>
    <t>SYN-013</t>
  </si>
  <si>
    <t>Professional services vendor rationalization</t>
  </si>
  <si>
    <t>Outside counsel/accounting overlap</t>
  </si>
  <si>
    <t>SYN-014</t>
  </si>
  <si>
    <t>IT hardware and telecom contract rebid</t>
  </si>
  <si>
    <t>CIO / CPO</t>
  </si>
  <si>
    <t>Tail opportunity</t>
  </si>
  <si>
    <t>SYN-015</t>
  </si>
  <si>
    <t>Standardize warehouse labor model</t>
  </si>
  <si>
    <t>Labor relations risk</t>
  </si>
  <si>
    <t>SYN-016</t>
  </si>
  <si>
    <t>Outsource/automate expense processing</t>
  </si>
  <si>
    <t>Could bundle with AP migration</t>
  </si>
  <si>
    <t>SYN-017</t>
  </si>
  <si>
    <t>Terminate duplicate cyber and endpoint tools</t>
  </si>
  <si>
    <t>Termination letters confirmed</t>
  </si>
  <si>
    <t>SYN-018</t>
  </si>
  <si>
    <t>Harmonize surcharge pass-through policy</t>
  </si>
  <si>
    <t>Requires sales comp alignment</t>
  </si>
  <si>
    <t>SYN-019</t>
  </si>
  <si>
    <t>Consolidate warehouse overflow space</t>
  </si>
  <si>
    <t>Inventory cleanup dependency</t>
  </si>
  <si>
    <t>SYN-020</t>
  </si>
  <si>
    <t>Insurance broker consolidation</t>
  </si>
  <si>
    <t>Benchmark underway</t>
  </si>
  <si>
    <t>Integration Milestones — Day 1 to Day 365 Execution Control</t>
  </si>
  <si>
    <t>Milestone ID</t>
  </si>
  <si>
    <t>Phase</t>
  </si>
  <si>
    <t>Milestone</t>
  </si>
  <si>
    <t>Due Date</t>
  </si>
  <si>
    <t>Dependency</t>
  </si>
  <si>
    <t>Criticality</t>
  </si>
  <si>
    <t>Days Until Due</t>
  </si>
  <si>
    <t>Late?</t>
  </si>
  <si>
    <t>M-001</t>
  </si>
  <si>
    <t>Day 1</t>
  </si>
  <si>
    <t>Open combined cash reporting process</t>
  </si>
  <si>
    <t>Close</t>
  </si>
  <si>
    <t>Day-1 treasury visibility</t>
  </si>
  <si>
    <t>M-002</t>
  </si>
  <si>
    <t>Management Cadence</t>
  </si>
  <si>
    <t>Launch integration command center</t>
  </si>
  <si>
    <t>Integration Lead</t>
  </si>
  <si>
    <t>Weekly integration review</t>
  </si>
  <si>
    <t>M-003</t>
  </si>
  <si>
    <t>Day 30</t>
  </si>
  <si>
    <t>Confirm duplicate role list and severance plan</t>
  </si>
  <si>
    <t>CFO / CHRO</t>
  </si>
  <si>
    <t>HR diligence</t>
  </si>
  <si>
    <t>Needed for run-rate validation</t>
  </si>
  <si>
    <t>M-004</t>
  </si>
  <si>
    <t>Load target vendor master into spend cube</t>
  </si>
  <si>
    <t>AP extract</t>
  </si>
  <si>
    <t>Supports quick-win sourcing</t>
  </si>
  <si>
    <t>M-005</t>
  </si>
  <si>
    <t>Day 60</t>
  </si>
  <si>
    <t>Complete contract-to-invoice audit</t>
  </si>
  <si>
    <t>Customer contracts</t>
  </si>
  <si>
    <t>Billing correction workstream</t>
  </si>
  <si>
    <t>M-006</t>
  </si>
  <si>
    <t>Finalize target ERP migration plan</t>
  </si>
  <si>
    <t>Data mapping</t>
  </si>
  <si>
    <t>Delay risk</t>
  </si>
  <si>
    <t>M-007</t>
  </si>
  <si>
    <t>Day 90</t>
  </si>
  <si>
    <t>Move freight lanes to platform carriers</t>
  </si>
  <si>
    <t>Carrier contracts</t>
  </si>
  <si>
    <t>Track lane-level compliance</t>
  </si>
  <si>
    <t>M-008</t>
  </si>
  <si>
    <t>Move AP approval workflow to platform standard</t>
  </si>
  <si>
    <t>PO policy</t>
  </si>
  <si>
    <t>Shared service dependency</t>
  </si>
  <si>
    <t>M-009</t>
  </si>
  <si>
    <t>Day 100</t>
  </si>
  <si>
    <t>Board / Governance</t>
  </si>
  <si>
    <t>Approve updated synergy forecast</t>
  </si>
  <si>
    <t>Validated tracker</t>
  </si>
  <si>
    <t>Board decision point</t>
  </si>
  <si>
    <t>M-010</t>
  </si>
  <si>
    <t>Month 6</t>
  </si>
  <si>
    <t>Complete top 10 supplier renegotiations</t>
  </si>
  <si>
    <t>RFP launch</t>
  </si>
  <si>
    <t>Large cost synergy</t>
  </si>
  <si>
    <t>M-011</t>
  </si>
  <si>
    <t>Sales / Revenue</t>
  </si>
  <si>
    <t>Launch cross-sell playbook with top 50 accounts</t>
  </si>
  <si>
    <t>Sales enablement</t>
  </si>
  <si>
    <t>Requires account mapping</t>
  </si>
  <si>
    <t>M-012</t>
  </si>
  <si>
    <t>Remove duplicated budget from FY27 plan</t>
  </si>
  <si>
    <t>Budget cycle</t>
  </si>
  <si>
    <t>Proof of EBITDA capture</t>
  </si>
  <si>
    <t>M-013</t>
  </si>
  <si>
    <t>Month 9</t>
  </si>
  <si>
    <t>Migrate core financial data to platform ERP</t>
  </si>
  <si>
    <t>ERP migration plan</t>
  </si>
  <si>
    <t>At-risk dependency for license savings</t>
  </si>
  <si>
    <t>M-014</t>
  </si>
  <si>
    <t>Negotiate regional office lease exit</t>
  </si>
  <si>
    <t>Legal review</t>
  </si>
  <si>
    <t>Landlord discussion needed</t>
  </si>
  <si>
    <t>M-015</t>
  </si>
  <si>
    <t>Month 12</t>
  </si>
  <si>
    <t>Decommission target ERP</t>
  </si>
  <si>
    <t>ERP migration</t>
  </si>
  <si>
    <t>Unlocks IT savings</t>
  </si>
  <si>
    <t>M-016</t>
  </si>
  <si>
    <t>Validate first-year cross-sell contribution margin</t>
  </si>
  <si>
    <t>Booked revenue</t>
  </si>
  <si>
    <t>Revenue synergy proof</t>
  </si>
  <si>
    <t>M-017</t>
  </si>
  <si>
    <t>Integration Office</t>
  </si>
  <si>
    <t>Close integration office or transition to BAU owners</t>
  </si>
  <si>
    <t>All workstreams</t>
  </si>
  <si>
    <t>Institutionalize tracking</t>
  </si>
  <si>
    <t>Workstream Detail — Target, Capture, Validation, and Status</t>
  </si>
  <si>
    <t># Complete</t>
  </si>
  <si>
    <t>Total</t>
  </si>
  <si>
    <t>EBITDA Bridge — Standalone to Post-Synergy Run-Rate</t>
  </si>
  <si>
    <t>Bridge Summary</t>
  </si>
  <si>
    <t>Bridge Item</t>
  </si>
  <si>
    <t>Amount ($)</t>
  </si>
  <si>
    <t>Platform Standalone EBITDA</t>
  </si>
  <si>
    <t>From Inputs</t>
  </si>
  <si>
    <t>Target Standalone EBITDA</t>
  </si>
  <si>
    <t>Combined Pre-Synergy EBITDA</t>
  </si>
  <si>
    <t>Validated Cost Synergies</t>
  </si>
  <si>
    <t>Validated non-revenue synergies</t>
  </si>
  <si>
    <t>Validated Revenue Synergy Contribution</t>
  </si>
  <si>
    <t>Revenue synergy contribution margin equivalent</t>
  </si>
  <si>
    <t>Post-Synergy Run-Rate EBITDA</t>
  </si>
  <si>
    <t>Current validated run-rate</t>
  </si>
  <si>
    <t>Incremental EBITDA vs. Pre-Synergy</t>
  </si>
  <si>
    <t>Value capture</t>
  </si>
  <si>
    <t>One-Time Integration Costs</t>
  </si>
  <si>
    <t>Estimated one-time cost</t>
  </si>
  <si>
    <t>Enterprise Value Uplift</t>
  </si>
  <si>
    <t>Incremental EBITDA x exit multiple</t>
  </si>
  <si>
    <t>Net Value After One-Time Costs</t>
  </si>
  <si>
    <t>EV uplift less one-time integration costs</t>
  </si>
  <si>
    <t>Value Capture by Workstream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</si>
</sst>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[Red]\(\$#,##0\);\-"/>
    <numFmt numFmtId="165" formatCode="0.0\x"/>
    <numFmt numFmtId="166" formatCode="0.0%"/>
    <numFmt numFmtId="167" formatCode="yyyy\-mm\-dd"/>
    <numFmt numFmtId="168" formatCode="0.0%;[Red]\(0.0%\);\-"/>
  </numFmts>
  <fonts count="20">
    <font>
      <sz val="11"/>
      <name val="Carlito"/>
    </font>
    <font>
      <sz val="11"/>
      <color rgb="FF161413"/>
      <name val="Aptos"/>
    </font>
    <font>
      <sz val="11"/>
      <color rgb="FF161413"/>
      <name val="Aptos"/>
    </font>
    <font>
      <b/>
      <sz val="11"/>
      <color rgb="FF161413"/>
      <name val="Aptos"/>
    </font>
    <font>
      <b/>
      <sz val="18"/>
      <color rgb="FF161413"/>
      <name val="Georgia"/>
      <family val="1"/>
    </font>
    <font>
      <sz val="11"/>
      <color rgb="FF0000FF"/>
      <name val="Aptos"/>
    </font>
    <font>
      <sz val="11"/>
      <color rgb="FF000000"/>
      <name val="Aptos"/>
    </font>
    <font>
      <b/>
      <sz val="10"/>
      <color rgb="FF161413"/>
      <name val="Arial"/>
      <family val="2"/>
    </font>
    <font>
      <sz val="10"/>
      <color rgb="FF161413"/>
      <name val="Arial"/>
      <family val="2"/>
    </font>
    <font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61413"/>
      <name val="Arial"/>
      <family val="2"/>
    </font>
    <font>
      <b/>
      <sz val="9"/>
      <color rgb="FF161413"/>
      <name val="Arial"/>
      <family val="2"/>
    </font>
    <font>
      <b/>
      <sz val="9"/>
      <color rgb="FF666666"/>
      <name val="Arial"/>
      <family val="2"/>
    </font>
    <font>
      <b/>
      <sz val="14"/>
      <color rgb="FF161413"/>
      <name val="Arial"/>
      <family val="2"/>
    </font>
    <font>
      <b/>
      <sz val="12"/>
      <color rgb="FF161413"/>
      <name val="Arial"/>
      <family val="2"/>
    </font>
    <font>
      <b/>
      <sz val="20"/>
      <color rgb="FF161413"/>
      <name val="Arial"/>
      <family val="2"/>
    </font>
    <font>
      <b/>
      <sz val="11"/>
      <color theme="0"/>
      <name val="Aptos"/>
    </font>
    <font>
      <sz val="11"/>
      <color theme="0"/>
      <name val="Aptos"/>
    </font>
  </fonts>
  <fills count="11">
    <fill>
      <patternFill patternType="none"/>
    </fill>
    <fill>
      <patternFill patternType="gray125"/>
    </fill>
    <fill>
      <patternFill patternType="solid">
        <fgColor rgb="FFF4EFE6"/>
      </patternFill>
    </fill>
    <fill>
      <patternFill patternType="solid">
        <fgColor rgb="FFB8862F"/>
      </patternFill>
    </fill>
    <fill>
      <patternFill patternType="solid">
        <fgColor rgb="FF161413"/>
      </patternFill>
    </fill>
    <fill>
      <patternFill patternType="solid">
        <fgColor rgb="FFEFE8DD"/>
      </patternFill>
    </fill>
    <fill>
      <patternFill patternType="solid">
        <fgColor rgb="FFFFFFFF"/>
      </patternFill>
    </fill>
    <fill>
      <patternFill patternType="solid">
        <fgColor rgb="FFF8F8F8"/>
      </patternFill>
    </fill>
    <fill>
      <patternFill patternType="solid">
        <fgColor rgb="FF1F2937"/>
      </patternFill>
    </fill>
    <fill>
      <patternFill patternType="solid">
        <fgColor rgb="FF404040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8" fillId="6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164" fontId="7" fillId="6" borderId="0" xfId="0" applyNumberFormat="1" applyFont="1" applyFill="1" applyAlignment="1">
      <alignment vertical="top" wrapText="1"/>
    </xf>
    <xf numFmtId="166" fontId="7" fillId="6" borderId="0" xfId="0" applyNumberFormat="1" applyFont="1" applyFill="1" applyAlignment="1">
      <alignment vertical="top" wrapText="1"/>
    </xf>
    <xf numFmtId="164" fontId="8" fillId="6" borderId="0" xfId="0" applyNumberFormat="1" applyFont="1" applyFill="1" applyAlignment="1">
      <alignment vertical="top" wrapText="1"/>
    </xf>
    <xf numFmtId="164" fontId="7" fillId="7" borderId="2" xfId="0" applyNumberFormat="1" applyFont="1" applyFill="1" applyBorder="1" applyAlignment="1">
      <alignment vertical="top" wrapText="1"/>
    </xf>
    <xf numFmtId="0" fontId="8" fillId="7" borderId="7" xfId="0" applyFont="1" applyFill="1" applyBorder="1" applyAlignment="1">
      <alignment vertical="top" wrapText="1"/>
    </xf>
    <xf numFmtId="0" fontId="8" fillId="7" borderId="8" xfId="0" applyFont="1" applyFill="1" applyBorder="1" applyAlignment="1">
      <alignment vertical="top" wrapText="1"/>
    </xf>
    <xf numFmtId="0" fontId="14" fillId="7" borderId="3" xfId="0" applyFont="1" applyFill="1" applyBorder="1" applyAlignment="1">
      <alignment horizontal="center" vertical="top" wrapText="1"/>
    </xf>
    <xf numFmtId="164" fontId="15" fillId="7" borderId="5" xfId="0" applyNumberFormat="1" applyFont="1" applyFill="1" applyBorder="1" applyAlignment="1">
      <alignment horizontal="center" vertical="top" wrapText="1"/>
    </xf>
    <xf numFmtId="0" fontId="16" fillId="6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17" fillId="6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vertical="top" wrapText="1"/>
    </xf>
    <xf numFmtId="0" fontId="8" fillId="7" borderId="4" xfId="0" applyFont="1" applyFill="1" applyBorder="1" applyAlignment="1">
      <alignment vertical="top" wrapText="1"/>
    </xf>
    <xf numFmtId="0" fontId="8" fillId="7" borderId="6" xfId="0" applyFont="1" applyFill="1" applyBorder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8" fillId="6" borderId="0" xfId="0" applyFont="1" applyFill="1" applyAlignment="1">
      <alignment vertical="center" wrapText="1"/>
    </xf>
    <xf numFmtId="164" fontId="14" fillId="7" borderId="3" xfId="0" applyNumberFormat="1" applyFont="1" applyFill="1" applyBorder="1" applyAlignment="1">
      <alignment horizontal="center" vertical="top" wrapText="1"/>
    </xf>
    <xf numFmtId="164" fontId="15" fillId="7" borderId="5" xfId="0" applyNumberFormat="1" applyFont="1" applyFill="1" applyBorder="1" applyAlignment="1">
      <alignment horizontal="center" vertical="top" wrapText="1"/>
    </xf>
    <xf numFmtId="0" fontId="14" fillId="7" borderId="3" xfId="0" applyFont="1" applyFill="1" applyBorder="1" applyAlignment="1">
      <alignment horizontal="center" vertical="top" wrapText="1"/>
    </xf>
    <xf numFmtId="164" fontId="7" fillId="7" borderId="4" xfId="0" applyNumberFormat="1" applyFont="1" applyFill="1" applyBorder="1" applyAlignment="1">
      <alignment vertical="top" wrapText="1"/>
    </xf>
    <xf numFmtId="168" fontId="15" fillId="7" borderId="5" xfId="0" applyNumberFormat="1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left" vertical="top"/>
    </xf>
    <xf numFmtId="0" fontId="1" fillId="0" borderId="9" xfId="0" applyFont="1" applyBorder="1" applyAlignment="1">
      <alignment vertical="top" wrapText="1"/>
    </xf>
    <xf numFmtId="0" fontId="18" fillId="10" borderId="9" xfId="0" applyFont="1" applyFill="1" applyBorder="1" applyAlignment="1">
      <alignment vertical="top"/>
    </xf>
    <xf numFmtId="0" fontId="10" fillId="8" borderId="9" xfId="0" applyFont="1" applyFill="1" applyBorder="1" applyAlignment="1">
      <alignment horizontal="left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vertical="center" wrapText="1"/>
    </xf>
    <xf numFmtId="0" fontId="12" fillId="6" borderId="9" xfId="0" applyFont="1" applyFill="1" applyBorder="1" applyAlignment="1">
      <alignment horizontal="right" vertical="center" wrapText="1"/>
    </xf>
    <xf numFmtId="164" fontId="12" fillId="6" borderId="9" xfId="0" applyNumberFormat="1" applyFont="1" applyFill="1" applyBorder="1" applyAlignment="1">
      <alignment horizontal="right" vertical="center" wrapText="1"/>
    </xf>
    <xf numFmtId="168" fontId="12" fillId="6" borderId="9" xfId="0" applyNumberFormat="1" applyFont="1" applyFill="1" applyBorder="1" applyAlignment="1">
      <alignment horizontal="right" vertical="center" wrapText="1"/>
    </xf>
    <xf numFmtId="0" fontId="12" fillId="6" borderId="9" xfId="0" applyFont="1" applyFill="1" applyBorder="1" applyAlignment="1">
      <alignment horizontal="left" vertical="center" wrapText="1"/>
    </xf>
    <xf numFmtId="0" fontId="11" fillId="9" borderId="9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horizontal="center" vertical="center" wrapText="1"/>
    </xf>
    <xf numFmtId="164" fontId="13" fillId="6" borderId="9" xfId="0" applyNumberFormat="1" applyFont="1" applyFill="1" applyBorder="1" applyAlignment="1">
      <alignment horizontal="right" vertical="center" wrapText="1"/>
    </xf>
    <xf numFmtId="168" fontId="13" fillId="6" borderId="9" xfId="0" applyNumberFormat="1" applyFont="1" applyFill="1" applyBorder="1" applyAlignment="1">
      <alignment horizontal="right" vertical="center" wrapText="1"/>
    </xf>
    <xf numFmtId="0" fontId="18" fillId="4" borderId="10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 applyAlignment="1">
      <alignment horizontal="center" vertical="top" wrapText="1"/>
    </xf>
    <xf numFmtId="9" fontId="1" fillId="0" borderId="9" xfId="0" applyNumberFormat="1" applyFont="1" applyBorder="1" applyAlignment="1">
      <alignment vertical="top"/>
    </xf>
    <xf numFmtId="0" fontId="18" fillId="3" borderId="0" xfId="0" applyFont="1" applyFill="1" applyAlignment="1">
      <alignment horizontal="left" vertical="top"/>
    </xf>
    <xf numFmtId="0" fontId="18" fillId="3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top"/>
    </xf>
    <xf numFmtId="0" fontId="18" fillId="4" borderId="0" xfId="0" applyFont="1" applyFill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164" fontId="5" fillId="0" borderId="9" xfId="0" applyNumberFormat="1" applyFont="1" applyBorder="1" applyAlignment="1">
      <alignment horizontal="left" vertical="top"/>
    </xf>
    <xf numFmtId="165" fontId="5" fillId="0" borderId="9" xfId="0" applyNumberFormat="1" applyFont="1" applyBorder="1" applyAlignment="1">
      <alignment horizontal="left" vertical="top"/>
    </xf>
    <xf numFmtId="166" fontId="5" fillId="0" borderId="9" xfId="0" applyNumberFormat="1" applyFont="1" applyBorder="1" applyAlignment="1">
      <alignment horizontal="left" vertical="top"/>
    </xf>
    <xf numFmtId="167" fontId="5" fillId="0" borderId="9" xfId="0" applyNumberFormat="1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19" fillId="0" borderId="0" xfId="0" applyFont="1" applyAlignment="1">
      <alignment vertical="top"/>
    </xf>
    <xf numFmtId="0" fontId="18" fillId="3" borderId="0" xfId="0" applyFont="1" applyFill="1" applyAlignment="1">
      <alignment vertical="top"/>
    </xf>
    <xf numFmtId="164" fontId="1" fillId="0" borderId="9" xfId="0" applyNumberFormat="1" applyFont="1" applyBorder="1" applyAlignment="1">
      <alignment vertical="top"/>
    </xf>
    <xf numFmtId="166" fontId="1" fillId="0" borderId="9" xfId="0" applyNumberFormat="1" applyFont="1" applyBorder="1" applyAlignment="1">
      <alignment vertical="top"/>
    </xf>
    <xf numFmtId="0" fontId="18" fillId="4" borderId="0" xfId="0" applyFont="1" applyFill="1" applyAlignment="1">
      <alignment horizontal="left" vertical="center"/>
    </xf>
    <xf numFmtId="164" fontId="1" fillId="0" borderId="9" xfId="0" applyNumberFormat="1" applyFont="1" applyBorder="1" applyAlignment="1">
      <alignment horizontal="left" vertical="top"/>
    </xf>
    <xf numFmtId="166" fontId="1" fillId="0" borderId="9" xfId="0" applyNumberFormat="1" applyFont="1" applyBorder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left" vertical="center"/>
    </xf>
    <xf numFmtId="166" fontId="1" fillId="0" borderId="9" xfId="0" applyNumberFormat="1" applyFont="1" applyBorder="1" applyAlignment="1">
      <alignment horizontal="left" vertical="center"/>
    </xf>
    <xf numFmtId="165" fontId="1" fillId="0" borderId="9" xfId="0" applyNumberFormat="1" applyFont="1" applyBorder="1" applyAlignment="1">
      <alignment horizontal="left" vertical="center"/>
    </xf>
    <xf numFmtId="0" fontId="18" fillId="4" borderId="0" xfId="0" applyFont="1" applyFill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167" fontId="1" fillId="0" borderId="9" xfId="0" applyNumberFormat="1" applyFont="1" applyBorder="1" applyAlignment="1">
      <alignment horizontal="left" vertical="center" wrapText="1"/>
    </xf>
    <xf numFmtId="164" fontId="5" fillId="0" borderId="9" xfId="0" applyNumberFormat="1" applyFont="1" applyBorder="1" applyAlignment="1">
      <alignment horizontal="left" vertical="center" wrapText="1"/>
    </xf>
    <xf numFmtId="166" fontId="5" fillId="0" borderId="9" xfId="0" applyNumberFormat="1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left" vertical="center" wrapText="1"/>
    </xf>
    <xf numFmtId="9" fontId="5" fillId="0" borderId="9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8" fillId="4" borderId="13" xfId="0" applyFont="1" applyFill="1" applyBorder="1" applyAlignment="1">
      <alignment horizontal="left" vertical="top"/>
    </xf>
    <xf numFmtId="0" fontId="18" fillId="4" borderId="14" xfId="0" applyFont="1" applyFill="1" applyBorder="1" applyAlignment="1">
      <alignment horizontal="left" vertical="top"/>
    </xf>
    <xf numFmtId="0" fontId="18" fillId="4" borderId="15" xfId="0" applyFont="1" applyFill="1" applyBorder="1" applyAlignment="1">
      <alignment horizontal="left" vertical="top"/>
    </xf>
    <xf numFmtId="0" fontId="1" fillId="0" borderId="16" xfId="0" applyFont="1" applyBorder="1" applyAlignment="1">
      <alignment vertical="top"/>
    </xf>
    <xf numFmtId="167" fontId="1" fillId="0" borderId="9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7" fontId="1" fillId="0" borderId="10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18" fillId="4" borderId="9" xfId="0" applyFont="1" applyFill="1" applyBorder="1" applyAlignment="1">
      <alignment horizontal="left" vertical="top"/>
    </xf>
    <xf numFmtId="0" fontId="3" fillId="5" borderId="9" xfId="0" applyFont="1" applyFill="1" applyBorder="1" applyAlignment="1">
      <alignment horizontal="left" vertical="top"/>
    </xf>
    <xf numFmtId="164" fontId="3" fillId="5" borderId="9" xfId="0" applyNumberFormat="1" applyFont="1" applyFill="1" applyBorder="1" applyAlignment="1">
      <alignment horizontal="left" vertical="top"/>
    </xf>
    <xf numFmtId="166" fontId="3" fillId="5" borderId="9" xfId="0" applyNumberFormat="1" applyFont="1" applyFill="1" applyBorder="1" applyAlignment="1">
      <alignment horizontal="left" vertical="top"/>
    </xf>
    <xf numFmtId="0" fontId="18" fillId="4" borderId="9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164" fontId="3" fillId="5" borderId="9" xfId="0" applyNumberFormat="1" applyFont="1" applyFill="1" applyBorder="1" applyAlignment="1">
      <alignment horizontal="left" vertical="center"/>
    </xf>
    <xf numFmtId="166" fontId="3" fillId="5" borderId="9" xfId="0" applyNumberFormat="1" applyFont="1" applyFill="1" applyBorder="1" applyAlignment="1">
      <alignment horizontal="left" vertical="center"/>
    </xf>
    <xf numFmtId="0" fontId="18" fillId="3" borderId="11" xfId="0" applyFont="1" applyFill="1" applyBorder="1" applyAlignment="1">
      <alignment horizontal="left" vertical="top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5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Aptos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color rgb="FF1F7A4C"/>
      </font>
      <fill>
        <patternFill>
          <bgColor rgb="FFD9EAD3"/>
        </patternFill>
      </fill>
    </dxf>
    <dxf>
      <font>
        <b/>
        <color rgb="FFB42318"/>
      </font>
      <fill>
        <patternFill>
          <bgColor rgb="FFF4CCCC"/>
        </patternFill>
      </fill>
    </dxf>
    <dxf>
      <font>
        <b/>
        <color rgb="FFB42318"/>
      </font>
      <fill>
        <patternFill>
          <bgColor rgb="FFF4CCCC"/>
        </patternFill>
      </fill>
    </dxf>
    <dxf>
      <font>
        <b/>
        <color rgb="FFB42318"/>
      </font>
      <fill>
        <patternFill>
          <bgColor rgb="FFF4CCCC"/>
        </patternFill>
      </fill>
    </dxf>
    <dxf>
      <font>
        <b/>
      </font>
      <fill>
        <patternFill>
          <bgColor rgb="FFFCE5CD"/>
        </patternFill>
      </fill>
    </dxf>
    <dxf>
      <font>
        <b/>
        <color rgb="FF1F7A4C"/>
      </font>
      <fill>
        <patternFill>
          <bgColor rgb="FFD9EAD3"/>
        </patternFill>
      </fill>
    </dxf>
    <dxf>
      <font>
        <b/>
        <color rgb="FFB42318"/>
      </font>
      <fill>
        <patternFill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1F7A4C"/>
      </font>
      <fill>
        <patternFill>
          <bgColor rgb="FFD9EAD3"/>
        </patternFill>
      </fill>
    </dxf>
    <dxf>
      <font>
        <b/>
        <color rgb="FFB42318"/>
      </font>
      <fill>
        <patternFill>
          <bgColor rgb="FFF4CCCC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Validated EBITDA</c:v>
          </c:tx>
          <c:invertIfNegative val="1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EBITDA_Bridge!$A$19:$A$26</c:f>
              <c:strCache>
                <c:ptCount val="8"/>
                <c:pt idx="0">
                  <c:v>Procurement</c:v>
                </c:pt>
                <c:pt idx="1">
                  <c:v>Supply Chain / Logistics</c:v>
                </c:pt>
                <c:pt idx="2">
                  <c:v>G&amp;A / SG&amp;A</c:v>
                </c:pt>
                <c:pt idx="3">
                  <c:v>Systems / IT</c:v>
                </c:pt>
                <c:pt idx="4">
                  <c:v>Facilities / Footprint</c:v>
                </c:pt>
                <c:pt idx="5">
                  <c:v>Finance / Back Office</c:v>
                </c:pt>
                <c:pt idx="6">
                  <c:v>Revenue / Cross-sell</c:v>
                </c:pt>
                <c:pt idx="7">
                  <c:v>Revenue Leakage</c:v>
                </c:pt>
              </c:strCache>
            </c:strRef>
          </c:cat>
          <c:val>
            <c:numRef>
              <c:f>EBITDA_Bridge!$C$19:$C$26</c:f>
              <c:numCache>
                <c:formatCode>\$#,##0;[Red]\(\$#,##0\);\-</c:formatCode>
                <c:ptCount val="8"/>
                <c:pt idx="0">
                  <c:v>371862.5</c:v>
                </c:pt>
                <c:pt idx="1">
                  <c:v>416470</c:v>
                </c:pt>
                <c:pt idx="2">
                  <c:v>940050</c:v>
                </c:pt>
                <c:pt idx="3">
                  <c:v>285192.5</c:v>
                </c:pt>
                <c:pt idx="4">
                  <c:v>7279.9999999999991</c:v>
                </c:pt>
                <c:pt idx="5">
                  <c:v>155760</c:v>
                </c:pt>
                <c:pt idx="6">
                  <c:v>51555</c:v>
                </c:pt>
                <c:pt idx="7">
                  <c:v>598485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8-584E-9B9B-331CF7C62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28</xdr:row>
      <xdr:rowOff>50800</xdr:rowOff>
    </xdr:from>
    <xdr:to>
      <xdr:col>4</xdr:col>
      <xdr:colOff>190500</xdr:colOff>
      <xdr:row>50</xdr:row>
      <xdr:rowOff>63500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ergyTrackerTable" displayName="SynergyTrackerTable" ref="A3:U23" headerRowDxfId="52" dataDxfId="31">
  <tableColumns count="21">
    <tableColumn id="1" xr3:uid="{00000000-0010-0000-0000-000001000000}" name="ID" dataDxfId="51"/>
    <tableColumn id="2" xr3:uid="{00000000-0010-0000-0000-000002000000}" name="Workstream" dataDxfId="50"/>
    <tableColumn id="3" xr3:uid="{00000000-0010-0000-0000-000003000000}" name="Initiative" dataDxfId="49"/>
    <tableColumn id="4" xr3:uid="{00000000-0010-0000-0000-000004000000}" name="Owner" dataDxfId="48"/>
    <tableColumn id="5" xr3:uid="{00000000-0010-0000-0000-000005000000}" name="Status" dataDxfId="47"/>
    <tableColumn id="6" xr3:uid="{00000000-0010-0000-0000-000006000000}" name="Priority" dataDxfId="46"/>
    <tableColumn id="7" xr3:uid="{00000000-0010-0000-0000-000007000000}" name="Start Date" dataDxfId="45"/>
    <tableColumn id="8" xr3:uid="{00000000-0010-0000-0000-000008000000}" name="Target Date" dataDxfId="44"/>
    <tableColumn id="9" xr3:uid="{00000000-0010-0000-0000-000009000000}" name="Gross Target ($)" dataDxfId="43"/>
    <tableColumn id="10" xr3:uid="{00000000-0010-0000-0000-00000A000000}" name="Risk Haircut %" dataDxfId="42"/>
    <tableColumn id="11" xr3:uid="{00000000-0010-0000-0000-00000B000000}" name="Net Target ($)" dataDxfId="41"/>
    <tableColumn id="12" xr3:uid="{00000000-0010-0000-0000-00000C000000}" name="One-Time Cost ($)" dataDxfId="40"/>
    <tableColumn id="13" xr3:uid="{00000000-0010-0000-0000-00000D000000}" name="Month 3 Realization %" dataDxfId="39"/>
    <tableColumn id="14" xr3:uid="{00000000-0010-0000-0000-00000E000000}" name="Month 6 Realization %" dataDxfId="38"/>
    <tableColumn id="15" xr3:uid="{00000000-0010-0000-0000-00000F000000}" name="Month 12 Realization %" dataDxfId="37"/>
    <tableColumn id="16" xr3:uid="{00000000-0010-0000-0000-000010000000}" name="Current Realization %" dataDxfId="36"/>
    <tableColumn id="17" xr3:uid="{00000000-0010-0000-0000-000011000000}" name="Run-Rate Captured ($)" dataDxfId="35"/>
    <tableColumn id="18" xr3:uid="{00000000-0010-0000-0000-000012000000}" name="Validated EBITDA ($)" dataDxfId="34"/>
    <tableColumn id="19" xr3:uid="{00000000-0010-0000-0000-000013000000}" name="Evidence Quality" dataDxfId="33"/>
    <tableColumn id="20" xr3:uid="{00000000-0010-0000-0000-000014000000}" name="Value at Exit ($)" dataDxfId="32"/>
    <tableColumn id="21" xr3:uid="{00000000-0010-0000-0000-000015000000}" name="Notes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grationMilestonesTable" displayName="IntegrationMilestonesTable" ref="A3:L20" headerRowDxfId="1" dataDxfId="16" totalsRowDxfId="0" headerRowBorderDxfId="14" tableBorderDxfId="15">
  <tableColumns count="12">
    <tableColumn id="1" xr3:uid="{00000000-0010-0000-0100-000001000000}" name="Milestone ID" dataDxfId="13"/>
    <tableColumn id="2" xr3:uid="{00000000-0010-0000-0100-000002000000}" name="Phase" dataDxfId="12"/>
    <tableColumn id="3" xr3:uid="{00000000-0010-0000-0100-000003000000}" name="Workstream" dataDxfId="11"/>
    <tableColumn id="4" xr3:uid="{00000000-0010-0000-0100-000004000000}" name="Milestone" dataDxfId="10"/>
    <tableColumn id="5" xr3:uid="{00000000-0010-0000-0100-000005000000}" name="Owner" dataDxfId="9"/>
    <tableColumn id="6" xr3:uid="{00000000-0010-0000-0100-000006000000}" name="Due Date" dataDxfId="8"/>
    <tableColumn id="7" xr3:uid="{00000000-0010-0000-0100-000007000000}" name="Status" dataDxfId="7"/>
    <tableColumn id="8" xr3:uid="{00000000-0010-0000-0100-000008000000}" name="Dependency" dataDxfId="6"/>
    <tableColumn id="9" xr3:uid="{00000000-0010-0000-0100-000009000000}" name="Criticality" dataDxfId="5"/>
    <tableColumn id="10" xr3:uid="{00000000-0010-0000-0100-00000A000000}" name="Days Until Due" dataDxfId="4"/>
    <tableColumn id="11" xr3:uid="{00000000-0010-0000-0100-00000B000000}" name="Late?" dataDxfId="3"/>
    <tableColumn id="12" xr3:uid="{00000000-0010-0000-0100-00000C000000}" name="Not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showGridLines="0" tabSelected="1" workbookViewId="0">
      <selection activeCell="M19" sqref="M19"/>
    </sheetView>
  </sheetViews>
  <sheetFormatPr baseColWidth="10" defaultColWidth="8.83203125" defaultRowHeight="14"/>
  <cols>
    <col min="1" max="1" width="24" customWidth="1"/>
    <col min="2" max="2" width="13" customWidth="1"/>
    <col min="3" max="3" width="9" customWidth="1"/>
    <col min="4" max="4" width="15" customWidth="1"/>
    <col min="5" max="5" width="16" customWidth="1"/>
    <col min="6" max="6" width="17" customWidth="1"/>
    <col min="7" max="7" width="12" customWidth="1"/>
    <col min="8" max="8" width="15" customWidth="1"/>
    <col min="9" max="9" width="14.1640625" customWidth="1"/>
    <col min="10" max="10" width="15.33203125" customWidth="1"/>
    <col min="11" max="11" width="34" customWidth="1"/>
    <col min="12" max="14" width="15" customWidth="1"/>
  </cols>
  <sheetData>
    <row r="1" spans="1:26" ht="24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" customHeight="1">
      <c r="A2" s="16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15"/>
      <c r="N2" s="1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customHeight="1">
      <c r="A3" s="20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" customHeight="1">
      <c r="A4" s="4"/>
      <c r="B4" s="3"/>
      <c r="C4" s="3"/>
      <c r="D4" s="4"/>
      <c r="E4" s="3"/>
      <c r="F4" s="3"/>
      <c r="G4" s="4"/>
      <c r="H4" s="3"/>
      <c r="I4" s="3"/>
      <c r="J4" s="3"/>
      <c r="K4" s="14"/>
      <c r="L4" s="17"/>
      <c r="M4" s="17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" customHeight="1">
      <c r="A5" s="22" t="s">
        <v>3</v>
      </c>
      <c r="B5" s="18"/>
      <c r="C5" s="24" t="s">
        <v>4</v>
      </c>
      <c r="D5" s="25"/>
      <c r="E5" s="24" t="s">
        <v>5</v>
      </c>
      <c r="F5" s="18"/>
      <c r="G5" s="22" t="s">
        <v>6</v>
      </c>
      <c r="H5" s="18"/>
      <c r="I5" s="11" t="s">
        <v>7</v>
      </c>
      <c r="J5" s="9"/>
      <c r="K5" s="18"/>
      <c r="L5" s="17"/>
      <c r="M5" s="17"/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" customHeight="1">
      <c r="A6" s="23">
        <f>Workstream_Detail!E12</f>
        <v>12590000</v>
      </c>
      <c r="B6" s="19"/>
      <c r="C6" s="23">
        <f>Workstream_Detail!F12</f>
        <v>10158800</v>
      </c>
      <c r="D6" s="19"/>
      <c r="E6" s="23">
        <f>Workstream_Detail!H12</f>
        <v>2826655</v>
      </c>
      <c r="F6" s="19"/>
      <c r="G6" s="26">
        <f>Workstream_Detail!I12</f>
        <v>0.27824693861479705</v>
      </c>
      <c r="H6" s="19"/>
      <c r="I6" s="12">
        <f>Workstream_Detail!J12</f>
        <v>32506532.5</v>
      </c>
      <c r="J6" s="10"/>
      <c r="K6" s="19"/>
      <c r="L6" s="17"/>
      <c r="M6" s="17"/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" customHeight="1">
      <c r="A7" s="4"/>
      <c r="B7" s="3"/>
      <c r="C7" s="3"/>
      <c r="D7" s="4"/>
      <c r="E7" s="3"/>
      <c r="F7" s="3"/>
      <c r="G7" s="4"/>
      <c r="H7" s="3"/>
      <c r="I7" s="3"/>
      <c r="J7" s="3"/>
      <c r="K7" s="14"/>
      <c r="L7" s="17"/>
      <c r="M7" s="17"/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" customHeight="1">
      <c r="A8" s="8" t="s">
        <v>8</v>
      </c>
      <c r="B8" s="3"/>
      <c r="C8" s="3"/>
      <c r="D8" s="6"/>
      <c r="E8" s="3"/>
      <c r="F8" s="3"/>
      <c r="G8" s="5"/>
      <c r="H8" s="3"/>
      <c r="I8" s="3"/>
      <c r="J8" s="3"/>
      <c r="K8" s="14"/>
      <c r="L8" s="17"/>
      <c r="M8" s="17"/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2" customHeight="1">
      <c r="A9" s="21" t="str">
        <f>"Current read: "&amp;TEXT(Workstream_Detail!H12,"$0.0,,\M")&amp;" of validated EBITDA captured, representing "&amp;TEXT(Workstream_Detail!I12,"0.0%")&amp;" of net target. Focus on at-risk workstreams and the largest gaps to target."</f>
        <v>Current read: $2.8M of validated EBITDA captured, representing 27.8% of net target. Focus on at-risk workstreams and the largest gaps to target.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" customHeight="1">
      <c r="A11" s="30" t="s">
        <v>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" customHeight="1">
      <c r="A12" s="31" t="s">
        <v>10</v>
      </c>
      <c r="B12" s="31" t="s">
        <v>11</v>
      </c>
      <c r="C12" s="31" t="s">
        <v>12</v>
      </c>
      <c r="D12" s="31" t="s">
        <v>13</v>
      </c>
      <c r="E12" s="31" t="s">
        <v>14</v>
      </c>
      <c r="F12" s="31" t="s">
        <v>15</v>
      </c>
      <c r="G12" s="31" t="s">
        <v>6</v>
      </c>
      <c r="H12" s="31" t="s">
        <v>16</v>
      </c>
      <c r="I12" s="31" t="s">
        <v>17</v>
      </c>
      <c r="J12" s="31" t="s">
        <v>18</v>
      </c>
      <c r="K12" s="31" t="s">
        <v>19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" customHeight="1">
      <c r="A13" s="32" t="str">
        <f>Workstream_Detail!A4</f>
        <v>Procurement</v>
      </c>
      <c r="B13" s="33">
        <f>Workstream_Detail!B4</f>
        <v>3</v>
      </c>
      <c r="C13" s="33">
        <f>Workstream_Detail!D4</f>
        <v>0</v>
      </c>
      <c r="D13" s="34">
        <f>Workstream_Detail!F4</f>
        <v>2198000</v>
      </c>
      <c r="E13" s="34">
        <f>Workstream_Detail!G4</f>
        <v>622750</v>
      </c>
      <c r="F13" s="34">
        <f>Workstream_Detail!H4</f>
        <v>371862.5</v>
      </c>
      <c r="G13" s="35">
        <f>Workstream_Detail!I4</f>
        <v>0.1691822111010009</v>
      </c>
      <c r="H13" s="34">
        <f>Workstream_Detail!J4</f>
        <v>4276418.75</v>
      </c>
      <c r="I13" s="34" t="str">
        <f>Workstream_Detail!K4</f>
        <v>Behind</v>
      </c>
      <c r="J13" s="34">
        <f>Workstream_Detail!F4-Workstream_Detail!H4</f>
        <v>1826137.5</v>
      </c>
      <c r="K13" s="36" t="str">
        <f t="shared" ref="K13:K20" si="0">IF(J13&gt;1000000,"Escalate owner and rebuild recovery plan",IF(G13&lt;0.5,"Improve evidence and validation","Monitor"))</f>
        <v>Escalate owner and rebuild recovery plan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customHeight="1">
      <c r="A14" s="32" t="str">
        <f>Workstream_Detail!A5</f>
        <v>Supply Chain / Logistics</v>
      </c>
      <c r="B14" s="33">
        <f>Workstream_Detail!B5</f>
        <v>2</v>
      </c>
      <c r="C14" s="33">
        <f>Workstream_Detail!D5</f>
        <v>1</v>
      </c>
      <c r="D14" s="34">
        <f>Workstream_Detail!F5</f>
        <v>1102800</v>
      </c>
      <c r="E14" s="34">
        <f>Workstream_Detail!G5</f>
        <v>444680</v>
      </c>
      <c r="F14" s="34">
        <f>Workstream_Detail!H5</f>
        <v>416470</v>
      </c>
      <c r="G14" s="35">
        <f>Workstream_Detail!I5</f>
        <v>0.37764780558578165</v>
      </c>
      <c r="H14" s="34">
        <f>Workstream_Detail!J5</f>
        <v>4789405</v>
      </c>
      <c r="I14" s="34" t="str">
        <f>Workstream_Detail!K5</f>
        <v>Behind</v>
      </c>
      <c r="J14" s="34">
        <f>Workstream_Detail!F5-Workstream_Detail!H5</f>
        <v>686330</v>
      </c>
      <c r="K14" s="36" t="str">
        <f t="shared" si="0"/>
        <v>Improve evidence and validation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" customHeight="1">
      <c r="A15" s="32" t="str">
        <f>Workstream_Detail!A6</f>
        <v>G&amp;A / SG&amp;A</v>
      </c>
      <c r="B15" s="33">
        <f>Workstream_Detail!B6</f>
        <v>4</v>
      </c>
      <c r="C15" s="33">
        <f>Workstream_Detail!D6</f>
        <v>0</v>
      </c>
      <c r="D15" s="34">
        <f>Workstream_Detail!F6</f>
        <v>1724000</v>
      </c>
      <c r="E15" s="34">
        <f>Workstream_Detail!G6</f>
        <v>1019700</v>
      </c>
      <c r="F15" s="34">
        <f>Workstream_Detail!H6</f>
        <v>940050</v>
      </c>
      <c r="G15" s="35">
        <f>Workstream_Detail!I6</f>
        <v>0.54527262180974478</v>
      </c>
      <c r="H15" s="34">
        <f>Workstream_Detail!J6</f>
        <v>10810575</v>
      </c>
      <c r="I15" s="34" t="str">
        <f>Workstream_Detail!K6</f>
        <v>Behind</v>
      </c>
      <c r="J15" s="34">
        <f>Workstream_Detail!F6-Workstream_Detail!H6</f>
        <v>783950</v>
      </c>
      <c r="K15" s="36" t="str">
        <f t="shared" si="0"/>
        <v>Monitor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customHeight="1">
      <c r="A16" s="32" t="str">
        <f>Workstream_Detail!A7</f>
        <v>Systems / IT</v>
      </c>
      <c r="B16" s="33">
        <f>Workstream_Detail!B7</f>
        <v>3</v>
      </c>
      <c r="C16" s="33">
        <f>Workstream_Detail!D7</f>
        <v>1</v>
      </c>
      <c r="D16" s="34">
        <f>Workstream_Detail!F7</f>
        <v>982500</v>
      </c>
      <c r="E16" s="34">
        <f>Workstream_Detail!G7</f>
        <v>328040</v>
      </c>
      <c r="F16" s="34">
        <f>Workstream_Detail!H7</f>
        <v>285192.5</v>
      </c>
      <c r="G16" s="35">
        <f>Workstream_Detail!I7</f>
        <v>0.29027226463104328</v>
      </c>
      <c r="H16" s="34">
        <f>Workstream_Detail!J7</f>
        <v>3279713.75</v>
      </c>
      <c r="I16" s="34" t="str">
        <f>Workstream_Detail!K7</f>
        <v>Behind</v>
      </c>
      <c r="J16" s="34">
        <f>Workstream_Detail!F7-Workstream_Detail!H7</f>
        <v>697307.5</v>
      </c>
      <c r="K16" s="36" t="str">
        <f t="shared" si="0"/>
        <v>Improve evidence and validation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" customHeight="1">
      <c r="A17" s="32" t="str">
        <f>Workstream_Detail!A8</f>
        <v>Facilities / Footprint</v>
      </c>
      <c r="B17" s="33">
        <f>Workstream_Detail!B8</f>
        <v>2</v>
      </c>
      <c r="C17" s="33">
        <f>Workstream_Detail!D8</f>
        <v>0</v>
      </c>
      <c r="D17" s="34">
        <f>Workstream_Detail!F8</f>
        <v>746000</v>
      </c>
      <c r="E17" s="34">
        <f>Workstream_Detail!G8</f>
        <v>20800</v>
      </c>
      <c r="F17" s="34">
        <f>Workstream_Detail!H8</f>
        <v>7279.9999999999991</v>
      </c>
      <c r="G17" s="35">
        <f>Workstream_Detail!I8</f>
        <v>9.7587131367292222E-3</v>
      </c>
      <c r="H17" s="34">
        <f>Workstream_Detail!J8</f>
        <v>83719.999999999985</v>
      </c>
      <c r="I17" s="34" t="str">
        <f>Workstream_Detail!K8</f>
        <v>Behind</v>
      </c>
      <c r="J17" s="34">
        <f>Workstream_Detail!F8-Workstream_Detail!H8</f>
        <v>738720</v>
      </c>
      <c r="K17" s="36" t="str">
        <f t="shared" si="0"/>
        <v>Improve evidence and validation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customHeight="1">
      <c r="A18" s="32" t="str">
        <f>Workstream_Detail!A9</f>
        <v>Finance / Back Office</v>
      </c>
      <c r="B18" s="33">
        <f>Workstream_Detail!B9</f>
        <v>2</v>
      </c>
      <c r="C18" s="33">
        <f>Workstream_Detail!D9</f>
        <v>0</v>
      </c>
      <c r="D18" s="34">
        <f>Workstream_Detail!F9</f>
        <v>691400</v>
      </c>
      <c r="E18" s="34">
        <f>Workstream_Detail!G9</f>
        <v>207680</v>
      </c>
      <c r="F18" s="34">
        <f>Workstream_Detail!H9</f>
        <v>155760</v>
      </c>
      <c r="G18" s="35">
        <f>Workstream_Detail!I9</f>
        <v>0.2252820364477871</v>
      </c>
      <c r="H18" s="34">
        <f>Workstream_Detail!J9</f>
        <v>1791240</v>
      </c>
      <c r="I18" s="34" t="str">
        <f>Workstream_Detail!K9</f>
        <v>Behind</v>
      </c>
      <c r="J18" s="34">
        <f>Workstream_Detail!F9-Workstream_Detail!H9</f>
        <v>535640</v>
      </c>
      <c r="K18" s="36" t="str">
        <f t="shared" si="0"/>
        <v>Improve evidence and validation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" customHeight="1">
      <c r="A19" s="32" t="str">
        <f>Workstream_Detail!A10</f>
        <v>Revenue / Cross-sell</v>
      </c>
      <c r="B19" s="33">
        <f>Workstream_Detail!B10</f>
        <v>2</v>
      </c>
      <c r="C19" s="33">
        <f>Workstream_Detail!D10</f>
        <v>0</v>
      </c>
      <c r="D19" s="34">
        <f>Workstream_Detail!F10</f>
        <v>1677500</v>
      </c>
      <c r="E19" s="34">
        <f>Workstream_Detail!G10</f>
        <v>147300</v>
      </c>
      <c r="F19" s="34">
        <f>Workstream_Detail!H10</f>
        <v>51555</v>
      </c>
      <c r="G19" s="35">
        <f>Workstream_Detail!I10</f>
        <v>3.0733233979135618E-2</v>
      </c>
      <c r="H19" s="34">
        <f>Workstream_Detail!J10</f>
        <v>592882.5</v>
      </c>
      <c r="I19" s="34" t="str">
        <f>Workstream_Detail!K10</f>
        <v>Behind</v>
      </c>
      <c r="J19" s="34">
        <f>Workstream_Detail!F10-Workstream_Detail!H10</f>
        <v>1625945</v>
      </c>
      <c r="K19" s="36" t="str">
        <f t="shared" si="0"/>
        <v>Escalate owner and rebuild recovery plan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customHeight="1">
      <c r="A20" s="32" t="str">
        <f>Workstream_Detail!A11</f>
        <v>Revenue Leakage</v>
      </c>
      <c r="B20" s="33">
        <f>Workstream_Detail!B11</f>
        <v>2</v>
      </c>
      <c r="C20" s="33">
        <f>Workstream_Detail!D11</f>
        <v>0</v>
      </c>
      <c r="D20" s="34">
        <f>Workstream_Detail!F11</f>
        <v>1036600</v>
      </c>
      <c r="E20" s="34">
        <f>Workstream_Detail!G11</f>
        <v>672860</v>
      </c>
      <c r="F20" s="34">
        <f>Workstream_Detail!H11</f>
        <v>598485</v>
      </c>
      <c r="G20" s="35">
        <f>Workstream_Detail!I11</f>
        <v>0.57735384912213006</v>
      </c>
      <c r="H20" s="34">
        <f>Workstream_Detail!J11</f>
        <v>6882577.5</v>
      </c>
      <c r="I20" s="34" t="str">
        <f>Workstream_Detail!K11</f>
        <v>Watch</v>
      </c>
      <c r="J20" s="34">
        <f>Workstream_Detail!F11-Workstream_Detail!H11</f>
        <v>438115</v>
      </c>
      <c r="K20" s="36" t="str">
        <f t="shared" si="0"/>
        <v>Monitor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" customHeight="1">
      <c r="A22" s="30" t="s">
        <v>20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" customHeight="1">
      <c r="A23" s="37" t="s">
        <v>10</v>
      </c>
      <c r="B23" s="37" t="s">
        <v>13</v>
      </c>
      <c r="C23" s="37" t="s">
        <v>15</v>
      </c>
      <c r="D23" s="37" t="s">
        <v>18</v>
      </c>
      <c r="E23" s="37" t="s">
        <v>6</v>
      </c>
      <c r="F23" s="37" t="s">
        <v>21</v>
      </c>
      <c r="G23" s="37" t="s">
        <v>22</v>
      </c>
      <c r="H23" s="37" t="s">
        <v>23</v>
      </c>
      <c r="I23" s="37" t="s">
        <v>17</v>
      </c>
      <c r="J23" s="37" t="s">
        <v>24</v>
      </c>
      <c r="K23" s="37" t="s">
        <v>25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customHeight="1">
      <c r="A24" s="38" t="str">
        <f t="shared" ref="A24:A31" si="1">A13</f>
        <v>Procurement</v>
      </c>
      <c r="B24" s="39">
        <f t="shared" ref="B24:B31" si="2">D13</f>
        <v>2198000</v>
      </c>
      <c r="C24" s="39">
        <f t="shared" ref="C24:C31" si="3">F13</f>
        <v>371862.5</v>
      </c>
      <c r="D24" s="39">
        <f t="shared" ref="D24:D31" si="4">J13</f>
        <v>1826137.5</v>
      </c>
      <c r="E24" s="40">
        <f t="shared" ref="E24:E31" si="5">G13</f>
        <v>0.1691822111010009</v>
      </c>
      <c r="F24" s="39">
        <f t="shared" ref="F24:H31" si="6">B24</f>
        <v>2198000</v>
      </c>
      <c r="G24" s="39">
        <f t="shared" si="6"/>
        <v>371862.5</v>
      </c>
      <c r="H24" s="39">
        <f t="shared" si="6"/>
        <v>1826137.5</v>
      </c>
      <c r="I24" s="32" t="str">
        <f t="shared" ref="I24:I31" si="7">I13</f>
        <v>Behind</v>
      </c>
      <c r="J24" s="36" t="str">
        <f t="shared" ref="J24:J31" si="8">IF(E24&lt;50%,"Low validation",IF(E24&lt;75%,"Validate evidence","On track"))</f>
        <v>Low validation</v>
      </c>
      <c r="K24" s="36" t="str">
        <f t="shared" ref="K24:K31" si="9">K13</f>
        <v>Escalate owner and rebuild recovery plan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" customHeight="1">
      <c r="A25" s="32" t="str">
        <f t="shared" si="1"/>
        <v>Supply Chain / Logistics</v>
      </c>
      <c r="B25" s="34">
        <f t="shared" si="2"/>
        <v>1102800</v>
      </c>
      <c r="C25" s="34">
        <f t="shared" si="3"/>
        <v>416470</v>
      </c>
      <c r="D25" s="34">
        <f t="shared" si="4"/>
        <v>686330</v>
      </c>
      <c r="E25" s="35">
        <f t="shared" si="5"/>
        <v>0.37764780558578165</v>
      </c>
      <c r="F25" s="34">
        <f t="shared" si="6"/>
        <v>1102800</v>
      </c>
      <c r="G25" s="34">
        <f t="shared" si="6"/>
        <v>416470</v>
      </c>
      <c r="H25" s="34">
        <f t="shared" si="6"/>
        <v>686330</v>
      </c>
      <c r="I25" s="32" t="str">
        <f t="shared" si="7"/>
        <v>Behind</v>
      </c>
      <c r="J25" s="36" t="str">
        <f t="shared" si="8"/>
        <v>Low validation</v>
      </c>
      <c r="K25" s="36" t="str">
        <f t="shared" si="9"/>
        <v>Improve evidence and validation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customHeight="1">
      <c r="A26" s="32" t="str">
        <f t="shared" si="1"/>
        <v>G&amp;A / SG&amp;A</v>
      </c>
      <c r="B26" s="34">
        <f t="shared" si="2"/>
        <v>1724000</v>
      </c>
      <c r="C26" s="34">
        <f t="shared" si="3"/>
        <v>940050</v>
      </c>
      <c r="D26" s="34">
        <f t="shared" si="4"/>
        <v>783950</v>
      </c>
      <c r="E26" s="35">
        <f t="shared" si="5"/>
        <v>0.54527262180974478</v>
      </c>
      <c r="F26" s="34">
        <f t="shared" si="6"/>
        <v>1724000</v>
      </c>
      <c r="G26" s="34">
        <f t="shared" si="6"/>
        <v>940050</v>
      </c>
      <c r="H26" s="34">
        <f t="shared" si="6"/>
        <v>783950</v>
      </c>
      <c r="I26" s="32" t="str">
        <f t="shared" si="7"/>
        <v>Behind</v>
      </c>
      <c r="J26" s="36" t="str">
        <f t="shared" si="8"/>
        <v>Validate evidence</v>
      </c>
      <c r="K26" s="36" t="str">
        <f t="shared" si="9"/>
        <v>Monitor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" customHeight="1">
      <c r="A27" s="32" t="str">
        <f t="shared" si="1"/>
        <v>Systems / IT</v>
      </c>
      <c r="B27" s="34">
        <f t="shared" si="2"/>
        <v>982500</v>
      </c>
      <c r="C27" s="34">
        <f t="shared" si="3"/>
        <v>285192.5</v>
      </c>
      <c r="D27" s="34">
        <f t="shared" si="4"/>
        <v>697307.5</v>
      </c>
      <c r="E27" s="35">
        <f t="shared" si="5"/>
        <v>0.29027226463104328</v>
      </c>
      <c r="F27" s="34">
        <f t="shared" si="6"/>
        <v>982500</v>
      </c>
      <c r="G27" s="34">
        <f t="shared" si="6"/>
        <v>285192.5</v>
      </c>
      <c r="H27" s="34">
        <f t="shared" si="6"/>
        <v>697307.5</v>
      </c>
      <c r="I27" s="32" t="str">
        <f t="shared" si="7"/>
        <v>Behind</v>
      </c>
      <c r="J27" s="36" t="str">
        <f t="shared" si="8"/>
        <v>Low validation</v>
      </c>
      <c r="K27" s="36" t="str">
        <f t="shared" si="9"/>
        <v>Improve evidence and validation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customHeight="1">
      <c r="A28" s="32" t="str">
        <f t="shared" si="1"/>
        <v>Facilities / Footprint</v>
      </c>
      <c r="B28" s="34">
        <f t="shared" si="2"/>
        <v>746000</v>
      </c>
      <c r="C28" s="34">
        <f t="shared" si="3"/>
        <v>7279.9999999999991</v>
      </c>
      <c r="D28" s="34">
        <f t="shared" si="4"/>
        <v>738720</v>
      </c>
      <c r="E28" s="35">
        <f t="shared" si="5"/>
        <v>9.7587131367292222E-3</v>
      </c>
      <c r="F28" s="34">
        <f t="shared" si="6"/>
        <v>746000</v>
      </c>
      <c r="G28" s="34">
        <f t="shared" si="6"/>
        <v>7279.9999999999991</v>
      </c>
      <c r="H28" s="34">
        <f t="shared" si="6"/>
        <v>738720</v>
      </c>
      <c r="I28" s="32" t="str">
        <f t="shared" si="7"/>
        <v>Behind</v>
      </c>
      <c r="J28" s="36" t="str">
        <f t="shared" si="8"/>
        <v>Low validation</v>
      </c>
      <c r="K28" s="36" t="str">
        <f t="shared" si="9"/>
        <v>Improve evidence and validation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" customHeight="1">
      <c r="A29" s="32" t="str">
        <f t="shared" si="1"/>
        <v>Finance / Back Office</v>
      </c>
      <c r="B29" s="34">
        <f t="shared" si="2"/>
        <v>691400</v>
      </c>
      <c r="C29" s="34">
        <f t="shared" si="3"/>
        <v>155760</v>
      </c>
      <c r="D29" s="34">
        <f t="shared" si="4"/>
        <v>535640</v>
      </c>
      <c r="E29" s="35">
        <f t="shared" si="5"/>
        <v>0.2252820364477871</v>
      </c>
      <c r="F29" s="34">
        <f t="shared" si="6"/>
        <v>691400</v>
      </c>
      <c r="G29" s="34">
        <f t="shared" si="6"/>
        <v>155760</v>
      </c>
      <c r="H29" s="34">
        <f t="shared" si="6"/>
        <v>535640</v>
      </c>
      <c r="I29" s="32" t="str">
        <f t="shared" si="7"/>
        <v>Behind</v>
      </c>
      <c r="J29" s="36" t="str">
        <f t="shared" si="8"/>
        <v>Low validation</v>
      </c>
      <c r="K29" s="36" t="str">
        <f t="shared" si="9"/>
        <v>Improve evidence and validation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customHeight="1">
      <c r="A30" s="32" t="str">
        <f t="shared" si="1"/>
        <v>Revenue / Cross-sell</v>
      </c>
      <c r="B30" s="34">
        <f t="shared" si="2"/>
        <v>1677500</v>
      </c>
      <c r="C30" s="34">
        <f t="shared" si="3"/>
        <v>51555</v>
      </c>
      <c r="D30" s="34">
        <f t="shared" si="4"/>
        <v>1625945</v>
      </c>
      <c r="E30" s="35">
        <f t="shared" si="5"/>
        <v>3.0733233979135618E-2</v>
      </c>
      <c r="F30" s="34">
        <f t="shared" si="6"/>
        <v>1677500</v>
      </c>
      <c r="G30" s="34">
        <f t="shared" si="6"/>
        <v>51555</v>
      </c>
      <c r="H30" s="34">
        <f t="shared" si="6"/>
        <v>1625945</v>
      </c>
      <c r="I30" s="32" t="str">
        <f t="shared" si="7"/>
        <v>Behind</v>
      </c>
      <c r="J30" s="36" t="str">
        <f t="shared" si="8"/>
        <v>Low validation</v>
      </c>
      <c r="K30" s="36" t="str">
        <f t="shared" si="9"/>
        <v>Escalate owner and rebuild recovery plan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" customHeight="1">
      <c r="A31" s="32" t="str">
        <f t="shared" si="1"/>
        <v>Revenue Leakage</v>
      </c>
      <c r="B31" s="34">
        <f t="shared" si="2"/>
        <v>1036600</v>
      </c>
      <c r="C31" s="34">
        <f t="shared" si="3"/>
        <v>598485</v>
      </c>
      <c r="D31" s="34">
        <f t="shared" si="4"/>
        <v>438115</v>
      </c>
      <c r="E31" s="35">
        <f t="shared" si="5"/>
        <v>0.57735384912213006</v>
      </c>
      <c r="F31" s="34">
        <f t="shared" si="6"/>
        <v>1036600</v>
      </c>
      <c r="G31" s="34">
        <f t="shared" si="6"/>
        <v>598485</v>
      </c>
      <c r="H31" s="34">
        <f t="shared" si="6"/>
        <v>438115</v>
      </c>
      <c r="I31" s="32" t="str">
        <f t="shared" si="7"/>
        <v>Watch</v>
      </c>
      <c r="J31" s="36" t="str">
        <f t="shared" si="8"/>
        <v>Validate evidence</v>
      </c>
      <c r="K31" s="36" t="str">
        <f t="shared" si="9"/>
        <v>Monitor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5">
    <mergeCell ref="A11:K11"/>
    <mergeCell ref="A1:N1"/>
    <mergeCell ref="A2:N2"/>
    <mergeCell ref="K4:N8"/>
    <mergeCell ref="A3:K3"/>
    <mergeCell ref="A9:K9"/>
    <mergeCell ref="A22:K22"/>
    <mergeCell ref="A5:B5"/>
    <mergeCell ref="A6:B6"/>
    <mergeCell ref="C5:D5"/>
    <mergeCell ref="C6:D6"/>
    <mergeCell ref="E5:F5"/>
    <mergeCell ref="E6:F6"/>
    <mergeCell ref="G5:H5"/>
    <mergeCell ref="G6:H6"/>
  </mergeCells>
  <conditionalFormatting sqref="E24:E31">
    <cfRule type="dataBar" priority="10">
      <dataBar>
        <cfvo type="min"/>
        <cfvo type="max"/>
        <color rgb="FFB8862F"/>
      </dataBar>
    </cfRule>
    <cfRule type="dataBar" priority="14">
      <dataBar>
        <cfvo type="min"/>
        <cfvo type="max"/>
        <color rgb="FFB8862F"/>
      </dataBar>
      <extLst>
        <ext xmlns:x14="http://schemas.microsoft.com/office/spreadsheetml/2009/9/main" uri="{B025F937-C7B1-47D3-B67F-A62EFF666E3E}">
          <x14:id>{DB091E20-19F2-B742-A9FC-8B049DFBD9A0}</x14:id>
        </ext>
      </extLst>
    </cfRule>
  </conditionalFormatting>
  <conditionalFormatting sqref="F24:F31">
    <cfRule type="dataBar" priority="7">
      <dataBar>
        <cfvo type="min"/>
        <cfvo type="max"/>
        <color rgb="FF666666"/>
      </dataBar>
    </cfRule>
    <cfRule type="dataBar" priority="11">
      <dataBar>
        <cfvo type="min"/>
        <cfvo type="max"/>
        <color rgb="FF666666"/>
      </dataBar>
      <extLst>
        <ext xmlns:x14="http://schemas.microsoft.com/office/spreadsheetml/2009/9/main" uri="{B025F937-C7B1-47D3-B67F-A62EFF666E3E}">
          <x14:id>{C5593AA7-0028-5BEA-E3E0-8178783C1A47}</x14:id>
        </ext>
      </extLst>
    </cfRule>
  </conditionalFormatting>
  <conditionalFormatting sqref="G24:G31">
    <cfRule type="dataBar" priority="8">
      <dataBar>
        <cfvo type="min"/>
        <cfvo type="max"/>
        <color rgb="FFB8862F"/>
      </dataBar>
    </cfRule>
    <cfRule type="dataBar" priority="12">
      <dataBar>
        <cfvo type="min"/>
        <cfvo type="max"/>
        <color rgb="FFB8862F"/>
      </dataBar>
      <extLst>
        <ext xmlns:x14="http://schemas.microsoft.com/office/spreadsheetml/2009/9/main" uri="{B025F937-C7B1-47D3-B67F-A62EFF666E3E}">
          <x14:id>{9FB71B9A-F398-1C5C-AB63-4C1EA09CC5DA}</x14:id>
        </ext>
      </extLst>
    </cfRule>
  </conditionalFormatting>
  <conditionalFormatting sqref="H24:H31">
    <cfRule type="dataBar" priority="9">
      <dataBar>
        <cfvo type="min"/>
        <cfvo type="max"/>
        <color rgb="FFC00000"/>
      </dataBar>
    </cfRule>
    <cfRule type="dataBar" priority="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{A2C5F989-CA60-2928-DF8F-0A7C5049F2CB}</x14:id>
        </ext>
      </extLst>
    </cfRule>
  </conditionalFormatting>
  <conditionalFormatting sqref="I13:I20">
    <cfRule type="expression" dxfId="30" priority="1">
      <formula>$I13="Behind"</formula>
    </cfRule>
    <cfRule type="expression" dxfId="29" priority="2">
      <formula>$I13="On Track"</formula>
    </cfRule>
    <cfRule type="expression" dxfId="28" priority="3">
      <formula>$I13="Behind"</formula>
    </cfRule>
    <cfRule type="expression" dxfId="27" priority="4">
      <formula>$I13="Watch"</formula>
    </cfRule>
  </conditionalFormatting>
  <conditionalFormatting sqref="I24:I31">
    <cfRule type="expression" dxfId="26" priority="5">
      <formula>$I24="Behind"</formula>
    </cfRule>
    <cfRule type="expression" dxfId="25" priority="6">
      <formula>$I24="Watch"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091E20-19F2-B742-A9FC-8B049DFBD9A0}">
            <x14:dataBar gradient="0">
              <x14:cfvo type="min"/>
              <x14:cfvo type="max"/>
              <x14:negativeFillColor auto="1"/>
              <x14:axisColor auto="1"/>
            </x14:dataBar>
          </x14:cfRule>
          <xm:sqref>E24:E31</xm:sqref>
        </x14:conditionalFormatting>
        <x14:conditionalFormatting xmlns:xm="http://schemas.microsoft.com/office/excel/2006/main">
          <x14:cfRule type="dataBar" id="{C5593AA7-0028-5BEA-E3E0-8178783C1A47}">
            <x14:dataBar gradient="0">
              <x14:cfvo type="min"/>
              <x14:cfvo type="max"/>
              <x14:negativeFillColor auto="1"/>
              <x14:axisColor auto="1"/>
            </x14:dataBar>
          </x14:cfRule>
          <xm:sqref>F24:F31</xm:sqref>
        </x14:conditionalFormatting>
        <x14:conditionalFormatting xmlns:xm="http://schemas.microsoft.com/office/excel/2006/main">
          <x14:cfRule type="dataBar" id="{9FB71B9A-F398-1C5C-AB63-4C1EA09CC5DA}">
            <x14:dataBar gradient="0">
              <x14:cfvo type="min"/>
              <x14:cfvo type="max"/>
              <x14:negativeFillColor auto="1"/>
              <x14:axisColor auto="1"/>
            </x14:dataBar>
          </x14:cfRule>
          <xm:sqref>G24:G31</xm:sqref>
        </x14:conditionalFormatting>
        <x14:conditionalFormatting xmlns:xm="http://schemas.microsoft.com/office/excel/2006/main">
          <x14:cfRule type="dataBar" id="{A2C5F989-CA60-2928-DF8F-0A7C5049F2CB}">
            <x14:dataBar gradient="0">
              <x14:cfvo type="min"/>
              <x14:cfvo type="max"/>
              <x14:negativeFillColor auto="1"/>
              <x14:axisColor auto="1"/>
            </x14:dataBar>
          </x14:cfRule>
          <xm:sqref>H24:H31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200"/>
  <sheetViews>
    <sheetView showGridLines="0" workbookViewId="0">
      <selection activeCell="C19" sqref="C19"/>
    </sheetView>
  </sheetViews>
  <sheetFormatPr baseColWidth="10" defaultColWidth="8.83203125" defaultRowHeight="14"/>
  <cols>
    <col min="1" max="1" width="2.1640625" customWidth="1"/>
    <col min="2" max="2" width="5.33203125" customWidth="1"/>
    <col min="3" max="3" width="35.1640625" customWidth="1"/>
    <col min="4" max="4" width="97.1640625" customWidth="1"/>
    <col min="6" max="6" width="19.83203125" bestFit="1" customWidth="1"/>
    <col min="7" max="7" width="60.6640625" bestFit="1" customWidth="1"/>
  </cols>
  <sheetData>
    <row r="1" spans="2:27" ht="21.5" customHeight="1">
      <c r="B1" s="27" t="s">
        <v>26</v>
      </c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6">
      <c r="B3" s="41" t="s">
        <v>27</v>
      </c>
      <c r="C3" s="41" t="s">
        <v>28</v>
      </c>
      <c r="D3" s="41" t="s">
        <v>29</v>
      </c>
      <c r="E3" s="1"/>
      <c r="F3" s="29" t="s">
        <v>51</v>
      </c>
      <c r="G3" s="2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32">
      <c r="B4" s="44" t="s">
        <v>30</v>
      </c>
      <c r="C4" s="28" t="s">
        <v>31</v>
      </c>
      <c r="D4" s="28" t="s">
        <v>32</v>
      </c>
      <c r="E4" s="1"/>
      <c r="F4" s="43" t="s">
        <v>52</v>
      </c>
      <c r="G4" s="42" t="s">
        <v>53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32">
      <c r="B5" s="44" t="s">
        <v>33</v>
      </c>
      <c r="C5" s="28" t="s">
        <v>34</v>
      </c>
      <c r="D5" s="28" t="s">
        <v>35</v>
      </c>
      <c r="E5" s="1"/>
      <c r="F5" s="43" t="s">
        <v>54</v>
      </c>
      <c r="G5" s="42" t="s">
        <v>55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16">
      <c r="B6" s="44" t="s">
        <v>36</v>
      </c>
      <c r="C6" s="28" t="s">
        <v>37</v>
      </c>
      <c r="D6" s="28" t="s">
        <v>38</v>
      </c>
      <c r="E6" s="1"/>
      <c r="F6" s="43" t="s">
        <v>56</v>
      </c>
      <c r="G6" s="42" t="s">
        <v>57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6">
      <c r="B7" s="44" t="s">
        <v>39</v>
      </c>
      <c r="C7" s="28" t="s">
        <v>40</v>
      </c>
      <c r="D7" s="28" t="s">
        <v>41</v>
      </c>
      <c r="E7" s="1"/>
      <c r="F7" s="43" t="s">
        <v>58</v>
      </c>
      <c r="G7" s="42" t="s">
        <v>59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16">
      <c r="B8" s="44" t="s">
        <v>42</v>
      </c>
      <c r="C8" s="28" t="s">
        <v>43</v>
      </c>
      <c r="D8" s="28" t="s">
        <v>44</v>
      </c>
      <c r="E8" s="1"/>
      <c r="F8" s="43" t="s">
        <v>60</v>
      </c>
      <c r="G8" s="42" t="s">
        <v>61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32">
      <c r="B9" s="44" t="s">
        <v>45</v>
      </c>
      <c r="C9" s="28" t="s">
        <v>46</v>
      </c>
      <c r="D9" s="28" t="s">
        <v>47</v>
      </c>
      <c r="E9" s="1"/>
      <c r="F9" s="43" t="s">
        <v>62</v>
      </c>
      <c r="G9" s="42" t="s">
        <v>63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2">
      <c r="B10" s="44" t="s">
        <v>48</v>
      </c>
      <c r="C10" s="28" t="s">
        <v>49</v>
      </c>
      <c r="D10" s="28" t="s">
        <v>50</v>
      </c>
      <c r="E10" s="1"/>
      <c r="F10" s="43" t="s">
        <v>64</v>
      </c>
      <c r="G10" s="42" t="s">
        <v>65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15" customHeight="1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15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15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15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1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15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5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showGridLines="0" workbookViewId="0">
      <selection activeCell="K10" sqref="K10"/>
    </sheetView>
  </sheetViews>
  <sheetFormatPr baseColWidth="10" defaultColWidth="8.83203125" defaultRowHeight="14"/>
  <cols>
    <col min="1" max="3" width="22" customWidth="1"/>
    <col min="4" max="4" width="54.1640625" bestFit="1" customWidth="1"/>
    <col min="5" max="6" width="24" customWidth="1"/>
    <col min="7" max="7" width="56.83203125" bestFit="1" customWidth="1"/>
  </cols>
  <sheetData>
    <row r="1" spans="1:26" ht="21.5" customHeight="1">
      <c r="A1" s="27" t="s">
        <v>66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7" t="s">
        <v>67</v>
      </c>
      <c r="B3" s="47"/>
      <c r="C3" s="47"/>
      <c r="D3" s="4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48" t="s">
        <v>68</v>
      </c>
      <c r="B4" s="48" t="s">
        <v>69</v>
      </c>
      <c r="C4" s="48" t="s">
        <v>70</v>
      </c>
      <c r="D4" s="48" t="s">
        <v>71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50" t="s">
        <v>72</v>
      </c>
      <c r="B5" s="51">
        <v>250000000</v>
      </c>
      <c r="C5" s="50" t="s">
        <v>73</v>
      </c>
      <c r="D5" s="50" t="s">
        <v>74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50" t="s">
        <v>75</v>
      </c>
      <c r="B6" s="51">
        <v>37500000</v>
      </c>
      <c r="C6" s="50" t="s">
        <v>73</v>
      </c>
      <c r="D6" s="50" t="s">
        <v>76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50" t="s">
        <v>77</v>
      </c>
      <c r="B7" s="51">
        <v>50000000</v>
      </c>
      <c r="C7" s="50" t="s">
        <v>73</v>
      </c>
      <c r="D7" s="50" t="s">
        <v>78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50" t="s">
        <v>79</v>
      </c>
      <c r="B8" s="51">
        <v>6500000</v>
      </c>
      <c r="C8" s="50" t="s">
        <v>73</v>
      </c>
      <c r="D8" s="50" t="s">
        <v>80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50" t="s">
        <v>81</v>
      </c>
      <c r="B9" s="52">
        <v>11.5</v>
      </c>
      <c r="C9" s="50" t="s">
        <v>82</v>
      </c>
      <c r="D9" s="50" t="s">
        <v>83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50" t="s">
        <v>84</v>
      </c>
      <c r="B10" s="52">
        <v>7</v>
      </c>
      <c r="C10" s="50" t="s">
        <v>82</v>
      </c>
      <c r="D10" s="50" t="s">
        <v>85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50" t="s">
        <v>86</v>
      </c>
      <c r="B11" s="53">
        <v>0</v>
      </c>
      <c r="C11" s="50" t="s">
        <v>87</v>
      </c>
      <c r="D11" s="50" t="s">
        <v>88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50" t="s">
        <v>89</v>
      </c>
      <c r="B12" s="53">
        <v>0.15</v>
      </c>
      <c r="C12" s="50" t="s">
        <v>87</v>
      </c>
      <c r="D12" s="50" t="s">
        <v>90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50" t="s">
        <v>91</v>
      </c>
      <c r="B13" s="52">
        <v>1.2</v>
      </c>
      <c r="C13" s="50" t="s">
        <v>82</v>
      </c>
      <c r="D13" s="50" t="s">
        <v>92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50" t="s">
        <v>93</v>
      </c>
      <c r="B14" s="54">
        <v>46174</v>
      </c>
      <c r="C14" s="50" t="s">
        <v>94</v>
      </c>
      <c r="D14" s="50" t="s">
        <v>95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50" t="s">
        <v>96</v>
      </c>
      <c r="B15" s="54">
        <v>46265</v>
      </c>
      <c r="C15" s="50" t="s">
        <v>94</v>
      </c>
      <c r="D15" s="50" t="s">
        <v>97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50" t="s">
        <v>98</v>
      </c>
      <c r="B16" s="55">
        <v>0.8</v>
      </c>
      <c r="C16" s="50" t="s">
        <v>87</v>
      </c>
      <c r="D16" s="50" t="s">
        <v>99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50" t="s">
        <v>100</v>
      </c>
      <c r="B17" s="55">
        <v>0.6</v>
      </c>
      <c r="C17" s="50" t="s">
        <v>87</v>
      </c>
      <c r="D17" s="50" t="s">
        <v>101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50" t="s">
        <v>102</v>
      </c>
      <c r="B18" s="55" t="s">
        <v>103</v>
      </c>
      <c r="C18" s="50" t="s">
        <v>104</v>
      </c>
      <c r="D18" s="50" t="s">
        <v>105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57" t="s">
        <v>106</v>
      </c>
      <c r="B20" s="57"/>
      <c r="C20" s="57"/>
      <c r="D20" s="57"/>
      <c r="E20" s="57"/>
      <c r="F20" s="57"/>
      <c r="G20" s="5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48" t="s">
        <v>10</v>
      </c>
      <c r="B21" s="48" t="s">
        <v>107</v>
      </c>
      <c r="C21" s="48" t="s">
        <v>108</v>
      </c>
      <c r="D21" s="48" t="s">
        <v>109</v>
      </c>
      <c r="E21" s="48" t="s">
        <v>110</v>
      </c>
      <c r="F21" s="48" t="s">
        <v>111</v>
      </c>
      <c r="G21" s="48" t="s">
        <v>112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42" t="s">
        <v>113</v>
      </c>
      <c r="B22" s="42" t="s">
        <v>114</v>
      </c>
      <c r="C22" s="45">
        <v>0.25</v>
      </c>
      <c r="D22" s="45">
        <v>0.55000000000000004</v>
      </c>
      <c r="E22" s="45">
        <v>0.9</v>
      </c>
      <c r="F22" s="42" t="s">
        <v>115</v>
      </c>
      <c r="G22" s="42" t="s">
        <v>116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42" t="s">
        <v>117</v>
      </c>
      <c r="B23" s="42" t="s">
        <v>118</v>
      </c>
      <c r="C23" s="45">
        <v>0.35</v>
      </c>
      <c r="D23" s="45">
        <v>0.7</v>
      </c>
      <c r="E23" s="45">
        <v>1</v>
      </c>
      <c r="F23" s="42" t="s">
        <v>115</v>
      </c>
      <c r="G23" s="42" t="s">
        <v>119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42" t="s">
        <v>120</v>
      </c>
      <c r="B24" s="42" t="s">
        <v>121</v>
      </c>
      <c r="C24" s="45">
        <v>0.1</v>
      </c>
      <c r="D24" s="45">
        <v>0.35</v>
      </c>
      <c r="E24" s="45">
        <v>0.75</v>
      </c>
      <c r="F24" s="42" t="s">
        <v>122</v>
      </c>
      <c r="G24" s="42" t="s">
        <v>123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42" t="s">
        <v>124</v>
      </c>
      <c r="B25" s="42" t="s">
        <v>125</v>
      </c>
      <c r="C25" s="45">
        <v>0.05</v>
      </c>
      <c r="D25" s="45">
        <v>0.2</v>
      </c>
      <c r="E25" s="45">
        <v>0.55000000000000004</v>
      </c>
      <c r="F25" s="42" t="s">
        <v>122</v>
      </c>
      <c r="G25" s="42" t="s">
        <v>126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42" t="s">
        <v>127</v>
      </c>
      <c r="B26" s="42" t="s">
        <v>128</v>
      </c>
      <c r="C26" s="45">
        <v>0.15</v>
      </c>
      <c r="D26" s="45">
        <v>0.45</v>
      </c>
      <c r="E26" s="45">
        <v>0.85</v>
      </c>
      <c r="F26" s="42" t="s">
        <v>122</v>
      </c>
      <c r="G26" s="42" t="s">
        <v>129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42" t="s">
        <v>130</v>
      </c>
      <c r="B27" s="42" t="s">
        <v>131</v>
      </c>
      <c r="C27" s="45">
        <v>0.25</v>
      </c>
      <c r="D27" s="45">
        <v>0.6</v>
      </c>
      <c r="E27" s="45">
        <v>0.95</v>
      </c>
      <c r="F27" s="42" t="s">
        <v>115</v>
      </c>
      <c r="G27" s="42" t="s">
        <v>132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42" t="s">
        <v>133</v>
      </c>
      <c r="B28" s="42" t="s">
        <v>134</v>
      </c>
      <c r="C28" s="45">
        <v>0.2</v>
      </c>
      <c r="D28" s="45">
        <v>0.5</v>
      </c>
      <c r="E28" s="45">
        <v>0.9</v>
      </c>
      <c r="F28" s="42" t="s">
        <v>115</v>
      </c>
      <c r="G28" s="42" t="s">
        <v>135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42" t="s">
        <v>136</v>
      </c>
      <c r="B29" s="42" t="s">
        <v>137</v>
      </c>
      <c r="C29" s="45">
        <v>0.2</v>
      </c>
      <c r="D29" s="45">
        <v>0.55000000000000004</v>
      </c>
      <c r="E29" s="45">
        <v>0.9</v>
      </c>
      <c r="F29" s="42" t="s">
        <v>115</v>
      </c>
      <c r="G29" s="42" t="s">
        <v>138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9"/>
  <sheetViews>
    <sheetView showGridLines="0" workbookViewId="0">
      <selection activeCell="H12" sqref="H12"/>
    </sheetView>
  </sheetViews>
  <sheetFormatPr baseColWidth="10" defaultColWidth="8.83203125" defaultRowHeight="14"/>
  <cols>
    <col min="1" max="4" width="24" customWidth="1"/>
    <col min="5" max="5" width="28.83203125" bestFit="1" customWidth="1"/>
    <col min="6" max="6" width="40.83203125" bestFit="1" customWidth="1"/>
  </cols>
  <sheetData>
    <row r="1" spans="1:26" ht="21.5" customHeight="1">
      <c r="A1" s="27" t="s">
        <v>139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6" t="s">
        <v>140</v>
      </c>
      <c r="B3" s="46"/>
      <c r="C3" s="46"/>
      <c r="D3" s="46"/>
      <c r="E3" s="4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60" t="s">
        <v>141</v>
      </c>
      <c r="B4" s="60" t="s">
        <v>142</v>
      </c>
      <c r="C4" s="60" t="s">
        <v>143</v>
      </c>
      <c r="D4" s="60" t="s">
        <v>144</v>
      </c>
      <c r="E4" s="60" t="s">
        <v>145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63" t="s">
        <v>146</v>
      </c>
      <c r="B5" s="64">
        <f>Inputs!B5</f>
        <v>250000000</v>
      </c>
      <c r="C5" s="64">
        <f>Inputs!B7</f>
        <v>50000000</v>
      </c>
      <c r="D5" s="64">
        <f>B5+C5</f>
        <v>300000000</v>
      </c>
      <c r="E5" s="63" t="s">
        <v>147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63" t="s">
        <v>148</v>
      </c>
      <c r="B6" s="64">
        <f>Inputs!B6</f>
        <v>37500000</v>
      </c>
      <c r="C6" s="64">
        <f>Inputs!B8</f>
        <v>6500000</v>
      </c>
      <c r="D6" s="64">
        <f>B6+C6</f>
        <v>44000000</v>
      </c>
      <c r="E6" s="63" t="s">
        <v>149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63" t="s">
        <v>150</v>
      </c>
      <c r="B7" s="65">
        <f>B6/B5</f>
        <v>0.15</v>
      </c>
      <c r="C7" s="65">
        <f>C6/C5</f>
        <v>0.13</v>
      </c>
      <c r="D7" s="65">
        <f>D6/D5</f>
        <v>0.14666666666666667</v>
      </c>
      <c r="E7" s="63" t="s">
        <v>151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63" t="s">
        <v>152</v>
      </c>
      <c r="B8" s="63"/>
      <c r="C8" s="64">
        <f>Inputs!B8*Inputs!B10</f>
        <v>45500000</v>
      </c>
      <c r="D8" s="64"/>
      <c r="E8" s="63" t="s">
        <v>153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3" t="s">
        <v>154</v>
      </c>
      <c r="B9" s="63"/>
      <c r="C9" s="66">
        <f>C8/C5</f>
        <v>0.91</v>
      </c>
      <c r="D9" s="64"/>
      <c r="E9" s="63" t="s">
        <v>155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63" t="s">
        <v>156</v>
      </c>
      <c r="B10" s="64">
        <f>Inputs!B6*Inputs!B9</f>
        <v>431250000</v>
      </c>
      <c r="C10" s="64"/>
      <c r="D10" s="64">
        <f>D6*Inputs!B9</f>
        <v>506000000</v>
      </c>
      <c r="E10" s="63" t="s">
        <v>157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47" t="s">
        <v>158</v>
      </c>
      <c r="B12" s="47"/>
      <c r="C12" s="47"/>
      <c r="D12" s="47"/>
      <c r="E12" s="47"/>
      <c r="F12" s="4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9" t="s">
        <v>159</v>
      </c>
      <c r="B13" s="49" t="s">
        <v>160</v>
      </c>
      <c r="C13" s="49" t="s">
        <v>161</v>
      </c>
      <c r="D13" s="49" t="s">
        <v>162</v>
      </c>
      <c r="E13" s="49" t="s">
        <v>163</v>
      </c>
      <c r="F13" s="49" t="s">
        <v>71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42" t="s">
        <v>164</v>
      </c>
      <c r="B14" s="58">
        <v>21000000</v>
      </c>
      <c r="C14" s="59">
        <f>B14/Inputs!B7</f>
        <v>0.42</v>
      </c>
      <c r="D14" s="42" t="s">
        <v>122</v>
      </c>
      <c r="E14" s="42" t="s">
        <v>165</v>
      </c>
      <c r="F14" s="42" t="s">
        <v>166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42" t="s">
        <v>167</v>
      </c>
      <c r="B15" s="58">
        <v>3800000</v>
      </c>
      <c r="C15" s="59">
        <f>B15/Inputs!B7</f>
        <v>7.5999999999999998E-2</v>
      </c>
      <c r="D15" s="42" t="s">
        <v>122</v>
      </c>
      <c r="E15" s="42" t="s">
        <v>133</v>
      </c>
      <c r="F15" s="42" t="s">
        <v>168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42" t="s">
        <v>169</v>
      </c>
      <c r="B16" s="58">
        <v>6500000</v>
      </c>
      <c r="C16" s="59">
        <f>B16/Inputs!B7</f>
        <v>0.13</v>
      </c>
      <c r="D16" s="42" t="s">
        <v>115</v>
      </c>
      <c r="E16" s="42" t="s">
        <v>170</v>
      </c>
      <c r="F16" s="42" t="s">
        <v>171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2" t="s">
        <v>172</v>
      </c>
      <c r="B17" s="58">
        <v>7200000</v>
      </c>
      <c r="C17" s="59">
        <f>B17/Inputs!B7</f>
        <v>0.14399999999999999</v>
      </c>
      <c r="D17" s="42" t="s">
        <v>122</v>
      </c>
      <c r="E17" s="42" t="s">
        <v>117</v>
      </c>
      <c r="F17" s="42" t="s">
        <v>173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42" t="s">
        <v>174</v>
      </c>
      <c r="B18" s="58">
        <v>2400000</v>
      </c>
      <c r="C18" s="59">
        <f>B18/Inputs!B7</f>
        <v>4.8000000000000001E-2</v>
      </c>
      <c r="D18" s="42" t="s">
        <v>122</v>
      </c>
      <c r="E18" s="42" t="s">
        <v>120</v>
      </c>
      <c r="F18" s="42" t="s">
        <v>175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42" t="s">
        <v>176</v>
      </c>
      <c r="B19" s="58">
        <v>3100000</v>
      </c>
      <c r="C19" s="59">
        <f>B19/Inputs!B7</f>
        <v>6.2E-2</v>
      </c>
      <c r="D19" s="42" t="s">
        <v>115</v>
      </c>
      <c r="E19" s="42" t="s">
        <v>127</v>
      </c>
      <c r="F19" s="42" t="s">
        <v>177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42" t="s">
        <v>178</v>
      </c>
      <c r="B20" s="58">
        <v>1800000</v>
      </c>
      <c r="C20" s="59">
        <f>B20/Inputs!B7</f>
        <v>3.5999999999999997E-2</v>
      </c>
      <c r="D20" s="42" t="s">
        <v>122</v>
      </c>
      <c r="E20" s="42" t="s">
        <v>130</v>
      </c>
      <c r="F20" s="42" t="s">
        <v>179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42" t="s">
        <v>180</v>
      </c>
      <c r="B21" s="58">
        <v>3700000</v>
      </c>
      <c r="C21" s="59">
        <f>B21/Inputs!B7</f>
        <v>7.3999999999999996E-2</v>
      </c>
      <c r="D21" s="42" t="s">
        <v>115</v>
      </c>
      <c r="E21" s="42" t="s">
        <v>117</v>
      </c>
      <c r="F21" s="42" t="s">
        <v>181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</sheetData>
  <mergeCells count="3">
    <mergeCell ref="A1:K1"/>
    <mergeCell ref="A12:F12"/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showGridLines="0" topLeftCell="N1" workbookViewId="0">
      <selection activeCell="Z13" sqref="Z13"/>
    </sheetView>
  </sheetViews>
  <sheetFormatPr baseColWidth="10" defaultColWidth="8.83203125" defaultRowHeight="14"/>
  <cols>
    <col min="1" max="2" width="16" customWidth="1"/>
    <col min="3" max="3" width="34" customWidth="1"/>
    <col min="4" max="20" width="16" customWidth="1"/>
    <col min="21" max="21" width="42" customWidth="1"/>
  </cols>
  <sheetData>
    <row r="1" spans="1:26" ht="21.5" customHeight="1">
      <c r="A1" s="27" t="s">
        <v>182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25" customHeight="1">
      <c r="A3" s="67" t="s">
        <v>183</v>
      </c>
      <c r="B3" s="67" t="s">
        <v>10</v>
      </c>
      <c r="C3" s="67" t="s">
        <v>184</v>
      </c>
      <c r="D3" s="67" t="s">
        <v>185</v>
      </c>
      <c r="E3" s="67" t="s">
        <v>17</v>
      </c>
      <c r="F3" s="67" t="s">
        <v>186</v>
      </c>
      <c r="G3" s="67" t="s">
        <v>187</v>
      </c>
      <c r="H3" s="67" t="s">
        <v>188</v>
      </c>
      <c r="I3" s="67" t="s">
        <v>189</v>
      </c>
      <c r="J3" s="67" t="s">
        <v>190</v>
      </c>
      <c r="K3" s="67" t="s">
        <v>13</v>
      </c>
      <c r="L3" s="67" t="s">
        <v>191</v>
      </c>
      <c r="M3" s="67" t="s">
        <v>192</v>
      </c>
      <c r="N3" s="67" t="s">
        <v>193</v>
      </c>
      <c r="O3" s="67" t="s">
        <v>194</v>
      </c>
      <c r="P3" s="67" t="s">
        <v>195</v>
      </c>
      <c r="Q3" s="67" t="s">
        <v>14</v>
      </c>
      <c r="R3" s="67" t="s">
        <v>15</v>
      </c>
      <c r="S3" s="67" t="s">
        <v>196</v>
      </c>
      <c r="T3" s="67" t="s">
        <v>197</v>
      </c>
      <c r="U3" s="67" t="s">
        <v>71</v>
      </c>
      <c r="W3" s="1"/>
      <c r="X3" s="1"/>
      <c r="Y3" s="1"/>
      <c r="Z3" s="1"/>
    </row>
    <row r="4" spans="1:26" s="76" customFormat="1" ht="15" customHeight="1">
      <c r="A4" s="68" t="s">
        <v>198</v>
      </c>
      <c r="B4" s="68" t="s">
        <v>113</v>
      </c>
      <c r="C4" s="68" t="s">
        <v>199</v>
      </c>
      <c r="D4" s="68" t="s">
        <v>200</v>
      </c>
      <c r="E4" s="68" t="s">
        <v>201</v>
      </c>
      <c r="F4" s="68" t="s">
        <v>122</v>
      </c>
      <c r="G4" s="69">
        <v>46183</v>
      </c>
      <c r="H4" s="69">
        <v>46326</v>
      </c>
      <c r="I4" s="70">
        <v>950000</v>
      </c>
      <c r="J4" s="71">
        <v>0.1</v>
      </c>
      <c r="K4" s="72">
        <f t="shared" ref="K4:K23" si="0">I4*(1-J4)</f>
        <v>855000</v>
      </c>
      <c r="L4" s="70">
        <v>180000</v>
      </c>
      <c r="M4" s="73">
        <v>0.25</v>
      </c>
      <c r="N4" s="73">
        <v>0.55000000000000004</v>
      </c>
      <c r="O4" s="73">
        <v>0.95</v>
      </c>
      <c r="P4" s="73">
        <v>0.45</v>
      </c>
      <c r="Q4" s="72">
        <f t="shared" ref="Q4:Q23" si="1">K4*P4</f>
        <v>384750</v>
      </c>
      <c r="R4" s="72">
        <f t="shared" ref="R4:R23" si="2">IF(S4="High",Q4,IF(S4="Medium",Q4*0.75,Q4*0.35))</f>
        <v>288562.5</v>
      </c>
      <c r="S4" s="74" t="s">
        <v>115</v>
      </c>
      <c r="T4" s="72">
        <f>R4*Inputs!$B$9</f>
        <v>3318468.75</v>
      </c>
      <c r="U4" s="68" t="s">
        <v>202</v>
      </c>
      <c r="V4" s="2"/>
      <c r="W4" s="75"/>
      <c r="X4" s="75"/>
      <c r="Y4" s="75"/>
      <c r="Z4" s="75"/>
    </row>
    <row r="5" spans="1:26" s="76" customFormat="1" ht="15" customHeight="1">
      <c r="A5" s="68" t="s">
        <v>203</v>
      </c>
      <c r="B5" s="68" t="s">
        <v>113</v>
      </c>
      <c r="C5" s="68" t="s">
        <v>204</v>
      </c>
      <c r="D5" s="68" t="s">
        <v>200</v>
      </c>
      <c r="E5" s="68" t="s">
        <v>205</v>
      </c>
      <c r="F5" s="68" t="s">
        <v>122</v>
      </c>
      <c r="G5" s="69">
        <v>46204</v>
      </c>
      <c r="H5" s="69">
        <v>46371</v>
      </c>
      <c r="I5" s="70">
        <v>1400000</v>
      </c>
      <c r="J5" s="71">
        <v>0.15</v>
      </c>
      <c r="K5" s="72">
        <f t="shared" si="0"/>
        <v>1190000</v>
      </c>
      <c r="L5" s="70">
        <v>220000</v>
      </c>
      <c r="M5" s="73">
        <v>0.1</v>
      </c>
      <c r="N5" s="73">
        <v>0.45</v>
      </c>
      <c r="O5" s="73">
        <v>0.9</v>
      </c>
      <c r="P5" s="73">
        <v>0.2</v>
      </c>
      <c r="Q5" s="72">
        <f t="shared" si="1"/>
        <v>238000</v>
      </c>
      <c r="R5" s="72">
        <f t="shared" si="2"/>
        <v>83300</v>
      </c>
      <c r="S5" s="74" t="s">
        <v>206</v>
      </c>
      <c r="T5" s="72">
        <f>R5*Inputs!$B$9</f>
        <v>957950</v>
      </c>
      <c r="U5" s="68" t="s">
        <v>207</v>
      </c>
      <c r="V5" s="75"/>
      <c r="W5" s="75"/>
      <c r="X5" s="75"/>
      <c r="Y5" s="75"/>
      <c r="Z5" s="75"/>
    </row>
    <row r="6" spans="1:26" s="76" customFormat="1" ht="26.25" customHeight="1">
      <c r="A6" s="68" t="s">
        <v>208</v>
      </c>
      <c r="B6" s="68" t="s">
        <v>133</v>
      </c>
      <c r="C6" s="68" t="s">
        <v>209</v>
      </c>
      <c r="D6" s="68" t="s">
        <v>210</v>
      </c>
      <c r="E6" s="68" t="s">
        <v>201</v>
      </c>
      <c r="F6" s="68" t="s">
        <v>122</v>
      </c>
      <c r="G6" s="69">
        <v>46188</v>
      </c>
      <c r="H6" s="69">
        <v>46295</v>
      </c>
      <c r="I6" s="70">
        <v>760000</v>
      </c>
      <c r="J6" s="71">
        <v>0.12</v>
      </c>
      <c r="K6" s="72">
        <f t="shared" si="0"/>
        <v>668800</v>
      </c>
      <c r="L6" s="70">
        <v>120000</v>
      </c>
      <c r="M6" s="73">
        <v>0.35</v>
      </c>
      <c r="N6" s="73">
        <v>0.7</v>
      </c>
      <c r="O6" s="73">
        <v>0.95</v>
      </c>
      <c r="P6" s="73">
        <v>0.6</v>
      </c>
      <c r="Q6" s="72">
        <f t="shared" si="1"/>
        <v>401280</v>
      </c>
      <c r="R6" s="72">
        <f t="shared" si="2"/>
        <v>401280</v>
      </c>
      <c r="S6" s="74" t="s">
        <v>122</v>
      </c>
      <c r="T6" s="72">
        <f>R6*Inputs!$B$9</f>
        <v>4614720</v>
      </c>
      <c r="U6" s="68" t="s">
        <v>211</v>
      </c>
      <c r="V6" s="75"/>
      <c r="W6" s="75"/>
      <c r="X6" s="75"/>
      <c r="Y6" s="75"/>
      <c r="Z6" s="75"/>
    </row>
    <row r="7" spans="1:26" s="76" customFormat="1" ht="15" customHeight="1">
      <c r="A7" s="68" t="s">
        <v>212</v>
      </c>
      <c r="B7" s="68" t="s">
        <v>117</v>
      </c>
      <c r="C7" s="68" t="s">
        <v>213</v>
      </c>
      <c r="D7" s="68" t="s">
        <v>131</v>
      </c>
      <c r="E7" s="68" t="s">
        <v>214</v>
      </c>
      <c r="F7" s="68" t="s">
        <v>122</v>
      </c>
      <c r="G7" s="69">
        <v>46174</v>
      </c>
      <c r="H7" s="69">
        <v>46265</v>
      </c>
      <c r="I7" s="70">
        <v>820000</v>
      </c>
      <c r="J7" s="71">
        <v>0.05</v>
      </c>
      <c r="K7" s="72">
        <f t="shared" si="0"/>
        <v>779000</v>
      </c>
      <c r="L7" s="70">
        <v>410000</v>
      </c>
      <c r="M7" s="73">
        <v>0.5</v>
      </c>
      <c r="N7" s="73">
        <v>0.85</v>
      </c>
      <c r="O7" s="73">
        <v>1</v>
      </c>
      <c r="P7" s="73">
        <v>0.9</v>
      </c>
      <c r="Q7" s="72">
        <f t="shared" si="1"/>
        <v>701100</v>
      </c>
      <c r="R7" s="72">
        <f t="shared" si="2"/>
        <v>701100</v>
      </c>
      <c r="S7" s="74" t="s">
        <v>122</v>
      </c>
      <c r="T7" s="72">
        <f>R7*Inputs!$B$9</f>
        <v>8062650</v>
      </c>
      <c r="U7" s="68" t="s">
        <v>215</v>
      </c>
      <c r="V7" s="75"/>
      <c r="W7" s="75"/>
      <c r="X7" s="75"/>
      <c r="Y7" s="75"/>
      <c r="Z7" s="75"/>
    </row>
    <row r="8" spans="1:26" s="76" customFormat="1" ht="15" customHeight="1">
      <c r="A8" s="68" t="s">
        <v>216</v>
      </c>
      <c r="B8" s="68" t="s">
        <v>117</v>
      </c>
      <c r="C8" s="68" t="s">
        <v>217</v>
      </c>
      <c r="D8" s="68" t="s">
        <v>218</v>
      </c>
      <c r="E8" s="68" t="s">
        <v>201</v>
      </c>
      <c r="F8" s="68" t="s">
        <v>115</v>
      </c>
      <c r="G8" s="69">
        <v>46193</v>
      </c>
      <c r="H8" s="69">
        <v>46356</v>
      </c>
      <c r="I8" s="70">
        <v>430000</v>
      </c>
      <c r="J8" s="71">
        <v>0.1</v>
      </c>
      <c r="K8" s="72">
        <f t="shared" si="0"/>
        <v>387000</v>
      </c>
      <c r="L8" s="70">
        <v>160000</v>
      </c>
      <c r="M8" s="73">
        <v>0.2</v>
      </c>
      <c r="N8" s="73">
        <v>0.55000000000000004</v>
      </c>
      <c r="O8" s="73">
        <v>0.95</v>
      </c>
      <c r="P8" s="73">
        <v>0.35</v>
      </c>
      <c r="Q8" s="72">
        <f t="shared" si="1"/>
        <v>135450</v>
      </c>
      <c r="R8" s="72">
        <f t="shared" si="2"/>
        <v>101587.5</v>
      </c>
      <c r="S8" s="74" t="s">
        <v>115</v>
      </c>
      <c r="T8" s="72">
        <f>R8*Inputs!$B$9</f>
        <v>1168256.25</v>
      </c>
      <c r="U8" s="68" t="s">
        <v>219</v>
      </c>
      <c r="V8" s="75"/>
      <c r="W8" s="75"/>
      <c r="X8" s="75"/>
      <c r="Y8" s="75"/>
      <c r="Z8" s="75"/>
    </row>
    <row r="9" spans="1:26" s="76" customFormat="1" ht="15" customHeight="1">
      <c r="A9" s="68" t="s">
        <v>220</v>
      </c>
      <c r="B9" s="68" t="s">
        <v>120</v>
      </c>
      <c r="C9" s="68" t="s">
        <v>221</v>
      </c>
      <c r="D9" s="68" t="s">
        <v>222</v>
      </c>
      <c r="E9" s="68" t="s">
        <v>223</v>
      </c>
      <c r="F9" s="68" t="s">
        <v>122</v>
      </c>
      <c r="G9" s="69">
        <v>46174</v>
      </c>
      <c r="H9" s="69">
        <v>46477</v>
      </c>
      <c r="I9" s="70">
        <v>650000</v>
      </c>
      <c r="J9" s="71">
        <v>0.25</v>
      </c>
      <c r="K9" s="72">
        <f t="shared" si="0"/>
        <v>487500</v>
      </c>
      <c r="L9" s="70">
        <v>780000</v>
      </c>
      <c r="M9" s="73">
        <v>0</v>
      </c>
      <c r="N9" s="73">
        <v>0.25</v>
      </c>
      <c r="O9" s="73">
        <v>0.75</v>
      </c>
      <c r="P9" s="73">
        <v>0.1</v>
      </c>
      <c r="Q9" s="72">
        <f t="shared" si="1"/>
        <v>48750</v>
      </c>
      <c r="R9" s="72">
        <f t="shared" si="2"/>
        <v>17062.5</v>
      </c>
      <c r="S9" s="74" t="s">
        <v>206</v>
      </c>
      <c r="T9" s="72">
        <f>R9*Inputs!$B$9</f>
        <v>196218.75</v>
      </c>
      <c r="U9" s="68" t="s">
        <v>224</v>
      </c>
      <c r="V9" s="75"/>
      <c r="W9" s="75"/>
      <c r="X9" s="75"/>
      <c r="Y9" s="75"/>
      <c r="Z9" s="75"/>
    </row>
    <row r="10" spans="1:26" s="76" customFormat="1" ht="15" customHeight="1">
      <c r="A10" s="68" t="s">
        <v>225</v>
      </c>
      <c r="B10" s="68" t="s">
        <v>120</v>
      </c>
      <c r="C10" s="68" t="s">
        <v>226</v>
      </c>
      <c r="D10" s="68" t="s">
        <v>222</v>
      </c>
      <c r="E10" s="68" t="s">
        <v>201</v>
      </c>
      <c r="F10" s="68" t="s">
        <v>115</v>
      </c>
      <c r="G10" s="69">
        <v>46218</v>
      </c>
      <c r="H10" s="69">
        <v>46418</v>
      </c>
      <c r="I10" s="70">
        <v>310000</v>
      </c>
      <c r="J10" s="71">
        <v>0.2</v>
      </c>
      <c r="K10" s="72">
        <f t="shared" si="0"/>
        <v>248000</v>
      </c>
      <c r="L10" s="70">
        <v>250000</v>
      </c>
      <c r="M10" s="73">
        <v>0.05</v>
      </c>
      <c r="N10" s="73">
        <v>0.3</v>
      </c>
      <c r="O10" s="73">
        <v>0.8</v>
      </c>
      <c r="P10" s="73">
        <v>0.18</v>
      </c>
      <c r="Q10" s="72">
        <f t="shared" si="1"/>
        <v>44640</v>
      </c>
      <c r="R10" s="72">
        <f t="shared" si="2"/>
        <v>33480</v>
      </c>
      <c r="S10" s="74" t="s">
        <v>115</v>
      </c>
      <c r="T10" s="72">
        <f>R10*Inputs!$B$9</f>
        <v>385020</v>
      </c>
      <c r="U10" s="68" t="s">
        <v>227</v>
      </c>
      <c r="V10" s="75"/>
      <c r="W10" s="75"/>
      <c r="X10" s="75"/>
      <c r="Y10" s="75"/>
      <c r="Z10" s="75"/>
    </row>
    <row r="11" spans="1:26" s="76" customFormat="1" ht="15" customHeight="1">
      <c r="A11" s="68" t="s">
        <v>228</v>
      </c>
      <c r="B11" s="68" t="s">
        <v>127</v>
      </c>
      <c r="C11" s="68" t="s">
        <v>229</v>
      </c>
      <c r="D11" s="68" t="s">
        <v>128</v>
      </c>
      <c r="E11" s="68" t="s">
        <v>205</v>
      </c>
      <c r="F11" s="68" t="s">
        <v>115</v>
      </c>
      <c r="G11" s="69">
        <v>46235</v>
      </c>
      <c r="H11" s="69">
        <v>46446</v>
      </c>
      <c r="I11" s="70">
        <v>520000</v>
      </c>
      <c r="J11" s="71">
        <v>0.2</v>
      </c>
      <c r="K11" s="72">
        <f t="shared" si="0"/>
        <v>416000</v>
      </c>
      <c r="L11" s="70">
        <v>620000</v>
      </c>
      <c r="M11" s="73">
        <v>0</v>
      </c>
      <c r="N11" s="73">
        <v>0.2</v>
      </c>
      <c r="O11" s="73">
        <v>0.85</v>
      </c>
      <c r="P11" s="73">
        <v>0.05</v>
      </c>
      <c r="Q11" s="72">
        <f t="shared" si="1"/>
        <v>20800</v>
      </c>
      <c r="R11" s="72">
        <f t="shared" si="2"/>
        <v>7279.9999999999991</v>
      </c>
      <c r="S11" s="74" t="s">
        <v>206</v>
      </c>
      <c r="T11" s="72">
        <f>R11*Inputs!$B$9</f>
        <v>83719.999999999985</v>
      </c>
      <c r="U11" s="68" t="s">
        <v>230</v>
      </c>
      <c r="V11" s="75"/>
      <c r="W11" s="75"/>
      <c r="X11" s="75"/>
      <c r="Y11" s="75"/>
      <c r="Z11" s="75"/>
    </row>
    <row r="12" spans="1:26" s="76" customFormat="1" ht="26.25" customHeight="1">
      <c r="A12" s="68" t="s">
        <v>231</v>
      </c>
      <c r="B12" s="68" t="s">
        <v>130</v>
      </c>
      <c r="C12" s="68" t="s">
        <v>232</v>
      </c>
      <c r="D12" s="68" t="s">
        <v>131</v>
      </c>
      <c r="E12" s="68" t="s">
        <v>201</v>
      </c>
      <c r="F12" s="68" t="s">
        <v>122</v>
      </c>
      <c r="G12" s="69">
        <v>46193</v>
      </c>
      <c r="H12" s="69">
        <v>46387</v>
      </c>
      <c r="I12" s="70">
        <v>590000</v>
      </c>
      <c r="J12" s="71">
        <v>0.12</v>
      </c>
      <c r="K12" s="72">
        <f t="shared" si="0"/>
        <v>519200</v>
      </c>
      <c r="L12" s="70">
        <v>240000</v>
      </c>
      <c r="M12" s="73">
        <v>0.2</v>
      </c>
      <c r="N12" s="73">
        <v>0.55000000000000004</v>
      </c>
      <c r="O12" s="73">
        <v>0.95</v>
      </c>
      <c r="P12" s="73">
        <v>0.4</v>
      </c>
      <c r="Q12" s="72">
        <f t="shared" si="1"/>
        <v>207680</v>
      </c>
      <c r="R12" s="72">
        <f t="shared" si="2"/>
        <v>155760</v>
      </c>
      <c r="S12" s="74" t="s">
        <v>115</v>
      </c>
      <c r="T12" s="72">
        <f>R12*Inputs!$B$9</f>
        <v>1791240</v>
      </c>
      <c r="U12" s="68" t="s">
        <v>233</v>
      </c>
      <c r="V12" s="75"/>
      <c r="W12" s="75"/>
      <c r="X12" s="75"/>
      <c r="Y12" s="75"/>
      <c r="Z12" s="75"/>
    </row>
    <row r="13" spans="1:26" s="76" customFormat="1" ht="26.25" customHeight="1">
      <c r="A13" s="68" t="s">
        <v>234</v>
      </c>
      <c r="B13" s="68" t="s">
        <v>124</v>
      </c>
      <c r="C13" s="68" t="s">
        <v>235</v>
      </c>
      <c r="D13" s="68" t="s">
        <v>125</v>
      </c>
      <c r="E13" s="68" t="s">
        <v>201</v>
      </c>
      <c r="F13" s="68" t="s">
        <v>122</v>
      </c>
      <c r="G13" s="69">
        <v>46204</v>
      </c>
      <c r="H13" s="69">
        <v>46568</v>
      </c>
      <c r="I13" s="70">
        <v>1750000</v>
      </c>
      <c r="J13" s="71">
        <v>0.35</v>
      </c>
      <c r="K13" s="72">
        <f t="shared" si="0"/>
        <v>1137500</v>
      </c>
      <c r="L13" s="70">
        <v>300000</v>
      </c>
      <c r="M13" s="73">
        <v>0.05</v>
      </c>
      <c r="N13" s="73">
        <v>0.2</v>
      </c>
      <c r="O13" s="73">
        <v>0.55000000000000004</v>
      </c>
      <c r="P13" s="73">
        <v>0.12</v>
      </c>
      <c r="Q13" s="72">
        <f t="shared" si="1"/>
        <v>136500</v>
      </c>
      <c r="R13" s="72">
        <f t="shared" si="2"/>
        <v>47775</v>
      </c>
      <c r="S13" s="74" t="s">
        <v>206</v>
      </c>
      <c r="T13" s="72">
        <f>R13*Inputs!$B$9</f>
        <v>549412.5</v>
      </c>
      <c r="U13" s="68" t="s">
        <v>236</v>
      </c>
      <c r="V13" s="75"/>
      <c r="W13" s="75"/>
      <c r="X13" s="75"/>
      <c r="Y13" s="75"/>
      <c r="Z13" s="75"/>
    </row>
    <row r="14" spans="1:26" s="76" customFormat="1" ht="26.25" customHeight="1">
      <c r="A14" s="68" t="s">
        <v>237</v>
      </c>
      <c r="B14" s="68" t="s">
        <v>124</v>
      </c>
      <c r="C14" s="68" t="s">
        <v>238</v>
      </c>
      <c r="D14" s="68" t="s">
        <v>125</v>
      </c>
      <c r="E14" s="68" t="s">
        <v>205</v>
      </c>
      <c r="F14" s="68" t="s">
        <v>115</v>
      </c>
      <c r="G14" s="69">
        <v>46266</v>
      </c>
      <c r="H14" s="69">
        <v>46660</v>
      </c>
      <c r="I14" s="70">
        <v>900000</v>
      </c>
      <c r="J14" s="71">
        <v>0.4</v>
      </c>
      <c r="K14" s="72">
        <f t="shared" si="0"/>
        <v>540000</v>
      </c>
      <c r="L14" s="70">
        <v>180000</v>
      </c>
      <c r="M14" s="73">
        <v>0</v>
      </c>
      <c r="N14" s="73">
        <v>0.1</v>
      </c>
      <c r="O14" s="73">
        <v>0.45</v>
      </c>
      <c r="P14" s="73">
        <v>0.02</v>
      </c>
      <c r="Q14" s="72">
        <f t="shared" si="1"/>
        <v>10800</v>
      </c>
      <c r="R14" s="72">
        <f t="shared" si="2"/>
        <v>3779.9999999999995</v>
      </c>
      <c r="S14" s="74" t="s">
        <v>206</v>
      </c>
      <c r="T14" s="72">
        <f>R14*Inputs!$B$9</f>
        <v>43469.999999999993</v>
      </c>
      <c r="U14" s="68" t="s">
        <v>239</v>
      </c>
      <c r="V14" s="75"/>
      <c r="W14" s="75"/>
      <c r="X14" s="75"/>
      <c r="Y14" s="75"/>
      <c r="Z14" s="75"/>
    </row>
    <row r="15" spans="1:26" s="76" customFormat="1" ht="15" customHeight="1">
      <c r="A15" s="68" t="s">
        <v>240</v>
      </c>
      <c r="B15" s="68" t="s">
        <v>136</v>
      </c>
      <c r="C15" s="68" t="s">
        <v>241</v>
      </c>
      <c r="D15" s="68" t="s">
        <v>242</v>
      </c>
      <c r="E15" s="68" t="s">
        <v>214</v>
      </c>
      <c r="F15" s="68" t="s">
        <v>122</v>
      </c>
      <c r="G15" s="69">
        <v>46178</v>
      </c>
      <c r="H15" s="69">
        <v>46249</v>
      </c>
      <c r="I15" s="70">
        <v>480000</v>
      </c>
      <c r="J15" s="71">
        <v>0.08</v>
      </c>
      <c r="K15" s="72">
        <f t="shared" si="0"/>
        <v>441600</v>
      </c>
      <c r="L15" s="70">
        <v>40000</v>
      </c>
      <c r="M15" s="73">
        <v>0.5</v>
      </c>
      <c r="N15" s="73">
        <v>0.85</v>
      </c>
      <c r="O15" s="73">
        <v>1</v>
      </c>
      <c r="P15" s="73">
        <v>0.85</v>
      </c>
      <c r="Q15" s="72">
        <f t="shared" si="1"/>
        <v>375360</v>
      </c>
      <c r="R15" s="72">
        <f t="shared" si="2"/>
        <v>375360</v>
      </c>
      <c r="S15" s="74" t="s">
        <v>122</v>
      </c>
      <c r="T15" s="72">
        <f>R15*Inputs!$B$9</f>
        <v>4316640</v>
      </c>
      <c r="U15" s="68" t="s">
        <v>243</v>
      </c>
      <c r="V15" s="75"/>
      <c r="W15" s="75"/>
      <c r="X15" s="75"/>
      <c r="Y15" s="75"/>
      <c r="Z15" s="75"/>
    </row>
    <row r="16" spans="1:26" s="76" customFormat="1" ht="26.25" customHeight="1">
      <c r="A16" s="68" t="s">
        <v>244</v>
      </c>
      <c r="B16" s="68" t="s">
        <v>117</v>
      </c>
      <c r="C16" s="68" t="s">
        <v>245</v>
      </c>
      <c r="D16" s="68" t="s">
        <v>131</v>
      </c>
      <c r="E16" s="68" t="s">
        <v>201</v>
      </c>
      <c r="F16" s="68" t="s">
        <v>115</v>
      </c>
      <c r="G16" s="69">
        <v>46204</v>
      </c>
      <c r="H16" s="69">
        <v>46341</v>
      </c>
      <c r="I16" s="70">
        <v>350000</v>
      </c>
      <c r="J16" s="71">
        <v>0.1</v>
      </c>
      <c r="K16" s="72">
        <f t="shared" si="0"/>
        <v>315000</v>
      </c>
      <c r="L16" s="70">
        <v>30000</v>
      </c>
      <c r="M16" s="73">
        <v>0.2</v>
      </c>
      <c r="N16" s="73">
        <v>0.55000000000000004</v>
      </c>
      <c r="O16" s="73">
        <v>0.95</v>
      </c>
      <c r="P16" s="73">
        <v>0.35</v>
      </c>
      <c r="Q16" s="72">
        <f t="shared" si="1"/>
        <v>110250</v>
      </c>
      <c r="R16" s="72">
        <f t="shared" si="2"/>
        <v>82687.5</v>
      </c>
      <c r="S16" s="74" t="s">
        <v>115</v>
      </c>
      <c r="T16" s="72">
        <f>R16*Inputs!$B$9</f>
        <v>950906.25</v>
      </c>
      <c r="U16" s="68" t="s">
        <v>246</v>
      </c>
      <c r="V16" s="75"/>
      <c r="W16" s="75"/>
      <c r="X16" s="75"/>
      <c r="Y16" s="75"/>
      <c r="Z16" s="75"/>
    </row>
    <row r="17" spans="1:26" s="76" customFormat="1" ht="15" customHeight="1">
      <c r="A17" s="68" t="s">
        <v>247</v>
      </c>
      <c r="B17" s="68" t="s">
        <v>113</v>
      </c>
      <c r="C17" s="68" t="s">
        <v>248</v>
      </c>
      <c r="D17" s="68" t="s">
        <v>249</v>
      </c>
      <c r="E17" s="68" t="s">
        <v>205</v>
      </c>
      <c r="F17" s="68" t="s">
        <v>206</v>
      </c>
      <c r="G17" s="69">
        <v>46249</v>
      </c>
      <c r="H17" s="69">
        <v>46402</v>
      </c>
      <c r="I17" s="70">
        <v>180000</v>
      </c>
      <c r="J17" s="71">
        <v>0.15</v>
      </c>
      <c r="K17" s="72">
        <f t="shared" si="0"/>
        <v>153000</v>
      </c>
      <c r="L17" s="70">
        <v>25000</v>
      </c>
      <c r="M17" s="73">
        <v>0</v>
      </c>
      <c r="N17" s="73">
        <v>0.35</v>
      </c>
      <c r="O17" s="73">
        <v>0.9</v>
      </c>
      <c r="P17" s="73">
        <v>0</v>
      </c>
      <c r="Q17" s="72">
        <f t="shared" si="1"/>
        <v>0</v>
      </c>
      <c r="R17" s="72">
        <f t="shared" si="2"/>
        <v>0</v>
      </c>
      <c r="S17" s="74" t="s">
        <v>206</v>
      </c>
      <c r="T17" s="72">
        <f>R17*Inputs!$B$9</f>
        <v>0</v>
      </c>
      <c r="U17" s="68" t="s">
        <v>250</v>
      </c>
      <c r="V17" s="75"/>
      <c r="W17" s="75"/>
      <c r="X17" s="75"/>
      <c r="Y17" s="75"/>
      <c r="Z17" s="75"/>
    </row>
    <row r="18" spans="1:26" s="76" customFormat="1" ht="26.25" customHeight="1">
      <c r="A18" s="68" t="s">
        <v>251</v>
      </c>
      <c r="B18" s="68" t="s">
        <v>133</v>
      </c>
      <c r="C18" s="68" t="s">
        <v>252</v>
      </c>
      <c r="D18" s="68" t="s">
        <v>128</v>
      </c>
      <c r="E18" s="68" t="s">
        <v>223</v>
      </c>
      <c r="F18" s="68" t="s">
        <v>115</v>
      </c>
      <c r="G18" s="69">
        <v>46204</v>
      </c>
      <c r="H18" s="69">
        <v>46446</v>
      </c>
      <c r="I18" s="70">
        <v>620000</v>
      </c>
      <c r="J18" s="71">
        <v>0.3</v>
      </c>
      <c r="K18" s="72">
        <f t="shared" si="0"/>
        <v>434000</v>
      </c>
      <c r="L18" s="70">
        <v>280000</v>
      </c>
      <c r="M18" s="73">
        <v>0.05</v>
      </c>
      <c r="N18" s="73">
        <v>0.3</v>
      </c>
      <c r="O18" s="73">
        <v>0.75</v>
      </c>
      <c r="P18" s="73">
        <v>0.1</v>
      </c>
      <c r="Q18" s="72">
        <f t="shared" si="1"/>
        <v>43400</v>
      </c>
      <c r="R18" s="72">
        <f t="shared" si="2"/>
        <v>15189.999999999998</v>
      </c>
      <c r="S18" s="74" t="s">
        <v>206</v>
      </c>
      <c r="T18" s="72">
        <f>R18*Inputs!$B$9</f>
        <v>174684.99999999997</v>
      </c>
      <c r="U18" s="68" t="s">
        <v>253</v>
      </c>
      <c r="V18" s="75"/>
      <c r="W18" s="75"/>
      <c r="X18" s="75"/>
      <c r="Y18" s="75"/>
      <c r="Z18" s="75"/>
    </row>
    <row r="19" spans="1:26" s="76" customFormat="1" ht="26.25" customHeight="1">
      <c r="A19" s="68" t="s">
        <v>254</v>
      </c>
      <c r="B19" s="68" t="s">
        <v>130</v>
      </c>
      <c r="C19" s="68" t="s">
        <v>255</v>
      </c>
      <c r="D19" s="68" t="s">
        <v>131</v>
      </c>
      <c r="E19" s="68" t="s">
        <v>205</v>
      </c>
      <c r="F19" s="68" t="s">
        <v>206</v>
      </c>
      <c r="G19" s="69">
        <v>46296</v>
      </c>
      <c r="H19" s="69">
        <v>46507</v>
      </c>
      <c r="I19" s="70">
        <v>210000</v>
      </c>
      <c r="J19" s="71">
        <v>0.18</v>
      </c>
      <c r="K19" s="72">
        <f t="shared" si="0"/>
        <v>172200</v>
      </c>
      <c r="L19" s="70">
        <v>90000</v>
      </c>
      <c r="M19" s="73">
        <v>0</v>
      </c>
      <c r="N19" s="73">
        <v>0.2</v>
      </c>
      <c r="O19" s="73">
        <v>0.8</v>
      </c>
      <c r="P19" s="73">
        <v>0</v>
      </c>
      <c r="Q19" s="72">
        <f t="shared" si="1"/>
        <v>0</v>
      </c>
      <c r="R19" s="72">
        <f t="shared" si="2"/>
        <v>0</v>
      </c>
      <c r="S19" s="74" t="s">
        <v>206</v>
      </c>
      <c r="T19" s="72">
        <f>R19*Inputs!$B$9</f>
        <v>0</v>
      </c>
      <c r="U19" s="68" t="s">
        <v>256</v>
      </c>
      <c r="V19" s="75"/>
      <c r="W19" s="75"/>
      <c r="X19" s="75"/>
      <c r="Y19" s="75"/>
      <c r="Z19" s="75"/>
    </row>
    <row r="20" spans="1:26" s="76" customFormat="1" ht="26.25" customHeight="1">
      <c r="A20" s="68" t="s">
        <v>257</v>
      </c>
      <c r="B20" s="68" t="s">
        <v>120</v>
      </c>
      <c r="C20" s="68" t="s">
        <v>258</v>
      </c>
      <c r="D20" s="68" t="s">
        <v>222</v>
      </c>
      <c r="E20" s="68" t="s">
        <v>214</v>
      </c>
      <c r="F20" s="68" t="s">
        <v>115</v>
      </c>
      <c r="G20" s="69">
        <v>46174</v>
      </c>
      <c r="H20" s="69">
        <v>46266</v>
      </c>
      <c r="I20" s="70">
        <v>260000</v>
      </c>
      <c r="J20" s="71">
        <v>0.05</v>
      </c>
      <c r="K20" s="72">
        <f t="shared" si="0"/>
        <v>247000</v>
      </c>
      <c r="L20" s="70">
        <v>15000</v>
      </c>
      <c r="M20" s="73">
        <v>0.35</v>
      </c>
      <c r="N20" s="73">
        <v>0.75</v>
      </c>
      <c r="O20" s="73">
        <v>1</v>
      </c>
      <c r="P20" s="73">
        <v>0.95</v>
      </c>
      <c r="Q20" s="72">
        <f t="shared" si="1"/>
        <v>234650</v>
      </c>
      <c r="R20" s="72">
        <f t="shared" si="2"/>
        <v>234650</v>
      </c>
      <c r="S20" s="74" t="s">
        <v>122</v>
      </c>
      <c r="T20" s="72">
        <f>R20*Inputs!$B$9</f>
        <v>2698475</v>
      </c>
      <c r="U20" s="68" t="s">
        <v>259</v>
      </c>
      <c r="V20" s="75"/>
      <c r="W20" s="75"/>
      <c r="X20" s="75"/>
      <c r="Y20" s="75"/>
      <c r="Z20" s="75"/>
    </row>
    <row r="21" spans="1:26" s="76" customFormat="1" ht="15" customHeight="1">
      <c r="A21" s="68" t="s">
        <v>260</v>
      </c>
      <c r="B21" s="68" t="s">
        <v>136</v>
      </c>
      <c r="C21" s="68" t="s">
        <v>261</v>
      </c>
      <c r="D21" s="68" t="s">
        <v>242</v>
      </c>
      <c r="E21" s="68" t="s">
        <v>201</v>
      </c>
      <c r="F21" s="68" t="s">
        <v>122</v>
      </c>
      <c r="G21" s="69">
        <v>46188</v>
      </c>
      <c r="H21" s="69">
        <v>46310</v>
      </c>
      <c r="I21" s="70">
        <v>700000</v>
      </c>
      <c r="J21" s="71">
        <v>0.15</v>
      </c>
      <c r="K21" s="72">
        <f t="shared" si="0"/>
        <v>595000</v>
      </c>
      <c r="L21" s="70">
        <v>50000</v>
      </c>
      <c r="M21" s="73">
        <v>0.3</v>
      </c>
      <c r="N21" s="73">
        <v>0.7</v>
      </c>
      <c r="O21" s="73">
        <v>0.95</v>
      </c>
      <c r="P21" s="73">
        <v>0.5</v>
      </c>
      <c r="Q21" s="72">
        <f t="shared" si="1"/>
        <v>297500</v>
      </c>
      <c r="R21" s="72">
        <f t="shared" si="2"/>
        <v>223125</v>
      </c>
      <c r="S21" s="74" t="s">
        <v>115</v>
      </c>
      <c r="T21" s="72">
        <f>R21*Inputs!$B$9</f>
        <v>2565937.5</v>
      </c>
      <c r="U21" s="68" t="s">
        <v>262</v>
      </c>
      <c r="V21" s="75"/>
      <c r="W21" s="75"/>
      <c r="X21" s="75"/>
      <c r="Y21" s="75"/>
      <c r="Z21" s="75"/>
    </row>
    <row r="22" spans="1:26" s="76" customFormat="1" ht="15" customHeight="1">
      <c r="A22" s="68" t="s">
        <v>263</v>
      </c>
      <c r="B22" s="68" t="s">
        <v>127</v>
      </c>
      <c r="C22" s="68" t="s">
        <v>264</v>
      </c>
      <c r="D22" s="68" t="s">
        <v>128</v>
      </c>
      <c r="E22" s="68" t="s">
        <v>205</v>
      </c>
      <c r="F22" s="68" t="s">
        <v>115</v>
      </c>
      <c r="G22" s="69">
        <v>46266</v>
      </c>
      <c r="H22" s="69">
        <v>46538</v>
      </c>
      <c r="I22" s="70">
        <v>440000</v>
      </c>
      <c r="J22" s="71">
        <v>0.25</v>
      </c>
      <c r="K22" s="72">
        <f t="shared" si="0"/>
        <v>330000</v>
      </c>
      <c r="L22" s="70">
        <v>380000</v>
      </c>
      <c r="M22" s="73">
        <v>0</v>
      </c>
      <c r="N22" s="73">
        <v>0.15</v>
      </c>
      <c r="O22" s="73">
        <v>0.75</v>
      </c>
      <c r="P22" s="73">
        <v>0</v>
      </c>
      <c r="Q22" s="72">
        <f t="shared" si="1"/>
        <v>0</v>
      </c>
      <c r="R22" s="72">
        <f t="shared" si="2"/>
        <v>0</v>
      </c>
      <c r="S22" s="74" t="s">
        <v>206</v>
      </c>
      <c r="T22" s="72">
        <f>R22*Inputs!$B$9</f>
        <v>0</v>
      </c>
      <c r="U22" s="68" t="s">
        <v>265</v>
      </c>
      <c r="V22" s="75"/>
      <c r="W22" s="75"/>
      <c r="X22" s="75"/>
      <c r="Y22" s="75"/>
      <c r="Z22" s="75"/>
    </row>
    <row r="23" spans="1:26" s="76" customFormat="1" ht="15" customHeight="1">
      <c r="A23" s="68" t="s">
        <v>266</v>
      </c>
      <c r="B23" s="68" t="s">
        <v>117</v>
      </c>
      <c r="C23" s="68" t="s">
        <v>267</v>
      </c>
      <c r="D23" s="68" t="s">
        <v>131</v>
      </c>
      <c r="E23" s="68" t="s">
        <v>201</v>
      </c>
      <c r="F23" s="68" t="s">
        <v>206</v>
      </c>
      <c r="G23" s="69">
        <v>46218</v>
      </c>
      <c r="H23" s="69">
        <v>46371</v>
      </c>
      <c r="I23" s="70">
        <v>270000</v>
      </c>
      <c r="J23" s="71">
        <v>0.1</v>
      </c>
      <c r="K23" s="72">
        <f t="shared" si="0"/>
        <v>243000</v>
      </c>
      <c r="L23" s="70">
        <v>20000</v>
      </c>
      <c r="M23" s="73">
        <v>0.1</v>
      </c>
      <c r="N23" s="73">
        <v>0.5</v>
      </c>
      <c r="O23" s="73">
        <v>0.95</v>
      </c>
      <c r="P23" s="73">
        <v>0.3</v>
      </c>
      <c r="Q23" s="72">
        <f t="shared" si="1"/>
        <v>72900</v>
      </c>
      <c r="R23" s="72">
        <f t="shared" si="2"/>
        <v>54675</v>
      </c>
      <c r="S23" s="74" t="s">
        <v>115</v>
      </c>
      <c r="T23" s="72">
        <f>R23*Inputs!$B$9</f>
        <v>628762.5</v>
      </c>
      <c r="U23" s="68" t="s">
        <v>268</v>
      </c>
      <c r="V23" s="75"/>
      <c r="W23" s="75"/>
      <c r="X23" s="75"/>
      <c r="Y23" s="75"/>
      <c r="Z23" s="75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U1"/>
  </mergeCells>
  <conditionalFormatting sqref="E4:E23">
    <cfRule type="expression" dxfId="24" priority="1">
      <formula>$E4="At Risk"</formula>
    </cfRule>
    <cfRule type="expression" dxfId="23" priority="2">
      <formula>$E4="Complete"</formula>
    </cfRule>
  </conditionalFormatting>
  <conditionalFormatting sqref="F4:F23">
    <cfRule type="expression" dxfId="22" priority="3">
      <formula>$F4="High"</formula>
    </cfRule>
  </conditionalFormatting>
  <dataValidations count="2">
    <dataValidation type="list" sqref="E4:E23" xr:uid="{00000000-0002-0000-0400-000000000000}">
      <formula1>"Not Started,In Progress,At Risk,Complete,Deferred"</formula1>
    </dataValidation>
    <dataValidation type="list" sqref="F4:F23 S4:S23" xr:uid="{00000000-0002-0000-04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showGridLines="0" workbookViewId="0">
      <selection activeCell="C24" sqref="C24"/>
    </sheetView>
  </sheetViews>
  <sheetFormatPr baseColWidth="10" defaultColWidth="8.83203125" defaultRowHeight="14"/>
  <cols>
    <col min="1" max="3" width="18" customWidth="1"/>
    <col min="4" max="4" width="47.1640625" customWidth="1"/>
    <col min="5" max="11" width="18" customWidth="1"/>
    <col min="12" max="12" width="40" customWidth="1"/>
  </cols>
  <sheetData>
    <row r="1" spans="1:26" ht="30" customHeight="1">
      <c r="A1" s="27" t="s">
        <v>269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77" t="s">
        <v>270</v>
      </c>
      <c r="B3" s="78" t="s">
        <v>271</v>
      </c>
      <c r="C3" s="78" t="s">
        <v>10</v>
      </c>
      <c r="D3" s="78" t="s">
        <v>272</v>
      </c>
      <c r="E3" s="78" t="s">
        <v>185</v>
      </c>
      <c r="F3" s="78" t="s">
        <v>273</v>
      </c>
      <c r="G3" s="78" t="s">
        <v>17</v>
      </c>
      <c r="H3" s="78" t="s">
        <v>274</v>
      </c>
      <c r="I3" s="78" t="s">
        <v>275</v>
      </c>
      <c r="J3" s="78" t="s">
        <v>276</v>
      </c>
      <c r="K3" s="78" t="s">
        <v>277</v>
      </c>
      <c r="L3" s="79" t="s">
        <v>71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80" t="s">
        <v>278</v>
      </c>
      <c r="B4" s="42" t="s">
        <v>279</v>
      </c>
      <c r="C4" s="42" t="s">
        <v>130</v>
      </c>
      <c r="D4" s="42" t="s">
        <v>280</v>
      </c>
      <c r="E4" s="42" t="s">
        <v>131</v>
      </c>
      <c r="F4" s="81">
        <v>46174</v>
      </c>
      <c r="G4" s="42" t="s">
        <v>214</v>
      </c>
      <c r="H4" s="42" t="s">
        <v>281</v>
      </c>
      <c r="I4" s="42" t="s">
        <v>122</v>
      </c>
      <c r="J4" s="42">
        <f>F4-Inputs!$B$15</f>
        <v>-91</v>
      </c>
      <c r="K4" s="42" t="str">
        <f>IF(AND(G4&lt;&gt;"Complete",F4&lt;Inputs!$B$15),"Late","")</f>
        <v/>
      </c>
      <c r="L4" s="82" t="s">
        <v>282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80" t="s">
        <v>283</v>
      </c>
      <c r="B5" s="42" t="s">
        <v>279</v>
      </c>
      <c r="C5" s="42" t="s">
        <v>284</v>
      </c>
      <c r="D5" s="42" t="s">
        <v>285</v>
      </c>
      <c r="E5" s="42" t="s">
        <v>286</v>
      </c>
      <c r="F5" s="81">
        <v>46176</v>
      </c>
      <c r="G5" s="42" t="s">
        <v>214</v>
      </c>
      <c r="H5" s="42" t="s">
        <v>281</v>
      </c>
      <c r="I5" s="42" t="s">
        <v>122</v>
      </c>
      <c r="J5" s="42">
        <f>F5-Inputs!$B$15</f>
        <v>-89</v>
      </c>
      <c r="K5" s="42" t="str">
        <f>IF(AND(G5&lt;&gt;"Complete",F5&lt;Inputs!$B$15),"Late","")</f>
        <v/>
      </c>
      <c r="L5" s="82" t="s">
        <v>287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80" t="s">
        <v>288</v>
      </c>
      <c r="B6" s="42" t="s">
        <v>289</v>
      </c>
      <c r="C6" s="42" t="s">
        <v>117</v>
      </c>
      <c r="D6" s="42" t="s">
        <v>290</v>
      </c>
      <c r="E6" s="42" t="s">
        <v>291</v>
      </c>
      <c r="F6" s="81">
        <v>46203</v>
      </c>
      <c r="G6" s="42" t="s">
        <v>214</v>
      </c>
      <c r="H6" s="42" t="s">
        <v>292</v>
      </c>
      <c r="I6" s="42" t="s">
        <v>122</v>
      </c>
      <c r="J6" s="42">
        <f>F6-Inputs!$B$15</f>
        <v>-62</v>
      </c>
      <c r="K6" s="42" t="str">
        <f>IF(AND(G6&lt;&gt;"Complete",F6&lt;Inputs!$B$15),"Late","")</f>
        <v/>
      </c>
      <c r="L6" s="82" t="s">
        <v>293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80" t="s">
        <v>294</v>
      </c>
      <c r="B7" s="42" t="s">
        <v>289</v>
      </c>
      <c r="C7" s="42" t="s">
        <v>113</v>
      </c>
      <c r="D7" s="42" t="s">
        <v>295</v>
      </c>
      <c r="E7" s="42" t="s">
        <v>200</v>
      </c>
      <c r="F7" s="81">
        <v>46203</v>
      </c>
      <c r="G7" s="42" t="s">
        <v>214</v>
      </c>
      <c r="H7" s="42" t="s">
        <v>296</v>
      </c>
      <c r="I7" s="42" t="s">
        <v>122</v>
      </c>
      <c r="J7" s="42">
        <f>F7-Inputs!$B$15</f>
        <v>-62</v>
      </c>
      <c r="K7" s="42" t="str">
        <f>IF(AND(G7&lt;&gt;"Complete",F7&lt;Inputs!$B$15),"Late","")</f>
        <v/>
      </c>
      <c r="L7" s="82" t="s">
        <v>297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80" t="s">
        <v>298</v>
      </c>
      <c r="B8" s="42" t="s">
        <v>299</v>
      </c>
      <c r="C8" s="42" t="s">
        <v>136</v>
      </c>
      <c r="D8" s="42" t="s">
        <v>300</v>
      </c>
      <c r="E8" s="42" t="s">
        <v>242</v>
      </c>
      <c r="F8" s="81">
        <v>46234</v>
      </c>
      <c r="G8" s="42" t="s">
        <v>214</v>
      </c>
      <c r="H8" s="42" t="s">
        <v>301</v>
      </c>
      <c r="I8" s="42" t="s">
        <v>122</v>
      </c>
      <c r="J8" s="42">
        <f>F8-Inputs!$B$15</f>
        <v>-31</v>
      </c>
      <c r="K8" s="42" t="str">
        <f>IF(AND(G8&lt;&gt;"Complete",F8&lt;Inputs!$B$15),"Late","")</f>
        <v/>
      </c>
      <c r="L8" s="82" t="s">
        <v>302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80" t="s">
        <v>303</v>
      </c>
      <c r="B9" s="42" t="s">
        <v>299</v>
      </c>
      <c r="C9" s="42" t="s">
        <v>120</v>
      </c>
      <c r="D9" s="42" t="s">
        <v>304</v>
      </c>
      <c r="E9" s="42" t="s">
        <v>222</v>
      </c>
      <c r="F9" s="81">
        <v>46234</v>
      </c>
      <c r="G9" s="42" t="s">
        <v>201</v>
      </c>
      <c r="H9" s="42" t="s">
        <v>305</v>
      </c>
      <c r="I9" s="42" t="s">
        <v>122</v>
      </c>
      <c r="J9" s="42">
        <f>F9-Inputs!$B$15</f>
        <v>-31</v>
      </c>
      <c r="K9" s="42" t="str">
        <f>IF(AND(G9&lt;&gt;"Complete",F9&lt;Inputs!$B$15),"Late","")</f>
        <v>Late</v>
      </c>
      <c r="L9" s="82" t="s">
        <v>306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0" t="s">
        <v>307</v>
      </c>
      <c r="B10" s="42" t="s">
        <v>308</v>
      </c>
      <c r="C10" s="42" t="s">
        <v>133</v>
      </c>
      <c r="D10" s="42" t="s">
        <v>309</v>
      </c>
      <c r="E10" s="42" t="s">
        <v>210</v>
      </c>
      <c r="F10" s="81">
        <v>46265</v>
      </c>
      <c r="G10" s="42" t="s">
        <v>201</v>
      </c>
      <c r="H10" s="42" t="s">
        <v>310</v>
      </c>
      <c r="I10" s="42" t="s">
        <v>122</v>
      </c>
      <c r="J10" s="42">
        <f>F10-Inputs!$B$15</f>
        <v>0</v>
      </c>
      <c r="K10" s="42" t="str">
        <f>IF(AND(G10&lt;&gt;"Complete",F10&lt;Inputs!$B$15),"Late","")</f>
        <v/>
      </c>
      <c r="L10" s="82" t="s">
        <v>311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80" t="s">
        <v>312</v>
      </c>
      <c r="B11" s="42" t="s">
        <v>308</v>
      </c>
      <c r="C11" s="42" t="s">
        <v>130</v>
      </c>
      <c r="D11" s="42" t="s">
        <v>313</v>
      </c>
      <c r="E11" s="42" t="s">
        <v>131</v>
      </c>
      <c r="F11" s="81">
        <v>46265</v>
      </c>
      <c r="G11" s="42" t="s">
        <v>201</v>
      </c>
      <c r="H11" s="42" t="s">
        <v>314</v>
      </c>
      <c r="I11" s="42" t="s">
        <v>115</v>
      </c>
      <c r="J11" s="42">
        <f>F11-Inputs!$B$15</f>
        <v>0</v>
      </c>
      <c r="K11" s="42" t="str">
        <f>IF(AND(G11&lt;&gt;"Complete",F11&lt;Inputs!$B$15),"Late","")</f>
        <v/>
      </c>
      <c r="L11" s="82" t="s">
        <v>315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80" t="s">
        <v>316</v>
      </c>
      <c r="B12" s="42" t="s">
        <v>317</v>
      </c>
      <c r="C12" s="42" t="s">
        <v>318</v>
      </c>
      <c r="D12" s="42" t="s">
        <v>319</v>
      </c>
      <c r="E12" s="42" t="s">
        <v>286</v>
      </c>
      <c r="F12" s="81">
        <v>46273</v>
      </c>
      <c r="G12" s="42" t="s">
        <v>205</v>
      </c>
      <c r="H12" s="42" t="s">
        <v>320</v>
      </c>
      <c r="I12" s="42" t="s">
        <v>122</v>
      </c>
      <c r="J12" s="42">
        <f>F12-Inputs!$B$15</f>
        <v>8</v>
      </c>
      <c r="K12" s="42" t="str">
        <f>IF(AND(G12&lt;&gt;"Complete",F12&lt;Inputs!$B$15),"Late","")</f>
        <v/>
      </c>
      <c r="L12" s="82" t="s">
        <v>321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80" t="s">
        <v>322</v>
      </c>
      <c r="B13" s="42" t="s">
        <v>323</v>
      </c>
      <c r="C13" s="42" t="s">
        <v>113</v>
      </c>
      <c r="D13" s="42" t="s">
        <v>324</v>
      </c>
      <c r="E13" s="42" t="s">
        <v>200</v>
      </c>
      <c r="F13" s="81">
        <v>46356</v>
      </c>
      <c r="G13" s="42" t="s">
        <v>205</v>
      </c>
      <c r="H13" s="42" t="s">
        <v>325</v>
      </c>
      <c r="I13" s="42" t="s">
        <v>122</v>
      </c>
      <c r="J13" s="42">
        <f>F13-Inputs!$B$15</f>
        <v>91</v>
      </c>
      <c r="K13" s="42" t="str">
        <f>IF(AND(G13&lt;&gt;"Complete",F13&lt;Inputs!$B$15),"Late","")</f>
        <v/>
      </c>
      <c r="L13" s="82" t="s">
        <v>326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80" t="s">
        <v>327</v>
      </c>
      <c r="B14" s="42" t="s">
        <v>323</v>
      </c>
      <c r="C14" s="42" t="s">
        <v>328</v>
      </c>
      <c r="D14" s="42" t="s">
        <v>329</v>
      </c>
      <c r="E14" s="42" t="s">
        <v>125</v>
      </c>
      <c r="F14" s="81">
        <v>46356</v>
      </c>
      <c r="G14" s="42" t="s">
        <v>201</v>
      </c>
      <c r="H14" s="42" t="s">
        <v>330</v>
      </c>
      <c r="I14" s="42" t="s">
        <v>122</v>
      </c>
      <c r="J14" s="42">
        <f>F14-Inputs!$B$15</f>
        <v>91</v>
      </c>
      <c r="K14" s="42" t="str">
        <f>IF(AND(G14&lt;&gt;"Complete",F14&lt;Inputs!$B$15),"Late","")</f>
        <v/>
      </c>
      <c r="L14" s="82" t="s">
        <v>331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80" t="s">
        <v>332</v>
      </c>
      <c r="B15" s="42" t="s">
        <v>323</v>
      </c>
      <c r="C15" s="42" t="s">
        <v>117</v>
      </c>
      <c r="D15" s="42" t="s">
        <v>333</v>
      </c>
      <c r="E15" s="42" t="s">
        <v>131</v>
      </c>
      <c r="F15" s="81">
        <v>46371</v>
      </c>
      <c r="G15" s="42" t="s">
        <v>205</v>
      </c>
      <c r="H15" s="42" t="s">
        <v>334</v>
      </c>
      <c r="I15" s="42" t="s">
        <v>122</v>
      </c>
      <c r="J15" s="42">
        <f>F15-Inputs!$B$15</f>
        <v>106</v>
      </c>
      <c r="K15" s="42" t="str">
        <f>IF(AND(G15&lt;&gt;"Complete",F15&lt;Inputs!$B$15),"Late","")</f>
        <v/>
      </c>
      <c r="L15" s="82" t="s">
        <v>335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80" t="s">
        <v>336</v>
      </c>
      <c r="B16" s="42" t="s">
        <v>337</v>
      </c>
      <c r="C16" s="42" t="s">
        <v>120</v>
      </c>
      <c r="D16" s="42" t="s">
        <v>338</v>
      </c>
      <c r="E16" s="42" t="s">
        <v>222</v>
      </c>
      <c r="F16" s="81">
        <v>46446</v>
      </c>
      <c r="G16" s="42" t="s">
        <v>223</v>
      </c>
      <c r="H16" s="42" t="s">
        <v>339</v>
      </c>
      <c r="I16" s="42" t="s">
        <v>122</v>
      </c>
      <c r="J16" s="42">
        <f>F16-Inputs!$B$15</f>
        <v>181</v>
      </c>
      <c r="K16" s="42" t="str">
        <f>IF(AND(G16&lt;&gt;"Complete",F16&lt;Inputs!$B$15),"Late","")</f>
        <v/>
      </c>
      <c r="L16" s="82" t="s">
        <v>340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80" t="s">
        <v>341</v>
      </c>
      <c r="B17" s="42" t="s">
        <v>337</v>
      </c>
      <c r="C17" s="42" t="s">
        <v>127</v>
      </c>
      <c r="D17" s="42" t="s">
        <v>342</v>
      </c>
      <c r="E17" s="42" t="s">
        <v>128</v>
      </c>
      <c r="F17" s="81">
        <v>46446</v>
      </c>
      <c r="G17" s="42" t="s">
        <v>205</v>
      </c>
      <c r="H17" s="42" t="s">
        <v>343</v>
      </c>
      <c r="I17" s="42" t="s">
        <v>115</v>
      </c>
      <c r="J17" s="42">
        <f>F17-Inputs!$B$15</f>
        <v>181</v>
      </c>
      <c r="K17" s="42" t="str">
        <f>IF(AND(G17&lt;&gt;"Complete",F17&lt;Inputs!$B$15),"Late","")</f>
        <v/>
      </c>
      <c r="L17" s="82" t="s">
        <v>344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80" t="s">
        <v>345</v>
      </c>
      <c r="B18" s="42" t="s">
        <v>346</v>
      </c>
      <c r="C18" s="42" t="s">
        <v>120</v>
      </c>
      <c r="D18" s="42" t="s">
        <v>347</v>
      </c>
      <c r="E18" s="42" t="s">
        <v>222</v>
      </c>
      <c r="F18" s="81">
        <v>46538</v>
      </c>
      <c r="G18" s="42" t="s">
        <v>205</v>
      </c>
      <c r="H18" s="42" t="s">
        <v>348</v>
      </c>
      <c r="I18" s="42" t="s">
        <v>122</v>
      </c>
      <c r="J18" s="42">
        <f>F18-Inputs!$B$15</f>
        <v>273</v>
      </c>
      <c r="K18" s="42" t="str">
        <f>IF(AND(G18&lt;&gt;"Complete",F18&lt;Inputs!$B$15),"Late","")</f>
        <v/>
      </c>
      <c r="L18" s="82" t="s">
        <v>349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80" t="s">
        <v>350</v>
      </c>
      <c r="B19" s="42" t="s">
        <v>346</v>
      </c>
      <c r="C19" s="42" t="s">
        <v>124</v>
      </c>
      <c r="D19" s="42" t="s">
        <v>351</v>
      </c>
      <c r="E19" s="42" t="s">
        <v>137</v>
      </c>
      <c r="F19" s="81">
        <v>46538</v>
      </c>
      <c r="G19" s="42" t="s">
        <v>205</v>
      </c>
      <c r="H19" s="42" t="s">
        <v>352</v>
      </c>
      <c r="I19" s="42" t="s">
        <v>122</v>
      </c>
      <c r="J19" s="42">
        <f>F19-Inputs!$B$15</f>
        <v>273</v>
      </c>
      <c r="K19" s="42" t="str">
        <f>IF(AND(G19&lt;&gt;"Complete",F19&lt;Inputs!$B$15),"Late","")</f>
        <v/>
      </c>
      <c r="L19" s="82" t="s">
        <v>353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83" t="s">
        <v>354</v>
      </c>
      <c r="B20" s="84" t="s">
        <v>346</v>
      </c>
      <c r="C20" s="84" t="s">
        <v>355</v>
      </c>
      <c r="D20" s="84" t="s">
        <v>356</v>
      </c>
      <c r="E20" s="84" t="s">
        <v>286</v>
      </c>
      <c r="F20" s="85">
        <v>46568</v>
      </c>
      <c r="G20" s="84" t="s">
        <v>205</v>
      </c>
      <c r="H20" s="84" t="s">
        <v>357</v>
      </c>
      <c r="I20" s="84" t="s">
        <v>115</v>
      </c>
      <c r="J20" s="84">
        <f>F20-Inputs!$B$15</f>
        <v>303</v>
      </c>
      <c r="K20" s="84" t="str">
        <f>IF(AND(G20&lt;&gt;"Complete",F20&lt;Inputs!$B$15),"Late","")</f>
        <v/>
      </c>
      <c r="L20" s="86" t="s">
        <v>358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L1"/>
  </mergeCells>
  <conditionalFormatting sqref="G4:G20">
    <cfRule type="expression" dxfId="21" priority="1">
      <formula>$G4="At Risk"</formula>
    </cfRule>
  </conditionalFormatting>
  <conditionalFormatting sqref="K4:K20">
    <cfRule type="expression" dxfId="20" priority="2">
      <formula>$K4="Late"</formula>
    </cfRule>
  </conditionalFormatting>
  <dataValidations count="2">
    <dataValidation type="list" sqref="G4:G20" xr:uid="{00000000-0002-0000-0500-000000000000}">
      <formula1>"Not Started,In Progress,At Risk,Complete,Deferred"</formula1>
    </dataValidation>
    <dataValidation type="list" sqref="I4:I20" xr:uid="{00000000-0002-0000-05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showGridLines="0" workbookViewId="0">
      <selection activeCell="K12" sqref="K12"/>
    </sheetView>
  </sheetViews>
  <sheetFormatPr baseColWidth="10" defaultColWidth="8.83203125" defaultRowHeight="14"/>
  <cols>
    <col min="1" max="11" width="20" customWidth="1"/>
  </cols>
  <sheetData>
    <row r="1" spans="1:26" ht="21.5" customHeight="1">
      <c r="A1" s="27" t="s">
        <v>359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91" t="s">
        <v>10</v>
      </c>
      <c r="B3" s="91" t="s">
        <v>11</v>
      </c>
      <c r="C3" s="91" t="s">
        <v>360</v>
      </c>
      <c r="D3" s="91" t="s">
        <v>12</v>
      </c>
      <c r="E3" s="91" t="s">
        <v>189</v>
      </c>
      <c r="F3" s="91" t="s">
        <v>13</v>
      </c>
      <c r="G3" s="91" t="s">
        <v>14</v>
      </c>
      <c r="H3" s="91" t="s">
        <v>15</v>
      </c>
      <c r="I3" s="91" t="s">
        <v>6</v>
      </c>
      <c r="J3" s="91" t="s">
        <v>16</v>
      </c>
      <c r="K3" s="91" t="s">
        <v>17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63" t="s">
        <v>113</v>
      </c>
      <c r="B4" s="63">
        <f>COUNTIF(Synergy_Tracker!$B$4:$B$23,A4)</f>
        <v>3</v>
      </c>
      <c r="C4" s="63">
        <f>COUNTIFS(Synergy_Tracker!$B$4:$B$23,A4,Synergy_Tracker!$E$4:$E$23,"Complete")</f>
        <v>0</v>
      </c>
      <c r="D4" s="63">
        <f>COUNTIFS(Synergy_Tracker!$B$4:$B$23,A4,Synergy_Tracker!$E$4:$E$23,"At Risk")</f>
        <v>0</v>
      </c>
      <c r="E4" s="64">
        <f>SUMIF(Synergy_Tracker!$B$4:$B$23,A4,Synergy_Tracker!$I$4:$I$23)</f>
        <v>2530000</v>
      </c>
      <c r="F4" s="64">
        <f>SUMIF(Synergy_Tracker!$B$4:$B$23,A4,Synergy_Tracker!$K$4:$K$23)</f>
        <v>2198000</v>
      </c>
      <c r="G4" s="64">
        <f>SUMIF(Synergy_Tracker!$B$4:$B$23,A4,Synergy_Tracker!$Q$4:$Q$23)</f>
        <v>622750</v>
      </c>
      <c r="H4" s="64">
        <f>SUMIF(Synergy_Tracker!$B$4:$B$23,A4,Synergy_Tracker!$R$4:$R$23)</f>
        <v>371862.5</v>
      </c>
      <c r="I4" s="65">
        <f t="shared" ref="I4:I12" si="0">IF(F4=0,0,H4/F4)</f>
        <v>0.1691822111010009</v>
      </c>
      <c r="J4" s="64">
        <f>H4*Inputs!$B$9</f>
        <v>4276418.75</v>
      </c>
      <c r="K4" s="63" t="str">
        <f>IF(I4&gt;=Inputs!$B$16,"On Track",IF(G4/MAX(F4,1)&lt;Inputs!$B$17,"Behind","Watch"))</f>
        <v>Behind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63" t="s">
        <v>133</v>
      </c>
      <c r="B5" s="63">
        <f>COUNTIF(Synergy_Tracker!$B$4:$B$23,A5)</f>
        <v>2</v>
      </c>
      <c r="C5" s="63">
        <f>COUNTIFS(Synergy_Tracker!$B$4:$B$23,A5,Synergy_Tracker!$E$4:$E$23,"Complete")</f>
        <v>0</v>
      </c>
      <c r="D5" s="63">
        <f>COUNTIFS(Synergy_Tracker!$B$4:$B$23,A5,Synergy_Tracker!$E$4:$E$23,"At Risk")</f>
        <v>1</v>
      </c>
      <c r="E5" s="64">
        <f>SUMIF(Synergy_Tracker!$B$4:$B$23,A5,Synergy_Tracker!$I$4:$I$23)</f>
        <v>1380000</v>
      </c>
      <c r="F5" s="64">
        <f>SUMIF(Synergy_Tracker!$B$4:$B$23,A5,Synergy_Tracker!$K$4:$K$23)</f>
        <v>1102800</v>
      </c>
      <c r="G5" s="64">
        <f>SUMIF(Synergy_Tracker!$B$4:$B$23,A5,Synergy_Tracker!$Q$4:$Q$23)</f>
        <v>444680</v>
      </c>
      <c r="H5" s="64">
        <f>SUMIF(Synergy_Tracker!$B$4:$B$23,A5,Synergy_Tracker!$R$4:$R$23)</f>
        <v>416470</v>
      </c>
      <c r="I5" s="65">
        <f t="shared" si="0"/>
        <v>0.37764780558578165</v>
      </c>
      <c r="J5" s="64">
        <f>H5*Inputs!$B$9</f>
        <v>4789405</v>
      </c>
      <c r="K5" s="63" t="str">
        <f>IF(I5&gt;=Inputs!$B$16,"On Track",IF(G5/MAX(F5,1)&lt;Inputs!$B$17,"Behind","Watch"))</f>
        <v>Behind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63" t="s">
        <v>117</v>
      </c>
      <c r="B6" s="63">
        <f>COUNTIF(Synergy_Tracker!$B$4:$B$23,A6)</f>
        <v>4</v>
      </c>
      <c r="C6" s="63">
        <f>COUNTIFS(Synergy_Tracker!$B$4:$B$23,A6,Synergy_Tracker!$E$4:$E$23,"Complete")</f>
        <v>1</v>
      </c>
      <c r="D6" s="63">
        <f>COUNTIFS(Synergy_Tracker!$B$4:$B$23,A6,Synergy_Tracker!$E$4:$E$23,"At Risk")</f>
        <v>0</v>
      </c>
      <c r="E6" s="64">
        <f>SUMIF(Synergy_Tracker!$B$4:$B$23,A6,Synergy_Tracker!$I$4:$I$23)</f>
        <v>1870000</v>
      </c>
      <c r="F6" s="64">
        <f>SUMIF(Synergy_Tracker!$B$4:$B$23,A6,Synergy_Tracker!$K$4:$K$23)</f>
        <v>1724000</v>
      </c>
      <c r="G6" s="64">
        <f>SUMIF(Synergy_Tracker!$B$4:$B$23,A6,Synergy_Tracker!$Q$4:$Q$23)</f>
        <v>1019700</v>
      </c>
      <c r="H6" s="64">
        <f>SUMIF(Synergy_Tracker!$B$4:$B$23,A6,Synergy_Tracker!$R$4:$R$23)</f>
        <v>940050</v>
      </c>
      <c r="I6" s="65">
        <f t="shared" si="0"/>
        <v>0.54527262180974478</v>
      </c>
      <c r="J6" s="64">
        <f>H6*Inputs!$B$9</f>
        <v>10810575</v>
      </c>
      <c r="K6" s="63" t="str">
        <f>IF(I6&gt;=Inputs!$B$16,"On Track",IF(G6/MAX(F6,1)&lt;Inputs!$B$17,"Behind","Watch"))</f>
        <v>Behind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63" t="s">
        <v>120</v>
      </c>
      <c r="B7" s="63">
        <f>COUNTIF(Synergy_Tracker!$B$4:$B$23,A7)</f>
        <v>3</v>
      </c>
      <c r="C7" s="63">
        <f>COUNTIFS(Synergy_Tracker!$B$4:$B$23,A7,Synergy_Tracker!$E$4:$E$23,"Complete")</f>
        <v>1</v>
      </c>
      <c r="D7" s="63">
        <f>COUNTIFS(Synergy_Tracker!$B$4:$B$23,A7,Synergy_Tracker!$E$4:$E$23,"At Risk")</f>
        <v>1</v>
      </c>
      <c r="E7" s="64">
        <f>SUMIF(Synergy_Tracker!$B$4:$B$23,A7,Synergy_Tracker!$I$4:$I$23)</f>
        <v>1220000</v>
      </c>
      <c r="F7" s="64">
        <f>SUMIF(Synergy_Tracker!$B$4:$B$23,A7,Synergy_Tracker!$K$4:$K$23)</f>
        <v>982500</v>
      </c>
      <c r="G7" s="64">
        <f>SUMIF(Synergy_Tracker!$B$4:$B$23,A7,Synergy_Tracker!$Q$4:$Q$23)</f>
        <v>328040</v>
      </c>
      <c r="H7" s="64">
        <f>SUMIF(Synergy_Tracker!$B$4:$B$23,A7,Synergy_Tracker!$R$4:$R$23)</f>
        <v>285192.5</v>
      </c>
      <c r="I7" s="65">
        <f t="shared" si="0"/>
        <v>0.29027226463104328</v>
      </c>
      <c r="J7" s="64">
        <f>H7*Inputs!$B$9</f>
        <v>3279713.75</v>
      </c>
      <c r="K7" s="63" t="str">
        <f>IF(I7&gt;=Inputs!$B$16,"On Track",IF(G7/MAX(F7,1)&lt;Inputs!$B$17,"Behind","Watch"))</f>
        <v>Behind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63" t="s">
        <v>127</v>
      </c>
      <c r="B8" s="63">
        <f>COUNTIF(Synergy_Tracker!$B$4:$B$23,A8)</f>
        <v>2</v>
      </c>
      <c r="C8" s="63">
        <f>COUNTIFS(Synergy_Tracker!$B$4:$B$23,A8,Synergy_Tracker!$E$4:$E$23,"Complete")</f>
        <v>0</v>
      </c>
      <c r="D8" s="63">
        <f>COUNTIFS(Synergy_Tracker!$B$4:$B$23,A8,Synergy_Tracker!$E$4:$E$23,"At Risk")</f>
        <v>0</v>
      </c>
      <c r="E8" s="64">
        <f>SUMIF(Synergy_Tracker!$B$4:$B$23,A8,Synergy_Tracker!$I$4:$I$23)</f>
        <v>960000</v>
      </c>
      <c r="F8" s="64">
        <f>SUMIF(Synergy_Tracker!$B$4:$B$23,A8,Synergy_Tracker!$K$4:$K$23)</f>
        <v>746000</v>
      </c>
      <c r="G8" s="64">
        <f>SUMIF(Synergy_Tracker!$B$4:$B$23,A8,Synergy_Tracker!$Q$4:$Q$23)</f>
        <v>20800</v>
      </c>
      <c r="H8" s="64">
        <f>SUMIF(Synergy_Tracker!$B$4:$B$23,A8,Synergy_Tracker!$R$4:$R$23)</f>
        <v>7279.9999999999991</v>
      </c>
      <c r="I8" s="65">
        <f t="shared" si="0"/>
        <v>9.7587131367292222E-3</v>
      </c>
      <c r="J8" s="64">
        <f>H8*Inputs!$B$9</f>
        <v>83719.999999999985</v>
      </c>
      <c r="K8" s="63" t="str">
        <f>IF(I8&gt;=Inputs!$B$16,"On Track",IF(G8/MAX(F8,1)&lt;Inputs!$B$17,"Behind","Watch"))</f>
        <v>Behind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3" t="s">
        <v>130</v>
      </c>
      <c r="B9" s="63">
        <f>COUNTIF(Synergy_Tracker!$B$4:$B$23,A9)</f>
        <v>2</v>
      </c>
      <c r="C9" s="63">
        <f>COUNTIFS(Synergy_Tracker!$B$4:$B$23,A9,Synergy_Tracker!$E$4:$E$23,"Complete")</f>
        <v>0</v>
      </c>
      <c r="D9" s="63">
        <f>COUNTIFS(Synergy_Tracker!$B$4:$B$23,A9,Synergy_Tracker!$E$4:$E$23,"At Risk")</f>
        <v>0</v>
      </c>
      <c r="E9" s="64">
        <f>SUMIF(Synergy_Tracker!$B$4:$B$23,A9,Synergy_Tracker!$I$4:$I$23)</f>
        <v>800000</v>
      </c>
      <c r="F9" s="64">
        <f>SUMIF(Synergy_Tracker!$B$4:$B$23,A9,Synergy_Tracker!$K$4:$K$23)</f>
        <v>691400</v>
      </c>
      <c r="G9" s="64">
        <f>SUMIF(Synergy_Tracker!$B$4:$B$23,A9,Synergy_Tracker!$Q$4:$Q$23)</f>
        <v>207680</v>
      </c>
      <c r="H9" s="64">
        <f>SUMIF(Synergy_Tracker!$B$4:$B$23,A9,Synergy_Tracker!$R$4:$R$23)</f>
        <v>155760</v>
      </c>
      <c r="I9" s="65">
        <f t="shared" si="0"/>
        <v>0.2252820364477871</v>
      </c>
      <c r="J9" s="64">
        <f>H9*Inputs!$B$9</f>
        <v>1791240</v>
      </c>
      <c r="K9" s="63" t="str">
        <f>IF(I9&gt;=Inputs!$B$16,"On Track",IF(G9/MAX(F9,1)&lt;Inputs!$B$17,"Behind","Watch"))</f>
        <v>Behind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63" t="s">
        <v>124</v>
      </c>
      <c r="B10" s="63">
        <f>COUNTIF(Synergy_Tracker!$B$4:$B$23,A10)</f>
        <v>2</v>
      </c>
      <c r="C10" s="63">
        <f>COUNTIFS(Synergy_Tracker!$B$4:$B$23,A10,Synergy_Tracker!$E$4:$E$23,"Complete")</f>
        <v>0</v>
      </c>
      <c r="D10" s="63">
        <f>COUNTIFS(Synergy_Tracker!$B$4:$B$23,A10,Synergy_Tracker!$E$4:$E$23,"At Risk")</f>
        <v>0</v>
      </c>
      <c r="E10" s="64">
        <f>SUMIF(Synergy_Tracker!$B$4:$B$23,A10,Synergy_Tracker!$I$4:$I$23)</f>
        <v>2650000</v>
      </c>
      <c r="F10" s="64">
        <f>SUMIF(Synergy_Tracker!$B$4:$B$23,A10,Synergy_Tracker!$K$4:$K$23)</f>
        <v>1677500</v>
      </c>
      <c r="G10" s="64">
        <f>SUMIF(Synergy_Tracker!$B$4:$B$23,A10,Synergy_Tracker!$Q$4:$Q$23)</f>
        <v>147300</v>
      </c>
      <c r="H10" s="64">
        <f>SUMIF(Synergy_Tracker!$B$4:$B$23,A10,Synergy_Tracker!$R$4:$R$23)</f>
        <v>51555</v>
      </c>
      <c r="I10" s="65">
        <f t="shared" si="0"/>
        <v>3.0733233979135618E-2</v>
      </c>
      <c r="J10" s="64">
        <f>H10*Inputs!$B$9</f>
        <v>592882.5</v>
      </c>
      <c r="K10" s="63" t="str">
        <f>IF(I10&gt;=Inputs!$B$16,"On Track",IF(G10/MAX(F10,1)&lt;Inputs!$B$17,"Behind","Watch"))</f>
        <v>Behind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63" t="s">
        <v>136</v>
      </c>
      <c r="B11" s="63">
        <f>COUNTIF(Synergy_Tracker!$B$4:$B$23,A11)</f>
        <v>2</v>
      </c>
      <c r="C11" s="63">
        <f>COUNTIFS(Synergy_Tracker!$B$4:$B$23,A11,Synergy_Tracker!$E$4:$E$23,"Complete")</f>
        <v>1</v>
      </c>
      <c r="D11" s="63">
        <f>COUNTIFS(Synergy_Tracker!$B$4:$B$23,A11,Synergy_Tracker!$E$4:$E$23,"At Risk")</f>
        <v>0</v>
      </c>
      <c r="E11" s="64">
        <f>SUMIF(Synergy_Tracker!$B$4:$B$23,A11,Synergy_Tracker!$I$4:$I$23)</f>
        <v>1180000</v>
      </c>
      <c r="F11" s="64">
        <f>SUMIF(Synergy_Tracker!$B$4:$B$23,A11,Synergy_Tracker!$K$4:$K$23)</f>
        <v>1036600</v>
      </c>
      <c r="G11" s="64">
        <f>SUMIF(Synergy_Tracker!$B$4:$B$23,A11,Synergy_Tracker!$Q$4:$Q$23)</f>
        <v>672860</v>
      </c>
      <c r="H11" s="64">
        <f>SUMIF(Synergy_Tracker!$B$4:$B$23,A11,Synergy_Tracker!$R$4:$R$23)</f>
        <v>598485</v>
      </c>
      <c r="I11" s="65">
        <f t="shared" si="0"/>
        <v>0.57735384912213006</v>
      </c>
      <c r="J11" s="64">
        <f>H11*Inputs!$B$9</f>
        <v>6882577.5</v>
      </c>
      <c r="K11" s="63" t="str">
        <f>IF(I11&gt;=Inputs!$B$16,"On Track",IF(G11/MAX(F11,1)&lt;Inputs!$B$17,"Behind","Watch"))</f>
        <v>Watch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92" t="s">
        <v>361</v>
      </c>
      <c r="B12" s="92">
        <f t="shared" ref="B12:H12" si="1">SUM(B4:B11)</f>
        <v>20</v>
      </c>
      <c r="C12" s="92">
        <f t="shared" si="1"/>
        <v>3</v>
      </c>
      <c r="D12" s="92">
        <f t="shared" si="1"/>
        <v>2</v>
      </c>
      <c r="E12" s="93">
        <f t="shared" si="1"/>
        <v>12590000</v>
      </c>
      <c r="F12" s="93">
        <f t="shared" si="1"/>
        <v>10158800</v>
      </c>
      <c r="G12" s="93">
        <f t="shared" si="1"/>
        <v>3463810</v>
      </c>
      <c r="H12" s="93">
        <f t="shared" si="1"/>
        <v>2826655</v>
      </c>
      <c r="I12" s="94">
        <f t="shared" si="0"/>
        <v>0.27824693861479705</v>
      </c>
      <c r="J12" s="93">
        <f>SUM(J4:J11)</f>
        <v>32506532.5</v>
      </c>
      <c r="K12" s="92" t="str">
        <f>IF(I12&gt;=Inputs!$B$16,"On Track","Watch")</f>
        <v>Watch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K1"/>
  </mergeCells>
  <conditionalFormatting sqref="K4:K12">
    <cfRule type="expression" dxfId="19" priority="1">
      <formula>$K4="Behind"</formula>
    </cfRule>
    <cfRule type="expression" dxfId="18" priority="2">
      <formula>$K4="On Track"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showGridLines="0" topLeftCell="A7" workbookViewId="0">
      <selection activeCell="J34" sqref="J34"/>
    </sheetView>
  </sheetViews>
  <sheetFormatPr baseColWidth="10" defaultColWidth="8.83203125" defaultRowHeight="14"/>
  <cols>
    <col min="1" max="2" width="26" customWidth="1"/>
    <col min="3" max="3" width="39.1640625" customWidth="1"/>
    <col min="4" max="6" width="26" customWidth="1"/>
  </cols>
  <sheetData>
    <row r="1" spans="1:26" ht="21.5" customHeight="1">
      <c r="A1" s="27" t="s">
        <v>362</v>
      </c>
      <c r="B1" s="15"/>
      <c r="C1" s="15"/>
      <c r="D1" s="15"/>
      <c r="E1" s="15"/>
      <c r="F1" s="15"/>
      <c r="G1" s="15"/>
      <c r="H1" s="15"/>
      <c r="I1" s="15"/>
      <c r="J1" s="1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95" t="s">
        <v>363</v>
      </c>
      <c r="B3" s="95"/>
      <c r="C3" s="95"/>
      <c r="D3" s="56"/>
      <c r="E3" s="56"/>
      <c r="F3" s="56"/>
      <c r="G3" s="56"/>
      <c r="H3" s="56"/>
      <c r="I3" s="56"/>
      <c r="J3" s="5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87" t="s">
        <v>364</v>
      </c>
      <c r="B4" s="87" t="s">
        <v>365</v>
      </c>
      <c r="C4" s="87" t="s">
        <v>71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50" t="s">
        <v>366</v>
      </c>
      <c r="B5" s="61">
        <f>Inputs!B6</f>
        <v>37500000</v>
      </c>
      <c r="C5" s="50" t="s">
        <v>367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50" t="s">
        <v>368</v>
      </c>
      <c r="B6" s="61">
        <f>Inputs!B8</f>
        <v>6500000</v>
      </c>
      <c r="C6" s="50" t="s">
        <v>367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50" t="s">
        <v>369</v>
      </c>
      <c r="B7" s="61">
        <f>B5+B6</f>
        <v>44000000</v>
      </c>
      <c r="C7" s="50" t="s">
        <v>147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50" t="s">
        <v>370</v>
      </c>
      <c r="B8" s="61">
        <f>SUMIFS(Synergy_Tracker!$R$4:$R$23,Synergy_Tracker!$B$4:$B$23,"&lt;&gt;Revenue / Cross-sell")</f>
        <v>2775100</v>
      </c>
      <c r="C8" s="50" t="s">
        <v>371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50" t="s">
        <v>372</v>
      </c>
      <c r="B9" s="61">
        <f>SUMIFS(Synergy_Tracker!$R$4:$R$23,Synergy_Tracker!$B$4:$B$23,"Revenue / Cross-sell")</f>
        <v>51555</v>
      </c>
      <c r="C9" s="50" t="s">
        <v>373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50" t="s">
        <v>374</v>
      </c>
      <c r="B10" s="61">
        <f>B7+B8+B9</f>
        <v>46826655</v>
      </c>
      <c r="C10" s="50" t="s">
        <v>375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50" t="s">
        <v>376</v>
      </c>
      <c r="B11" s="61">
        <f>B10-B7</f>
        <v>2826655</v>
      </c>
      <c r="C11" s="50" t="s">
        <v>377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50" t="s">
        <v>378</v>
      </c>
      <c r="B12" s="61">
        <f>SUM(Synergy_Tracker!$L$4:$L$23)</f>
        <v>4390000</v>
      </c>
      <c r="C12" s="50" t="s">
        <v>379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50" t="s">
        <v>380</v>
      </c>
      <c r="B13" s="61">
        <f>B11*Inputs!B9</f>
        <v>32506532.5</v>
      </c>
      <c r="C13" s="50" t="s">
        <v>381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50" t="s">
        <v>382</v>
      </c>
      <c r="B14" s="61">
        <f>B13-B12</f>
        <v>28116532.5</v>
      </c>
      <c r="C14" s="50" t="s">
        <v>383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7" t="s">
        <v>384</v>
      </c>
      <c r="B17" s="96"/>
      <c r="C17" s="96"/>
      <c r="D17" s="96"/>
      <c r="E17" s="96"/>
      <c r="F17" s="9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48" t="s">
        <v>10</v>
      </c>
      <c r="B18" s="48" t="s">
        <v>13</v>
      </c>
      <c r="C18" s="48" t="s">
        <v>15</v>
      </c>
      <c r="D18" s="48" t="s">
        <v>18</v>
      </c>
      <c r="E18" s="48" t="s">
        <v>6</v>
      </c>
      <c r="F18" s="48" t="s">
        <v>16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50" t="s">
        <v>113</v>
      </c>
      <c r="B19" s="61">
        <f>Workstream_Detail!F4</f>
        <v>2198000</v>
      </c>
      <c r="C19" s="61">
        <f>Workstream_Detail!H4</f>
        <v>371862.5</v>
      </c>
      <c r="D19" s="61">
        <f t="shared" ref="D19:D26" si="0">B19-C19</f>
        <v>1826137.5</v>
      </c>
      <c r="E19" s="62">
        <f t="shared" ref="E19:E27" si="1">IF(B19=0,0,C19/B19)</f>
        <v>0.1691822111010009</v>
      </c>
      <c r="F19" s="61">
        <f>C19*Inputs!$B$9</f>
        <v>4276418.75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50" t="s">
        <v>133</v>
      </c>
      <c r="B20" s="61">
        <f>Workstream_Detail!F5</f>
        <v>1102800</v>
      </c>
      <c r="C20" s="61">
        <f>Workstream_Detail!H5</f>
        <v>416470</v>
      </c>
      <c r="D20" s="61">
        <f t="shared" si="0"/>
        <v>686330</v>
      </c>
      <c r="E20" s="62">
        <f t="shared" si="1"/>
        <v>0.37764780558578165</v>
      </c>
      <c r="F20" s="61">
        <f>C20*Inputs!$B$9</f>
        <v>4789405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50" t="s">
        <v>117</v>
      </c>
      <c r="B21" s="61">
        <f>Workstream_Detail!F6</f>
        <v>1724000</v>
      </c>
      <c r="C21" s="61">
        <f>Workstream_Detail!H6</f>
        <v>940050</v>
      </c>
      <c r="D21" s="61">
        <f t="shared" si="0"/>
        <v>783950</v>
      </c>
      <c r="E21" s="62">
        <f t="shared" si="1"/>
        <v>0.54527262180974478</v>
      </c>
      <c r="F21" s="61">
        <f>C21*Inputs!$B$9</f>
        <v>10810575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50" t="s">
        <v>120</v>
      </c>
      <c r="B22" s="61">
        <f>Workstream_Detail!F7</f>
        <v>982500</v>
      </c>
      <c r="C22" s="61">
        <f>Workstream_Detail!H7</f>
        <v>285192.5</v>
      </c>
      <c r="D22" s="61">
        <f t="shared" si="0"/>
        <v>697307.5</v>
      </c>
      <c r="E22" s="62">
        <f t="shared" si="1"/>
        <v>0.29027226463104328</v>
      </c>
      <c r="F22" s="61">
        <f>C22*Inputs!$B$9</f>
        <v>3279713.75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50" t="s">
        <v>127</v>
      </c>
      <c r="B23" s="61">
        <f>Workstream_Detail!F8</f>
        <v>746000</v>
      </c>
      <c r="C23" s="61">
        <f>Workstream_Detail!H8</f>
        <v>7279.9999999999991</v>
      </c>
      <c r="D23" s="61">
        <f t="shared" si="0"/>
        <v>738720</v>
      </c>
      <c r="E23" s="62">
        <f t="shared" si="1"/>
        <v>9.7587131367292222E-3</v>
      </c>
      <c r="F23" s="61">
        <f>C23*Inputs!$B$9</f>
        <v>83719.999999999985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50" t="s">
        <v>130</v>
      </c>
      <c r="B24" s="61">
        <f>Workstream_Detail!F9</f>
        <v>691400</v>
      </c>
      <c r="C24" s="61">
        <f>Workstream_Detail!H9</f>
        <v>155760</v>
      </c>
      <c r="D24" s="61">
        <f t="shared" si="0"/>
        <v>535640</v>
      </c>
      <c r="E24" s="62">
        <f t="shared" si="1"/>
        <v>0.2252820364477871</v>
      </c>
      <c r="F24" s="61">
        <f>C24*Inputs!$B$9</f>
        <v>1791240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50" t="s">
        <v>124</v>
      </c>
      <c r="B25" s="61">
        <f>Workstream_Detail!F10</f>
        <v>1677500</v>
      </c>
      <c r="C25" s="61">
        <f>Workstream_Detail!H10</f>
        <v>51555</v>
      </c>
      <c r="D25" s="61">
        <f t="shared" si="0"/>
        <v>1625945</v>
      </c>
      <c r="E25" s="62">
        <f t="shared" si="1"/>
        <v>3.0733233979135618E-2</v>
      </c>
      <c r="F25" s="61">
        <f>C25*Inputs!$B$9</f>
        <v>592882.5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50" t="s">
        <v>136</v>
      </c>
      <c r="B26" s="61">
        <f>Workstream_Detail!F11</f>
        <v>1036600</v>
      </c>
      <c r="C26" s="61">
        <f>Workstream_Detail!H11</f>
        <v>598485</v>
      </c>
      <c r="D26" s="61">
        <f t="shared" si="0"/>
        <v>438115</v>
      </c>
      <c r="E26" s="62">
        <f t="shared" si="1"/>
        <v>0.57735384912213006</v>
      </c>
      <c r="F26" s="61">
        <f>C26*Inputs!$B$9</f>
        <v>6882577.5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88" t="s">
        <v>361</v>
      </c>
      <c r="B27" s="89">
        <f>SUM(B19:B26)</f>
        <v>10158800</v>
      </c>
      <c r="C27" s="89">
        <f>SUM(C19:C26)</f>
        <v>2826655</v>
      </c>
      <c r="D27" s="89">
        <f>SUM(D19:D26)</f>
        <v>7332145</v>
      </c>
      <c r="E27" s="90">
        <f t="shared" si="1"/>
        <v>0.27824693861479705</v>
      </c>
      <c r="F27" s="89">
        <f>SUM(F19:F26)</f>
        <v>32506532.5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">
    <mergeCell ref="A1:J1"/>
    <mergeCell ref="A17:F17"/>
    <mergeCell ref="A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Instructions</vt:lpstr>
      <vt:lpstr>Inputs</vt:lpstr>
      <vt:lpstr>Target_Financials</vt:lpstr>
      <vt:lpstr>Synergy_Tracker</vt:lpstr>
      <vt:lpstr>Integration_Milestones</vt:lpstr>
      <vt:lpstr>Workstream_Detail</vt:lpstr>
      <vt:lpstr>EBITDA_Bridge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Blake Henkel</cp:lastModifiedBy>
  <dcterms:created xsi:type="dcterms:W3CDTF">2026-05-03T21:15:11Z</dcterms:created>
  <dcterms:modified xsi:type="dcterms:W3CDTF">2026-05-03T21:15:14Z</dcterms:modified>
</cp:coreProperties>
</file>