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lakehenkelsmacbook/Desktop/Blake's-Vault/Projects/Ops2EBITDA/Marketing/Offerings/Excel Models/Excel Models/"/>
    </mc:Choice>
  </mc:AlternateContent>
  <xr:revisionPtr revIDLastSave="0" documentId="8_{61BE776B-ED87-184A-BB39-2BBFB657A9B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Dashboard" sheetId="1" r:id="rId1"/>
    <sheet name="Instructions" sheetId="2" r:id="rId2"/>
    <sheet name="Inputs" sheetId="3" r:id="rId3"/>
    <sheet name="Pipeline_Data" sheetId="4" r:id="rId4"/>
    <sheet name="Rep_Productivity" sheetId="5" r:id="rId5"/>
    <sheet name="Stage_Conversion" sheetId="6" r:id="rId6"/>
    <sheet name="Territory_Capacity" sheetId="7" r:id="rId7"/>
    <sheet name="Forecast_Scenarios" sheetId="8" r:id="rId8"/>
    <sheet name="EBITDA_Impact" sheetId="9" r:id="rId9"/>
    <sheet name="Sources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D10" i="9" s="1"/>
  <c r="E10" i="9" s="1"/>
  <c r="C9" i="9"/>
  <c r="C8" i="9"/>
  <c r="C7" i="9"/>
  <c r="C6" i="9"/>
  <c r="C5" i="9"/>
  <c r="C4" i="9"/>
  <c r="D10" i="8"/>
  <c r="C10" i="8"/>
  <c r="B10" i="8"/>
  <c r="D8" i="8"/>
  <c r="C8" i="8"/>
  <c r="B8" i="8"/>
  <c r="D7" i="8"/>
  <c r="D9" i="8" s="1"/>
  <c r="C7" i="8"/>
  <c r="C9" i="8" s="1"/>
  <c r="B7" i="8"/>
  <c r="B9" i="8" s="1"/>
  <c r="D6" i="8"/>
  <c r="C6" i="8"/>
  <c r="B6" i="8"/>
  <c r="H12" i="7"/>
  <c r="G12" i="7"/>
  <c r="F12" i="7"/>
  <c r="J12" i="7" s="1"/>
  <c r="B12" i="7"/>
  <c r="H11" i="7"/>
  <c r="G11" i="7"/>
  <c r="K11" i="7" s="1"/>
  <c r="F11" i="7"/>
  <c r="J11" i="7" s="1"/>
  <c r="B11" i="7"/>
  <c r="H10" i="7"/>
  <c r="G10" i="7"/>
  <c r="I10" i="7" s="1"/>
  <c r="F10" i="7"/>
  <c r="J10" i="7" s="1"/>
  <c r="B10" i="7"/>
  <c r="H9" i="7"/>
  <c r="G9" i="7"/>
  <c r="I9" i="7" s="1"/>
  <c r="F9" i="7"/>
  <c r="J9" i="7" s="1"/>
  <c r="B9" i="7"/>
  <c r="H8" i="7"/>
  <c r="G8" i="7"/>
  <c r="K8" i="7" s="1"/>
  <c r="F8" i="7"/>
  <c r="J8" i="7" s="1"/>
  <c r="B8" i="7"/>
  <c r="H7" i="7"/>
  <c r="G7" i="7"/>
  <c r="I7" i="7" s="1"/>
  <c r="M7" i="7" s="1"/>
  <c r="F7" i="7"/>
  <c r="J7" i="7" s="1"/>
  <c r="B7" i="7"/>
  <c r="H6" i="7"/>
  <c r="G6" i="7"/>
  <c r="I6" i="7" s="1"/>
  <c r="F6" i="7"/>
  <c r="J6" i="7" s="1"/>
  <c r="B6" i="7"/>
  <c r="J5" i="7"/>
  <c r="H5" i="7"/>
  <c r="G5" i="7"/>
  <c r="K5" i="7" s="1"/>
  <c r="F5" i="7"/>
  <c r="B5" i="7"/>
  <c r="E12" i="6"/>
  <c r="D12" i="6"/>
  <c r="G12" i="6" s="1"/>
  <c r="C12" i="6"/>
  <c r="B12" i="6"/>
  <c r="G11" i="6"/>
  <c r="E11" i="6"/>
  <c r="D11" i="6"/>
  <c r="C11" i="6"/>
  <c r="B11" i="6"/>
  <c r="E10" i="6"/>
  <c r="D10" i="6"/>
  <c r="G10" i="6" s="1"/>
  <c r="J10" i="6" s="1"/>
  <c r="K10" i="6" s="1"/>
  <c r="C10" i="6"/>
  <c r="B10" i="6"/>
  <c r="G9" i="6"/>
  <c r="J9" i="6" s="1"/>
  <c r="K9" i="6" s="1"/>
  <c r="E9" i="6"/>
  <c r="D9" i="6"/>
  <c r="C9" i="6"/>
  <c r="B9" i="6"/>
  <c r="E8" i="6"/>
  <c r="D8" i="6"/>
  <c r="G8" i="6" s="1"/>
  <c r="J8" i="6" s="1"/>
  <c r="K8" i="6" s="1"/>
  <c r="C8" i="6"/>
  <c r="B8" i="6"/>
  <c r="G7" i="6"/>
  <c r="J7" i="6" s="1"/>
  <c r="K7" i="6" s="1"/>
  <c r="E7" i="6"/>
  <c r="D7" i="6"/>
  <c r="C7" i="6"/>
  <c r="B7" i="6"/>
  <c r="E6" i="6"/>
  <c r="D6" i="6"/>
  <c r="G6" i="6" s="1"/>
  <c r="J6" i="6" s="1"/>
  <c r="K6" i="6" s="1"/>
  <c r="C6" i="6"/>
  <c r="B6" i="6"/>
  <c r="G5" i="6"/>
  <c r="J5" i="6" s="1"/>
  <c r="K5" i="6" s="1"/>
  <c r="E5" i="6"/>
  <c r="D5" i="6"/>
  <c r="C5" i="6"/>
  <c r="B5" i="6"/>
  <c r="Q12" i="5"/>
  <c r="M12" i="5"/>
  <c r="L12" i="5"/>
  <c r="N12" i="5" s="1"/>
  <c r="E18" i="1" s="1"/>
  <c r="G12" i="5"/>
  <c r="C12" i="5"/>
  <c r="B12" i="5"/>
  <c r="Q11" i="5"/>
  <c r="M11" i="5"/>
  <c r="L11" i="5"/>
  <c r="G11" i="5"/>
  <c r="D11" i="5"/>
  <c r="C11" i="5"/>
  <c r="B11" i="5"/>
  <c r="Q10" i="5"/>
  <c r="M10" i="5"/>
  <c r="L10" i="5"/>
  <c r="G10" i="5"/>
  <c r="C10" i="5"/>
  <c r="B10" i="5"/>
  <c r="Q9" i="5"/>
  <c r="M9" i="5"/>
  <c r="L9" i="5"/>
  <c r="G9" i="5"/>
  <c r="C9" i="5"/>
  <c r="B9" i="5"/>
  <c r="Q8" i="5"/>
  <c r="M8" i="5"/>
  <c r="L8" i="5"/>
  <c r="N8" i="5" s="1"/>
  <c r="E14" i="1" s="1"/>
  <c r="G8" i="5"/>
  <c r="D8" i="5"/>
  <c r="C8" i="5"/>
  <c r="B8" i="5"/>
  <c r="Q7" i="5"/>
  <c r="M7" i="5"/>
  <c r="L7" i="5"/>
  <c r="G7" i="5"/>
  <c r="C7" i="5"/>
  <c r="B7" i="5"/>
  <c r="Q6" i="5"/>
  <c r="M6" i="5"/>
  <c r="L6" i="5"/>
  <c r="N6" i="5" s="1"/>
  <c r="E12" i="1" s="1"/>
  <c r="G6" i="5"/>
  <c r="D6" i="5"/>
  <c r="C6" i="5"/>
  <c r="K6" i="5" s="1"/>
  <c r="B6" i="5"/>
  <c r="Q5" i="5"/>
  <c r="M5" i="5"/>
  <c r="L5" i="5"/>
  <c r="G5" i="5"/>
  <c r="C5" i="5"/>
  <c r="B11" i="1" s="1"/>
  <c r="B5" i="5"/>
  <c r="N89" i="4"/>
  <c r="L89" i="4"/>
  <c r="M89" i="4" s="1"/>
  <c r="Q89" i="4" s="1"/>
  <c r="I89" i="4"/>
  <c r="J89" i="4" s="1"/>
  <c r="N88" i="4"/>
  <c r="L88" i="4"/>
  <c r="M88" i="4" s="1"/>
  <c r="I88" i="4"/>
  <c r="J88" i="4" s="1"/>
  <c r="N87" i="4"/>
  <c r="L87" i="4"/>
  <c r="M87" i="4" s="1"/>
  <c r="Q87" i="4" s="1"/>
  <c r="I87" i="4"/>
  <c r="J87" i="4" s="1"/>
  <c r="N86" i="4"/>
  <c r="L86" i="4"/>
  <c r="M86" i="4" s="1"/>
  <c r="I86" i="4"/>
  <c r="J86" i="4" s="1"/>
  <c r="N85" i="4"/>
  <c r="L85" i="4"/>
  <c r="M85" i="4" s="1"/>
  <c r="I85" i="4"/>
  <c r="J85" i="4" s="1"/>
  <c r="Q85" i="4" s="1"/>
  <c r="N84" i="4"/>
  <c r="L84" i="4"/>
  <c r="M84" i="4" s="1"/>
  <c r="I84" i="4"/>
  <c r="J84" i="4" s="1"/>
  <c r="N83" i="4"/>
  <c r="D12" i="5" s="1"/>
  <c r="K12" i="5" s="1"/>
  <c r="L83" i="4"/>
  <c r="M83" i="4" s="1"/>
  <c r="I83" i="4"/>
  <c r="J83" i="4" s="1"/>
  <c r="N82" i="4"/>
  <c r="L82" i="4"/>
  <c r="M82" i="4" s="1"/>
  <c r="I82" i="4"/>
  <c r="J82" i="4" s="1"/>
  <c r="N81" i="4"/>
  <c r="L81" i="4"/>
  <c r="M81" i="4" s="1"/>
  <c r="I81" i="4"/>
  <c r="J81" i="4" s="1"/>
  <c r="N80" i="4"/>
  <c r="L80" i="4"/>
  <c r="M80" i="4" s="1"/>
  <c r="I80" i="4"/>
  <c r="J80" i="4" s="1"/>
  <c r="N79" i="4"/>
  <c r="L79" i="4"/>
  <c r="M79" i="4" s="1"/>
  <c r="I79" i="4"/>
  <c r="J79" i="4" s="1"/>
  <c r="N78" i="4"/>
  <c r="L78" i="4"/>
  <c r="M78" i="4" s="1"/>
  <c r="I78" i="4"/>
  <c r="J78" i="4" s="1"/>
  <c r="N77" i="4"/>
  <c r="L77" i="4"/>
  <c r="M77" i="4" s="1"/>
  <c r="Q77" i="4" s="1"/>
  <c r="I77" i="4"/>
  <c r="J77" i="4" s="1"/>
  <c r="N76" i="4"/>
  <c r="L76" i="4"/>
  <c r="M76" i="4" s="1"/>
  <c r="I76" i="4"/>
  <c r="J76" i="4" s="1"/>
  <c r="N75" i="4"/>
  <c r="L75" i="4"/>
  <c r="M75" i="4" s="1"/>
  <c r="I75" i="4"/>
  <c r="J75" i="4" s="1"/>
  <c r="N74" i="4"/>
  <c r="L74" i="4"/>
  <c r="M74" i="4" s="1"/>
  <c r="I74" i="4"/>
  <c r="J74" i="4" s="1"/>
  <c r="N73" i="4"/>
  <c r="L73" i="4"/>
  <c r="M73" i="4" s="1"/>
  <c r="I73" i="4"/>
  <c r="J73" i="4" s="1"/>
  <c r="N72" i="4"/>
  <c r="L72" i="4"/>
  <c r="M72" i="4" s="1"/>
  <c r="I72" i="4"/>
  <c r="J72" i="4" s="1"/>
  <c r="N71" i="4"/>
  <c r="L71" i="4"/>
  <c r="M71" i="4" s="1"/>
  <c r="I71" i="4"/>
  <c r="J71" i="4" s="1"/>
  <c r="N70" i="4"/>
  <c r="L70" i="4"/>
  <c r="M70" i="4" s="1"/>
  <c r="I70" i="4"/>
  <c r="J70" i="4" s="1"/>
  <c r="N69" i="4"/>
  <c r="D10" i="5" s="1"/>
  <c r="K10" i="5" s="1"/>
  <c r="L69" i="4"/>
  <c r="M69" i="4" s="1"/>
  <c r="I69" i="4"/>
  <c r="J69" i="4" s="1"/>
  <c r="N68" i="4"/>
  <c r="L68" i="4"/>
  <c r="M68" i="4" s="1"/>
  <c r="I68" i="4"/>
  <c r="J68" i="4" s="1"/>
  <c r="N67" i="4"/>
  <c r="L67" i="4"/>
  <c r="M67" i="4" s="1"/>
  <c r="I67" i="4"/>
  <c r="J67" i="4" s="1"/>
  <c r="N66" i="4"/>
  <c r="L66" i="4"/>
  <c r="M66" i="4" s="1"/>
  <c r="I66" i="4"/>
  <c r="J66" i="4" s="1"/>
  <c r="N65" i="4"/>
  <c r="L65" i="4"/>
  <c r="M65" i="4" s="1"/>
  <c r="I65" i="4"/>
  <c r="J65" i="4" s="1"/>
  <c r="N64" i="4"/>
  <c r="L64" i="4"/>
  <c r="M64" i="4" s="1"/>
  <c r="I64" i="4"/>
  <c r="J64" i="4" s="1"/>
  <c r="N63" i="4"/>
  <c r="L63" i="4"/>
  <c r="M63" i="4" s="1"/>
  <c r="I63" i="4"/>
  <c r="J63" i="4" s="1"/>
  <c r="N62" i="4"/>
  <c r="L62" i="4"/>
  <c r="M62" i="4" s="1"/>
  <c r="I62" i="4"/>
  <c r="J62" i="4" s="1"/>
  <c r="N61" i="4"/>
  <c r="L61" i="4"/>
  <c r="M61" i="4" s="1"/>
  <c r="I61" i="4"/>
  <c r="J61" i="4" s="1"/>
  <c r="N60" i="4"/>
  <c r="L60" i="4"/>
  <c r="M60" i="4" s="1"/>
  <c r="I60" i="4"/>
  <c r="J60" i="4" s="1"/>
  <c r="Q60" i="4" s="1"/>
  <c r="N59" i="4"/>
  <c r="L59" i="4"/>
  <c r="M59" i="4" s="1"/>
  <c r="I59" i="4"/>
  <c r="J59" i="4" s="1"/>
  <c r="N58" i="4"/>
  <c r="L58" i="4"/>
  <c r="M58" i="4" s="1"/>
  <c r="I58" i="4"/>
  <c r="J58" i="4" s="1"/>
  <c r="N57" i="4"/>
  <c r="L57" i="4"/>
  <c r="M57" i="4" s="1"/>
  <c r="I57" i="4"/>
  <c r="J57" i="4" s="1"/>
  <c r="N56" i="4"/>
  <c r="L56" i="4"/>
  <c r="M56" i="4" s="1"/>
  <c r="I56" i="4"/>
  <c r="J56" i="4" s="1"/>
  <c r="N55" i="4"/>
  <c r="L55" i="4"/>
  <c r="M55" i="4" s="1"/>
  <c r="I55" i="4"/>
  <c r="J55" i="4" s="1"/>
  <c r="N54" i="4"/>
  <c r="L54" i="4"/>
  <c r="M54" i="4" s="1"/>
  <c r="I54" i="4"/>
  <c r="J54" i="4" s="1"/>
  <c r="N53" i="4"/>
  <c r="L53" i="4"/>
  <c r="M53" i="4" s="1"/>
  <c r="I53" i="4"/>
  <c r="J53" i="4" s="1"/>
  <c r="N52" i="4"/>
  <c r="D5" i="5" s="1"/>
  <c r="L52" i="4"/>
  <c r="M52" i="4" s="1"/>
  <c r="Q52" i="4" s="1"/>
  <c r="I52" i="4"/>
  <c r="J52" i="4" s="1"/>
  <c r="N51" i="4"/>
  <c r="L51" i="4"/>
  <c r="M51" i="4" s="1"/>
  <c r="I51" i="4"/>
  <c r="J51" i="4" s="1"/>
  <c r="N50" i="4"/>
  <c r="L50" i="4"/>
  <c r="M50" i="4" s="1"/>
  <c r="I50" i="4"/>
  <c r="J50" i="4" s="1"/>
  <c r="Q50" i="4" s="1"/>
  <c r="N49" i="4"/>
  <c r="L49" i="4"/>
  <c r="M49" i="4" s="1"/>
  <c r="I49" i="4"/>
  <c r="J49" i="4" s="1"/>
  <c r="N48" i="4"/>
  <c r="L48" i="4"/>
  <c r="M48" i="4" s="1"/>
  <c r="I48" i="4"/>
  <c r="J48" i="4" s="1"/>
  <c r="N47" i="4"/>
  <c r="L47" i="4"/>
  <c r="M47" i="4" s="1"/>
  <c r="I47" i="4"/>
  <c r="J47" i="4" s="1"/>
  <c r="N46" i="4"/>
  <c r="L46" i="4"/>
  <c r="M46" i="4" s="1"/>
  <c r="I46" i="4"/>
  <c r="J46" i="4" s="1"/>
  <c r="N45" i="4"/>
  <c r="L45" i="4"/>
  <c r="M45" i="4" s="1"/>
  <c r="I45" i="4"/>
  <c r="J45" i="4" s="1"/>
  <c r="N44" i="4"/>
  <c r="L44" i="4"/>
  <c r="M44" i="4" s="1"/>
  <c r="I44" i="4"/>
  <c r="J44" i="4" s="1"/>
  <c r="N43" i="4"/>
  <c r="L43" i="4"/>
  <c r="M43" i="4" s="1"/>
  <c r="I43" i="4"/>
  <c r="J43" i="4" s="1"/>
  <c r="N42" i="4"/>
  <c r="L42" i="4"/>
  <c r="M42" i="4" s="1"/>
  <c r="I42" i="4"/>
  <c r="J42" i="4" s="1"/>
  <c r="N41" i="4"/>
  <c r="L41" i="4"/>
  <c r="M41" i="4" s="1"/>
  <c r="I41" i="4"/>
  <c r="J41" i="4" s="1"/>
  <c r="N40" i="4"/>
  <c r="L40" i="4"/>
  <c r="M40" i="4" s="1"/>
  <c r="I40" i="4"/>
  <c r="J40" i="4" s="1"/>
  <c r="N39" i="4"/>
  <c r="D9" i="5" s="1"/>
  <c r="L39" i="4"/>
  <c r="M39" i="4" s="1"/>
  <c r="I39" i="4"/>
  <c r="J39" i="4" s="1"/>
  <c r="N38" i="4"/>
  <c r="L38" i="4"/>
  <c r="M38" i="4" s="1"/>
  <c r="I38" i="4"/>
  <c r="J38" i="4" s="1"/>
  <c r="N37" i="4"/>
  <c r="L37" i="4"/>
  <c r="M37" i="4" s="1"/>
  <c r="I37" i="4"/>
  <c r="J37" i="4" s="1"/>
  <c r="N36" i="4"/>
  <c r="L36" i="4"/>
  <c r="M36" i="4" s="1"/>
  <c r="I36" i="4"/>
  <c r="J36" i="4" s="1"/>
  <c r="N35" i="4"/>
  <c r="L35" i="4"/>
  <c r="M35" i="4" s="1"/>
  <c r="I35" i="4"/>
  <c r="J35" i="4" s="1"/>
  <c r="Q35" i="4" s="1"/>
  <c r="N34" i="4"/>
  <c r="L34" i="4"/>
  <c r="M34" i="4" s="1"/>
  <c r="I34" i="4"/>
  <c r="J34" i="4" s="1"/>
  <c r="N33" i="4"/>
  <c r="L33" i="4"/>
  <c r="M33" i="4" s="1"/>
  <c r="I33" i="4"/>
  <c r="J33" i="4" s="1"/>
  <c r="N32" i="4"/>
  <c r="L32" i="4"/>
  <c r="M32" i="4" s="1"/>
  <c r="I32" i="4"/>
  <c r="J32" i="4" s="1"/>
  <c r="N31" i="4"/>
  <c r="L31" i="4"/>
  <c r="M31" i="4" s="1"/>
  <c r="I31" i="4"/>
  <c r="J31" i="4" s="1"/>
  <c r="N30" i="4"/>
  <c r="L30" i="4"/>
  <c r="M30" i="4" s="1"/>
  <c r="I30" i="4"/>
  <c r="J30" i="4" s="1"/>
  <c r="N29" i="4"/>
  <c r="L29" i="4"/>
  <c r="M29" i="4" s="1"/>
  <c r="I29" i="4"/>
  <c r="J29" i="4" s="1"/>
  <c r="N28" i="4"/>
  <c r="L28" i="4"/>
  <c r="M28" i="4" s="1"/>
  <c r="I28" i="4"/>
  <c r="J28" i="4" s="1"/>
  <c r="N27" i="4"/>
  <c r="L27" i="4"/>
  <c r="M27" i="4" s="1"/>
  <c r="Q27" i="4" s="1"/>
  <c r="I27" i="4"/>
  <c r="J27" i="4" s="1"/>
  <c r="N26" i="4"/>
  <c r="L26" i="4"/>
  <c r="M26" i="4" s="1"/>
  <c r="I10" i="6" s="1"/>
  <c r="I26" i="4"/>
  <c r="J26" i="4" s="1"/>
  <c r="F10" i="6" s="1"/>
  <c r="N25" i="4"/>
  <c r="L25" i="4"/>
  <c r="M25" i="4" s="1"/>
  <c r="I25" i="4"/>
  <c r="J25" i="4" s="1"/>
  <c r="Q25" i="4" s="1"/>
  <c r="N24" i="4"/>
  <c r="L24" i="4"/>
  <c r="M24" i="4" s="1"/>
  <c r="I24" i="4"/>
  <c r="J24" i="4" s="1"/>
  <c r="N23" i="4"/>
  <c r="L23" i="4"/>
  <c r="M23" i="4" s="1"/>
  <c r="I23" i="4"/>
  <c r="J23" i="4" s="1"/>
  <c r="N22" i="4"/>
  <c r="L22" i="4"/>
  <c r="M22" i="4" s="1"/>
  <c r="I22" i="4"/>
  <c r="J22" i="4" s="1"/>
  <c r="N21" i="4"/>
  <c r="L21" i="4"/>
  <c r="M21" i="4" s="1"/>
  <c r="I21" i="4"/>
  <c r="J21" i="4" s="1"/>
  <c r="N20" i="4"/>
  <c r="L20" i="4"/>
  <c r="M20" i="4" s="1"/>
  <c r="I20" i="4"/>
  <c r="J20" i="4" s="1"/>
  <c r="N19" i="4"/>
  <c r="L19" i="4"/>
  <c r="M19" i="4" s="1"/>
  <c r="I19" i="4"/>
  <c r="J19" i="4" s="1"/>
  <c r="N18" i="4"/>
  <c r="D7" i="5" s="1"/>
  <c r="L18" i="4"/>
  <c r="M18" i="4" s="1"/>
  <c r="I18" i="4"/>
  <c r="J18" i="4" s="1"/>
  <c r="N17" i="4"/>
  <c r="L17" i="4"/>
  <c r="M17" i="4" s="1"/>
  <c r="I17" i="4"/>
  <c r="J17" i="4" s="1"/>
  <c r="N16" i="4"/>
  <c r="L16" i="4"/>
  <c r="M16" i="4" s="1"/>
  <c r="I16" i="4"/>
  <c r="J16" i="4" s="1"/>
  <c r="N15" i="4"/>
  <c r="L15" i="4"/>
  <c r="M15" i="4" s="1"/>
  <c r="I15" i="4"/>
  <c r="J15" i="4" s="1"/>
  <c r="N14" i="4"/>
  <c r="L14" i="4"/>
  <c r="M14" i="4" s="1"/>
  <c r="Q14" i="4" s="1"/>
  <c r="I14" i="4"/>
  <c r="J14" i="4" s="1"/>
  <c r="N13" i="4"/>
  <c r="L13" i="4"/>
  <c r="M13" i="4" s="1"/>
  <c r="I13" i="4"/>
  <c r="J13" i="4" s="1"/>
  <c r="N12" i="4"/>
  <c r="L12" i="4"/>
  <c r="M12" i="4" s="1"/>
  <c r="I12" i="4"/>
  <c r="J12" i="4" s="1"/>
  <c r="N11" i="4"/>
  <c r="L11" i="4"/>
  <c r="M11" i="4" s="1"/>
  <c r="I11" i="4"/>
  <c r="J11" i="4" s="1"/>
  <c r="N10" i="4"/>
  <c r="L10" i="4"/>
  <c r="M10" i="4" s="1"/>
  <c r="I10" i="4"/>
  <c r="J10" i="4" s="1"/>
  <c r="Q10" i="4" s="1"/>
  <c r="N9" i="4"/>
  <c r="L9" i="4"/>
  <c r="M9" i="4" s="1"/>
  <c r="I9" i="4"/>
  <c r="J9" i="4" s="1"/>
  <c r="N8" i="4"/>
  <c r="L8" i="4"/>
  <c r="M8" i="4" s="1"/>
  <c r="I8" i="4"/>
  <c r="J8" i="4" s="1"/>
  <c r="N7" i="4"/>
  <c r="L7" i="4"/>
  <c r="M7" i="4" s="1"/>
  <c r="I7" i="4"/>
  <c r="J7" i="4" s="1"/>
  <c r="N6" i="4"/>
  <c r="L6" i="4"/>
  <c r="M6" i="4" s="1"/>
  <c r="I6" i="4"/>
  <c r="J6" i="4" s="1"/>
  <c r="N5" i="4"/>
  <c r="L5" i="4"/>
  <c r="M5" i="4" s="1"/>
  <c r="I5" i="4"/>
  <c r="J5" i="4" s="1"/>
  <c r="F7" i="6" s="1"/>
  <c r="B18" i="1"/>
  <c r="A18" i="1"/>
  <c r="A17" i="1"/>
  <c r="A16" i="1"/>
  <c r="B15" i="1"/>
  <c r="A15" i="1"/>
  <c r="B14" i="1"/>
  <c r="A14" i="1"/>
  <c r="A13" i="1"/>
  <c r="B12" i="1"/>
  <c r="A12" i="1"/>
  <c r="A11" i="1"/>
  <c r="G5" i="1"/>
  <c r="I5" i="7" l="1"/>
  <c r="K5" i="5"/>
  <c r="K8" i="5"/>
  <c r="Q62" i="4"/>
  <c r="Q74" i="4"/>
  <c r="Q86" i="4"/>
  <c r="Q11" i="4"/>
  <c r="Q17" i="4"/>
  <c r="Q23" i="4"/>
  <c r="Q47" i="4"/>
  <c r="Q68" i="4"/>
  <c r="Q80" i="4"/>
  <c r="Q5" i="4"/>
  <c r="Q8" i="4"/>
  <c r="F6" i="5"/>
  <c r="J6" i="5" s="1"/>
  <c r="Q20" i="4"/>
  <c r="E8" i="5"/>
  <c r="H8" i="5" s="1"/>
  <c r="Q32" i="4"/>
  <c r="Q44" i="4"/>
  <c r="Q56" i="4"/>
  <c r="Q75" i="4"/>
  <c r="K9" i="5"/>
  <c r="K7" i="7"/>
  <c r="L7" i="7" s="1"/>
  <c r="N9" i="5"/>
  <c r="E15" i="1" s="1"/>
  <c r="K11" i="5"/>
  <c r="L8" i="7"/>
  <c r="F7" i="5"/>
  <c r="Q12" i="4"/>
  <c r="F5" i="5"/>
  <c r="J5" i="5" s="1"/>
  <c r="Q42" i="4"/>
  <c r="Q72" i="4"/>
  <c r="E10" i="5"/>
  <c r="C16" i="1" s="1"/>
  <c r="Q30" i="4"/>
  <c r="Q57" i="4"/>
  <c r="Q69" i="4"/>
  <c r="Q81" i="4"/>
  <c r="N5" i="5"/>
  <c r="E11" i="1" s="1"/>
  <c r="K7" i="5"/>
  <c r="K6" i="7"/>
  <c r="L6" i="7" s="1"/>
  <c r="M6" i="7" s="1"/>
  <c r="I11" i="7"/>
  <c r="M11" i="7" s="1"/>
  <c r="Q37" i="4"/>
  <c r="Q67" i="4"/>
  <c r="Q22" i="4"/>
  <c r="Q28" i="4"/>
  <c r="Q34" i="4"/>
  <c r="Q40" i="4"/>
  <c r="Q43" i="4"/>
  <c r="Q46" i="4"/>
  <c r="Q55" i="4"/>
  <c r="Q58" i="4"/>
  <c r="Q70" i="4"/>
  <c r="Q82" i="4"/>
  <c r="F12" i="5"/>
  <c r="Q19" i="4"/>
  <c r="Q31" i="4"/>
  <c r="N7" i="5"/>
  <c r="E13" i="1" s="1"/>
  <c r="N10" i="5"/>
  <c r="E16" i="1" s="1"/>
  <c r="L5" i="7"/>
  <c r="M5" i="7" s="1"/>
  <c r="Q24" i="4"/>
  <c r="Q36" i="4"/>
  <c r="Q48" i="4"/>
  <c r="Q51" i="4"/>
  <c r="Q54" i="4"/>
  <c r="Q66" i="4"/>
  <c r="Q78" i="4"/>
  <c r="Q84" i="4"/>
  <c r="F5" i="6"/>
  <c r="Q9" i="4"/>
  <c r="I8" i="6"/>
  <c r="H8" i="6"/>
  <c r="Q15" i="4"/>
  <c r="Q18" i="4"/>
  <c r="I11" i="6"/>
  <c r="H11" i="6"/>
  <c r="J11" i="6" s="1"/>
  <c r="K11" i="6" s="1"/>
  <c r="Q21" i="4"/>
  <c r="Q33" i="4"/>
  <c r="Q39" i="4"/>
  <c r="Q45" i="4"/>
  <c r="F8" i="6"/>
  <c r="F8" i="5"/>
  <c r="J8" i="5" s="1"/>
  <c r="F6" i="6"/>
  <c r="Q49" i="4"/>
  <c r="Q61" i="4"/>
  <c r="Q73" i="4"/>
  <c r="Q76" i="4"/>
  <c r="Q79" i="4"/>
  <c r="F11" i="6"/>
  <c r="Q6" i="4"/>
  <c r="I5" i="6"/>
  <c r="H5" i="6"/>
  <c r="F12" i="6"/>
  <c r="Q16" i="4"/>
  <c r="I6" i="6"/>
  <c r="H6" i="6"/>
  <c r="Q64" i="4"/>
  <c r="Q7" i="4"/>
  <c r="I12" i="6"/>
  <c r="H12" i="6"/>
  <c r="J12" i="6" s="1"/>
  <c r="K12" i="6" s="1"/>
  <c r="F9" i="6"/>
  <c r="C14" i="1"/>
  <c r="Q29" i="4"/>
  <c r="F10" i="5"/>
  <c r="J10" i="5" s="1"/>
  <c r="Q41" i="4"/>
  <c r="Q53" i="4"/>
  <c r="Q59" i="4"/>
  <c r="Q65" i="4"/>
  <c r="Q71" i="4"/>
  <c r="Q83" i="4"/>
  <c r="H7" i="6"/>
  <c r="H9" i="6"/>
  <c r="H10" i="6"/>
  <c r="Q26" i="4"/>
  <c r="I7" i="6"/>
  <c r="I9" i="6"/>
  <c r="B13" i="1"/>
  <c r="E11" i="5"/>
  <c r="C17" i="1" s="1"/>
  <c r="B17" i="1"/>
  <c r="E9" i="5"/>
  <c r="E5" i="5"/>
  <c r="F11" i="5"/>
  <c r="J11" i="5" s="1"/>
  <c r="J12" i="5"/>
  <c r="Q38" i="4"/>
  <c r="Q88" i="4"/>
  <c r="E12" i="5"/>
  <c r="C18" i="1" s="1"/>
  <c r="L11" i="7"/>
  <c r="D5" i="8"/>
  <c r="C5" i="8"/>
  <c r="D5" i="1" s="1"/>
  <c r="B5" i="8"/>
  <c r="D4" i="8"/>
  <c r="C4" i="8"/>
  <c r="E7" i="5"/>
  <c r="I7" i="5" s="1"/>
  <c r="B4" i="8"/>
  <c r="J7" i="5"/>
  <c r="E6" i="5"/>
  <c r="C12" i="1" s="1"/>
  <c r="F9" i="5"/>
  <c r="J9" i="5" s="1"/>
  <c r="B16" i="1"/>
  <c r="I10" i="5"/>
  <c r="N11" i="5"/>
  <c r="E17" i="1" s="1"/>
  <c r="Q13" i="4"/>
  <c r="Q63" i="4"/>
  <c r="K12" i="7"/>
  <c r="L12" i="7" s="1"/>
  <c r="I12" i="7"/>
  <c r="M12" i="7" s="1"/>
  <c r="I8" i="7"/>
  <c r="K10" i="7"/>
  <c r="L10" i="7" s="1"/>
  <c r="M10" i="7" s="1"/>
  <c r="K9" i="7"/>
  <c r="L9" i="7" s="1"/>
  <c r="M8" i="7" l="1"/>
  <c r="H10" i="5"/>
  <c r="I11" i="5"/>
  <c r="B5" i="9"/>
  <c r="D5" i="9" s="1"/>
  <c r="E5" i="9" s="1"/>
  <c r="I6" i="5"/>
  <c r="D12" i="1" s="1"/>
  <c r="I8" i="5"/>
  <c r="O7" i="5"/>
  <c r="F13" i="1" s="1"/>
  <c r="D13" i="1"/>
  <c r="O6" i="5"/>
  <c r="F12" i="1" s="1"/>
  <c r="D16" i="1"/>
  <c r="O10" i="5"/>
  <c r="F16" i="1" s="1"/>
  <c r="I5" i="5"/>
  <c r="C11" i="1"/>
  <c r="O11" i="5"/>
  <c r="F17" i="1" s="1"/>
  <c r="D17" i="1"/>
  <c r="B12" i="8"/>
  <c r="B11" i="8"/>
  <c r="B13" i="8" s="1"/>
  <c r="D12" i="8"/>
  <c r="D11" i="8"/>
  <c r="M9" i="7"/>
  <c r="H11" i="5"/>
  <c r="C15" i="1"/>
  <c r="I9" i="5"/>
  <c r="H6" i="5"/>
  <c r="H9" i="5"/>
  <c r="H5" i="5"/>
  <c r="H7" i="5"/>
  <c r="C13" i="1"/>
  <c r="O8" i="5"/>
  <c r="F14" i="1" s="1"/>
  <c r="D14" i="1"/>
  <c r="C12" i="8"/>
  <c r="C11" i="8"/>
  <c r="A5" i="1"/>
  <c r="I12" i="5"/>
  <c r="H12" i="5"/>
  <c r="D13" i="8" l="1"/>
  <c r="C13" i="8"/>
  <c r="C15" i="8"/>
  <c r="C14" i="8"/>
  <c r="J12" i="1" s="1"/>
  <c r="J11" i="1"/>
  <c r="D15" i="8"/>
  <c r="D14" i="8"/>
  <c r="K12" i="1" s="1"/>
  <c r="K11" i="1"/>
  <c r="D18" i="1"/>
  <c r="O12" i="5"/>
  <c r="F18" i="1" s="1"/>
  <c r="O9" i="5"/>
  <c r="F15" i="1" s="1"/>
  <c r="D15" i="1"/>
  <c r="O5" i="5"/>
  <c r="F11" i="1" s="1"/>
  <c r="D11" i="1"/>
  <c r="B15" i="8"/>
  <c r="I11" i="1"/>
  <c r="B14" i="8"/>
  <c r="I12" i="1" s="1"/>
  <c r="D16" i="8" l="1"/>
  <c r="K14" i="1" s="1"/>
  <c r="K15" i="1" s="1"/>
  <c r="K13" i="1"/>
  <c r="B16" i="8"/>
  <c r="I14" i="1" s="1"/>
  <c r="I15" i="1" s="1"/>
  <c r="I13" i="1"/>
  <c r="B6" i="9"/>
  <c r="D6" i="9" s="1"/>
  <c r="E6" i="9" s="1"/>
  <c r="C16" i="8"/>
  <c r="J14" i="1" s="1"/>
  <c r="J15" i="1" s="1"/>
  <c r="B8" i="9"/>
  <c r="D8" i="9" s="1"/>
  <c r="E8" i="9" s="1"/>
  <c r="B7" i="9"/>
  <c r="D7" i="9" s="1"/>
  <c r="E7" i="9" s="1"/>
  <c r="B4" i="9"/>
  <c r="J13" i="1"/>
  <c r="D4" i="9" l="1"/>
  <c r="E4" i="9" s="1"/>
  <c r="B9" i="9"/>
  <c r="D9" i="9" s="1"/>
  <c r="D11" i="9" l="1"/>
  <c r="B11" i="9"/>
  <c r="E9" i="9"/>
  <c r="E11" i="9" l="1"/>
  <c r="J5" i="1"/>
</calcChain>
</file>

<file path=xl/sharedStrings.xml><?xml version="1.0" encoding="utf-8"?>
<sst xmlns="http://schemas.openxmlformats.org/spreadsheetml/2006/main" count="950" uniqueCount="325">
  <si>
    <t>Ops2EBITDA · Sales Productivity &amp; Pipeline Coverage Model</t>
  </si>
  <si>
    <t>Diagnose pipeline coverage, rep productivity, stage conversion, territory capacity, and bookings-to-EBITDA upside.</t>
  </si>
  <si>
    <t>Current Open Pipeline ($mm)</t>
  </si>
  <si>
    <t>Weighted Pipeline ($mm)</t>
  </si>
  <si>
    <t>Required Coverage (x)</t>
  </si>
  <si>
    <t>Net EBITDA Upside ($mm)</t>
  </si>
  <si>
    <t>Priority Rep / Pipeline View</t>
  </si>
  <si>
    <t>Scenario Summary</t>
  </si>
  <si>
    <t>Rep</t>
  </si>
  <si>
    <t>Quota ($mm)</t>
  </si>
  <si>
    <t>Open Pipeline ($mm)</t>
  </si>
  <si>
    <t>Coverage (x)</t>
  </si>
  <si>
    <t>Win Rate</t>
  </si>
  <si>
    <t>Flag</t>
  </si>
  <si>
    <t>Metric</t>
  </si>
  <si>
    <t>Conservative</t>
  </si>
  <si>
    <t>Base</t>
  </si>
  <si>
    <t>Upside</t>
  </si>
  <si>
    <t>Notes</t>
  </si>
  <si>
    <t>Forecast Bookings ($mm)</t>
  </si>
  <si>
    <t>Modelled from pipeline, win rate, hygiene, velocity</t>
  </si>
  <si>
    <t>Bookings Gap / Surplus ($mm)</t>
  </si>
  <si>
    <t>Positive = above target</t>
  </si>
  <si>
    <t>Incremental Bookings ($mm)</t>
  </si>
  <si>
    <t>Versus baseline conversion</t>
  </si>
  <si>
    <t>Incremental EBITDA ($mm)</t>
  </si>
  <si>
    <t>Uses contribution margin</t>
  </si>
  <si>
    <t>EV Impact ($mm)</t>
  </si>
  <si>
    <t>EBITDA impact × exit multiple</t>
  </si>
  <si>
    <t>How to Use This Model</t>
  </si>
  <si>
    <t>Step</t>
  </si>
  <si>
    <t>Action</t>
  </si>
  <si>
    <t>1</t>
  </si>
  <si>
    <t>Update Inputs sheet for quarter dates, bookings target, required coverage, contribution margin, exit multiple, and scenario assumptions.</t>
  </si>
  <si>
    <t>2</t>
  </si>
  <si>
    <t>Replace sample opportunity-level data in Pipeline_Data with CRM export fields: rep, stage, close date, deal value, days in stage, source, and forecast category.</t>
  </si>
  <si>
    <t>3</t>
  </si>
  <si>
    <t>Review Rep_Productivity to identify coverage gaps, quota gaps, low win rates, and overloaded territories.</t>
  </si>
  <si>
    <t>4</t>
  </si>
  <si>
    <t>Review Stage_Conversion to identify aging bottlenecks and stale opportunities by funnel stage.</t>
  </si>
  <si>
    <t>5</t>
  </si>
  <si>
    <t>Use Territory_Capacity to size productivity upside from admin reduction, territory rebalance, and better opportunity load.</t>
  </si>
  <si>
    <t>6</t>
  </si>
  <si>
    <t>Use Forecast_Scenarios and EBITDA_Impact to translate productivity levers into bookings, EBITDA, and enterprise value impact.</t>
  </si>
  <si>
    <t>7</t>
  </si>
  <si>
    <t>Use Dashboard for an executive view suitable for management discussion or board update prep.</t>
  </si>
  <si>
    <t>Modeling Notes</t>
  </si>
  <si>
    <t>This model uses sample data for demonstration. Replace the sample pipeline with CRM opportunity data.</t>
  </si>
  <si>
    <t>Hardcoded inputs use blue font and yellow fill. Formula outputs use black or linked green where possible.</t>
  </si>
  <si>
    <t>The model intentionally separates raw pipeline, rep productivity, stage conversion, capacity, scenarios, and EBITDA impact.</t>
  </si>
  <si>
    <t>The objective is to identify where seller output is constrained: coverage, conversion, velocity, stale pipeline, admin load, or territory design.</t>
  </si>
  <si>
    <t>Core Assumption</t>
  </si>
  <si>
    <t>Input</t>
  </si>
  <si>
    <t>Stage</t>
  </si>
  <si>
    <t>Probability</t>
  </si>
  <si>
    <t>Target Max Days</t>
  </si>
  <si>
    <t>Quarter Quota ($mm)</t>
  </si>
  <si>
    <t>Region</t>
  </si>
  <si>
    <t>Fiscal Quarter Start</t>
  </si>
  <si>
    <t>Prospecting</t>
  </si>
  <si>
    <t>Alex Morgan</t>
  </si>
  <si>
    <t>East</t>
  </si>
  <si>
    <t>Fiscal Quarter End</t>
  </si>
  <si>
    <t>Qualification</t>
  </si>
  <si>
    <t>Brooke Chen</t>
  </si>
  <si>
    <t>West</t>
  </si>
  <si>
    <t>Quarter Bookings Target ($mm)</t>
  </si>
  <si>
    <t>Discovery</t>
  </si>
  <si>
    <t>Chris Patel</t>
  </si>
  <si>
    <t>Central</t>
  </si>
  <si>
    <t>Required Pipeline Coverage (Unweighted x)</t>
  </si>
  <si>
    <t>Proposal</t>
  </si>
  <si>
    <t>Dana Lewis</t>
  </si>
  <si>
    <t>Contribution Margin %</t>
  </si>
  <si>
    <t>Negotiation</t>
  </si>
  <si>
    <t>Evan Ross</t>
  </si>
  <si>
    <t>Exit EBITDA Multiple</t>
  </si>
  <si>
    <t>Verbal / Commit</t>
  </si>
  <si>
    <t>Frances Kim</t>
  </si>
  <si>
    <t>Avg Loaded Rep Cost ($000)</t>
  </si>
  <si>
    <t>Closed Won</t>
  </si>
  <si>
    <t>Gabe Wright</t>
  </si>
  <si>
    <t>National</t>
  </si>
  <si>
    <t>Baseline Win Rate %</t>
  </si>
  <si>
    <t>Closed Lost</t>
  </si>
  <si>
    <t>Harper Stone</t>
  </si>
  <si>
    <t>Target Win Rate %</t>
  </si>
  <si>
    <t>Scenario Assumption</t>
  </si>
  <si>
    <t>Win Rate Improvement (bps)</t>
  </si>
  <si>
    <t>Admin Time Reduction %</t>
  </si>
  <si>
    <t>Stage Velocity Improvement %</t>
  </si>
  <si>
    <t>Pipeline Hygiene Removal %</t>
  </si>
  <si>
    <t>Incremental Quota Capacity %</t>
  </si>
  <si>
    <t>Confidence / Realization %</t>
  </si>
  <si>
    <t>Opp ID</t>
  </si>
  <si>
    <t>Customer</t>
  </si>
  <si>
    <t>Segment</t>
  </si>
  <si>
    <t>Sales Rep</t>
  </si>
  <si>
    <t>Expected Close Date</t>
  </si>
  <si>
    <t>Deal Value ($mm)</t>
  </si>
  <si>
    <t>Days in Stage</t>
  </si>
  <si>
    <t>Stage Max Days</t>
  </si>
  <si>
    <t>Age Flag</t>
  </si>
  <si>
    <t>In Quarter?</t>
  </si>
  <si>
    <t>Forecast Category</t>
  </si>
  <si>
    <t>Source</t>
  </si>
  <si>
    <t>Priority</t>
  </si>
  <si>
    <t>OPP-1001</t>
  </si>
  <si>
    <t>Horizon Tech</t>
  </si>
  <si>
    <t>Enterprise</t>
  </si>
  <si>
    <t>Commit</t>
  </si>
  <si>
    <t>Inbound</t>
  </si>
  <si>
    <t>OPP-1002</t>
  </si>
  <si>
    <t>Atlas Packaging</t>
  </si>
  <si>
    <t>SMB</t>
  </si>
  <si>
    <t>Event</t>
  </si>
  <si>
    <t>OPP-1003</t>
  </si>
  <si>
    <t>Monarch Labs</t>
  </si>
  <si>
    <t>Closed</t>
  </si>
  <si>
    <t>OPP-1004</t>
  </si>
  <si>
    <t>Vector Manufacturing</t>
  </si>
  <si>
    <t>Outbound</t>
  </si>
  <si>
    <t>OPP-1005</t>
  </si>
  <si>
    <t>Ironwood Systems</t>
  </si>
  <si>
    <t>Best Case</t>
  </si>
  <si>
    <t>Partner</t>
  </si>
  <si>
    <t>OPP-1006</t>
  </si>
  <si>
    <t>Granite Clinics</t>
  </si>
  <si>
    <t>OPP-1007</t>
  </si>
  <si>
    <t>Riverbend Logistics</t>
  </si>
  <si>
    <t>Mid-Market</t>
  </si>
  <si>
    <t>OPP-1008</t>
  </si>
  <si>
    <t>OPP-1009</t>
  </si>
  <si>
    <t>Cobalt Industrial</t>
  </si>
  <si>
    <t>OPP-1010</t>
  </si>
  <si>
    <t>Apex Health</t>
  </si>
  <si>
    <t>OPP-1011</t>
  </si>
  <si>
    <t>Crescent Retail</t>
  </si>
  <si>
    <t>OPP-1012</t>
  </si>
  <si>
    <t>Falcon Components</t>
  </si>
  <si>
    <t>Expansion</t>
  </si>
  <si>
    <t>OPP-1013</t>
  </si>
  <si>
    <t>OPP-1014</t>
  </si>
  <si>
    <t>Oakline Materials</t>
  </si>
  <si>
    <t>OPP-1015</t>
  </si>
  <si>
    <t>OPP-1016</t>
  </si>
  <si>
    <t>Keystone SaaS</t>
  </si>
  <si>
    <t>OPP-1017</t>
  </si>
  <si>
    <t>OPP-1018</t>
  </si>
  <si>
    <t>Prairie Distribution</t>
  </si>
  <si>
    <t>OPP-1019</t>
  </si>
  <si>
    <t>Pipeline</t>
  </si>
  <si>
    <t>OPP-1020</t>
  </si>
  <si>
    <t>OPP-1021</t>
  </si>
  <si>
    <t>OPP-1022</t>
  </si>
  <si>
    <t>BluePeak Medical</t>
  </si>
  <si>
    <t>OPP-1023</t>
  </si>
  <si>
    <t>OPP-1024</t>
  </si>
  <si>
    <t>OPP-1025</t>
  </si>
  <si>
    <t>OPP-1026</t>
  </si>
  <si>
    <t>OPP-1027</t>
  </si>
  <si>
    <t>OPP-1028</t>
  </si>
  <si>
    <t>Summit Dental</t>
  </si>
  <si>
    <t>OPP-1029</t>
  </si>
  <si>
    <t>OPP-1030</t>
  </si>
  <si>
    <t>OPP-1031</t>
  </si>
  <si>
    <t>OPP-1032</t>
  </si>
  <si>
    <t>OPP-1033</t>
  </si>
  <si>
    <t>OPP-1034</t>
  </si>
  <si>
    <t>Clearwater Homecare</t>
  </si>
  <si>
    <t>OPP-1035</t>
  </si>
  <si>
    <t>OPP-1036</t>
  </si>
  <si>
    <t>Pioneer Supply</t>
  </si>
  <si>
    <t>OPP-1037</t>
  </si>
  <si>
    <t>OPP-1038</t>
  </si>
  <si>
    <t>OPP-1039</t>
  </si>
  <si>
    <t>OPP-1040</t>
  </si>
  <si>
    <t>OPP-1041</t>
  </si>
  <si>
    <t>OPP-1042</t>
  </si>
  <si>
    <t>OPP-1043</t>
  </si>
  <si>
    <t>OPP-1044</t>
  </si>
  <si>
    <t>OPP-1045</t>
  </si>
  <si>
    <t>OPP-1046</t>
  </si>
  <si>
    <t>OPP-1047</t>
  </si>
  <si>
    <t>OPP-1048</t>
  </si>
  <si>
    <t>OPP-1049</t>
  </si>
  <si>
    <t>OPP-1050</t>
  </si>
  <si>
    <t>OPP-1051</t>
  </si>
  <si>
    <t>OPP-1052</t>
  </si>
  <si>
    <t>OPP-1053</t>
  </si>
  <si>
    <t>OPP-1054</t>
  </si>
  <si>
    <t>OPP-1055</t>
  </si>
  <si>
    <t>OPP-1056</t>
  </si>
  <si>
    <t>OPP-1057</t>
  </si>
  <si>
    <t>OPP-1058</t>
  </si>
  <si>
    <t>OPP-1059</t>
  </si>
  <si>
    <t>OPP-1060</t>
  </si>
  <si>
    <t>OPP-1061</t>
  </si>
  <si>
    <t>OPP-1062</t>
  </si>
  <si>
    <t>OPP-1063</t>
  </si>
  <si>
    <t>OPP-1064</t>
  </si>
  <si>
    <t>OPP-1065</t>
  </si>
  <si>
    <t>OPP-1066</t>
  </si>
  <si>
    <t>OPP-1067</t>
  </si>
  <si>
    <t>OPP-1068</t>
  </si>
  <si>
    <t>OPP-1069</t>
  </si>
  <si>
    <t>OPP-1070</t>
  </si>
  <si>
    <t>OPP-1071</t>
  </si>
  <si>
    <t>OPP-1072</t>
  </si>
  <si>
    <t>OPP-1073</t>
  </si>
  <si>
    <t>OPP-1074</t>
  </si>
  <si>
    <t>OPP-1075</t>
  </si>
  <si>
    <t>OPP-1076</t>
  </si>
  <si>
    <t>Harbor Services</t>
  </si>
  <si>
    <t>OPP-1077</t>
  </si>
  <si>
    <t>OPP-1078</t>
  </si>
  <si>
    <t>OPP-1079</t>
  </si>
  <si>
    <t>OPP-1080</t>
  </si>
  <si>
    <t>OPP-1081</t>
  </si>
  <si>
    <t>OPP-1082</t>
  </si>
  <si>
    <t>OPP-1083</t>
  </si>
  <si>
    <t>OPP-1084</t>
  </si>
  <si>
    <t>OPP-1085</t>
  </si>
  <si>
    <t>Closed Won ($mm)</t>
  </si>
  <si>
    <t>Opp Count</t>
  </si>
  <si>
    <t>Avg Open Deal ($mm)</t>
  </si>
  <si>
    <t>Unweighted Coverage (x)</t>
  </si>
  <si>
    <t>Weighted Coverage (x)</t>
  </si>
  <si>
    <t>Quota Attainment %</t>
  </si>
  <si>
    <t>Won Deals</t>
  </si>
  <si>
    <t>Lost Deals</t>
  </si>
  <si>
    <t>Win Rate %</t>
  </si>
  <si>
    <t>Productivity Flag</t>
  </si>
  <si>
    <t>Required Coverage</t>
  </si>
  <si>
    <t>Unweighted Pipeline ($mm)</t>
  </si>
  <si>
    <t>Avg Days in Stage</t>
  </si>
  <si>
    <t>Aged Opps</t>
  </si>
  <si>
    <t>Aged Value ($mm)</t>
  </si>
  <si>
    <t>Bottleneck Flag</t>
  </si>
  <si>
    <t>Recommended Action</t>
  </si>
  <si>
    <t>FTE</t>
  </si>
  <si>
    <t>Selling Hours / Week</t>
  </si>
  <si>
    <t>Admin Hours / Week</t>
  </si>
  <si>
    <t>Recovered Hours Potential</t>
  </si>
  <si>
    <t>Current Open Opps</t>
  </si>
  <si>
    <t>Target Opp Capacity</t>
  </si>
  <si>
    <t>Capacity Gap</t>
  </si>
  <si>
    <t>Additional Deals Supported</t>
  </si>
  <si>
    <t>Potential Bookings Uplift ($mm)</t>
  </si>
  <si>
    <t>Productivity Action</t>
  </si>
  <si>
    <t>Forecast Scenarios</t>
  </si>
  <si>
    <t>Current Weighted Pipeline ($mm)</t>
  </si>
  <si>
    <t>Current Quarter Target ($mm)</t>
  </si>
  <si>
    <t>Baseline Win Rate</t>
  </si>
  <si>
    <t>Win Rate Improvement</t>
  </si>
  <si>
    <t>Adjusted Win Rate</t>
  </si>
  <si>
    <t>Pipeline Hygiene Removal</t>
  </si>
  <si>
    <t>Net Qualified Pipeline ($mm)</t>
  </si>
  <si>
    <t>Velocity / Capacity Uplift ($mm)</t>
  </si>
  <si>
    <t>Bookings Gap / (Surplus) ($mm)</t>
  </si>
  <si>
    <t>Incremental Bookings vs. Baseline ($mm)</t>
  </si>
  <si>
    <t>EBITDA Impact &amp; Enterprise Value Bridge</t>
  </si>
  <si>
    <t>Lever</t>
  </si>
  <si>
    <t>Bookings Uplift ($mm)</t>
  </si>
  <si>
    <t>EBITDA Impact ($mm)</t>
  </si>
  <si>
    <t>Admin Time / Capacity Recovery</t>
  </si>
  <si>
    <t>Stage Velocity Improvement</t>
  </si>
  <si>
    <t>Pipeline Hygiene / Forecast Discipline</t>
  </si>
  <si>
    <t>Territory Rebalance</t>
  </si>
  <si>
    <t>Total Incremental Impact</t>
  </si>
  <si>
    <t>Less: Incremental Sales Enablement Cost</t>
  </si>
  <si>
    <t>Net Run-Rate EBITDA Impact</t>
  </si>
  <si>
    <t>Sources, Assumptions, and Methodology Notes</t>
  </si>
  <si>
    <t>Area</t>
  </si>
  <si>
    <t>Source / Method</t>
  </si>
  <si>
    <t>URL / Note</t>
  </si>
  <si>
    <t>Use in Model</t>
  </si>
  <si>
    <t>Update Owner</t>
  </si>
  <si>
    <t>CRM / Pipeline</t>
  </si>
  <si>
    <t>User-provided CRM opportunity export</t>
  </si>
  <si>
    <t>Internal CRM export; replace sample data</t>
  </si>
  <si>
    <t>Pipeline_Data</t>
  </si>
  <si>
    <t>Sales Ops</t>
  </si>
  <si>
    <t>Quota / Rep Roster</t>
  </si>
  <si>
    <t>User-provided sales plan</t>
  </si>
  <si>
    <t>Internal operating plan</t>
  </si>
  <si>
    <t>Inputs / Rep_Productivity</t>
  </si>
  <si>
    <t>Sales Leadership</t>
  </si>
  <si>
    <t>Stage Probabilities</t>
  </si>
  <si>
    <t>Management estimate / historical conversion analysis</t>
  </si>
  <si>
    <t>Replace with historical stage conversion rates where available</t>
  </si>
  <si>
    <t>Inputs / Forecast</t>
  </si>
  <si>
    <t>Revenue Ops</t>
  </si>
  <si>
    <t>Contribution Margin</t>
  </si>
  <si>
    <t>Finance estimate</t>
  </si>
  <si>
    <t>Use actual contribution margin by product/service if available</t>
  </si>
  <si>
    <t>EBITDA_Impact</t>
  </si>
  <si>
    <t>Finance</t>
  </si>
  <si>
    <t>Exit Multiple</t>
  </si>
  <si>
    <t>Management / sponsor underwriting assumption</t>
  </si>
  <si>
    <t>Use actual underwriting case or current market view</t>
  </si>
  <si>
    <t>EV impact sizing</t>
  </si>
  <si>
    <t>Sponsor / CFO</t>
  </si>
  <si>
    <t>Capacity Assumptions</t>
  </si>
  <si>
    <t>Management estimate / time study</t>
  </si>
  <si>
    <t>Replace with time study, CRM activity data, or rep productivity benchmarks</t>
  </si>
  <si>
    <t>Territory_Capacity</t>
  </si>
  <si>
    <t>Model Style</t>
  </si>
  <si>
    <t>Ops2EBITDA brand system</t>
  </si>
  <si>
    <t>Ink #161413, Bone #F4EFE6, Paper #FBF8F2, Ochre #B8862F, Sienna #7A2E1F, Stone #928B7E</t>
  </si>
  <si>
    <t>Visual formatting</t>
  </si>
  <si>
    <t>Ops2EBITDA</t>
  </si>
  <si>
    <t>Caveat</t>
  </si>
  <si>
    <t>Illustrative model</t>
  </si>
  <si>
    <t>Not financial, legal, or investment advice; validate all assumptions with company data</t>
  </si>
  <si>
    <t>All sheets</t>
  </si>
  <si>
    <t>User</t>
  </si>
  <si>
    <t>Pipeline Data</t>
  </si>
  <si>
    <t>Opportunity-level CRM pipeline with stage, probability, aging, and priority scoring</t>
  </si>
  <si>
    <t>Rep Productivity</t>
  </si>
  <si>
    <t>Quota attainment, pipeline coverage, win rates, and productivity flags by rep</t>
  </si>
  <si>
    <t>Stage Conversion</t>
  </si>
  <si>
    <t>Pipeline stage analysis with conversion probabilities, aging metrics, and bottleneck identification</t>
  </si>
  <si>
    <t>Territory Capacity</t>
  </si>
  <si>
    <t>Selling time allocation, opportunity capacity gaps, and potential bookings uplift per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</si>
</sst>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6" formatCode="0.0\x"/>
    <numFmt numFmtId="167" formatCode="0.0%"/>
    <numFmt numFmtId="168" formatCode="\$#,##0"/>
    <numFmt numFmtId="171" formatCode="\$#,##0.00;[Red]\(\$#,##0.00\);\-"/>
    <numFmt numFmtId="173" formatCode="&quot;$&quot;#,##0.0;\(&quot;$&quot;#,##0.0\);\-"/>
    <numFmt numFmtId="174" formatCode="0.0&quot;x&quot;"/>
    <numFmt numFmtId="175" formatCode="0.0%;\(0.0%\);\-"/>
    <numFmt numFmtId="176" formatCode="mm/dd/yy"/>
    <numFmt numFmtId="177" formatCode="&quot;$&quot;#,##0.0"/>
    <numFmt numFmtId="178" formatCode="#,##0.0"/>
    <numFmt numFmtId="179" formatCode="&quot;$&quot;#,##0.000;\(&quot;$&quot;#,##0.000\);\-"/>
  </numFmts>
  <fonts count="28">
    <font>
      <sz val="11"/>
      <name val="Carlito"/>
    </font>
    <font>
      <sz val="11"/>
      <color rgb="FF161413"/>
      <name val="Geist"/>
    </font>
    <font>
      <b/>
      <sz val="11"/>
      <color rgb="FFFFFFFF"/>
      <name val="Carlito"/>
    </font>
    <font>
      <b/>
      <sz val="15"/>
      <color rgb="FFFFFFFF"/>
      <name val="Geist"/>
    </font>
    <font>
      <b/>
      <sz val="11"/>
      <name val="Carlito"/>
    </font>
    <font>
      <b/>
      <sz val="20"/>
      <color rgb="FF161413"/>
      <name val="Calibri"/>
      <family val="2"/>
    </font>
    <font>
      <sz val="10"/>
      <color rgb="FF928B7E"/>
      <name val="Calibri"/>
      <family val="2"/>
    </font>
    <font>
      <b/>
      <sz val="9"/>
      <color rgb="FF928B7E"/>
      <name val="Calibri"/>
      <family val="2"/>
    </font>
    <font>
      <b/>
      <sz val="22"/>
      <color rgb="FF161413"/>
      <name val="Calibri"/>
      <family val="2"/>
    </font>
    <font>
      <b/>
      <sz val="11"/>
      <color rgb="FFF4EFE6"/>
      <name val="Calibri"/>
      <family val="2"/>
    </font>
    <font>
      <b/>
      <sz val="9"/>
      <color rgb="FFF4EFE6"/>
      <name val="Calibri"/>
      <family val="2"/>
    </font>
    <font>
      <b/>
      <i/>
      <sz val="9"/>
      <color rgb="FFF4EFE6"/>
      <name val="Calibri"/>
      <family val="2"/>
    </font>
    <font>
      <sz val="10"/>
      <color rgb="FF161413"/>
      <name val="Calibri"/>
      <family val="2"/>
    </font>
    <font>
      <i/>
      <sz val="10"/>
      <color rgb="FF161413"/>
      <name val="Calibri"/>
      <family val="2"/>
    </font>
    <font>
      <sz val="10"/>
      <color rgb="FF7A2E1F"/>
      <name val="Calibri"/>
      <family val="2"/>
    </font>
    <font>
      <b/>
      <sz val="10"/>
      <color rgb="FF7A2E1F"/>
      <name val="Calibri"/>
      <family val="2"/>
    </font>
    <font>
      <sz val="10"/>
      <color rgb="FFB8862F"/>
      <name val="Calibri"/>
      <family val="2"/>
    </font>
    <font>
      <sz val="10"/>
      <color rgb="FF0000FF"/>
      <name val="Calibri"/>
      <family val="2"/>
    </font>
    <font>
      <i/>
      <sz val="10"/>
      <color rgb="FF0000FF"/>
      <name val="Calibri"/>
      <family val="2"/>
    </font>
    <font>
      <sz val="9"/>
      <color rgb="FF161413"/>
      <name val="Calibri"/>
      <family val="2"/>
    </font>
    <font>
      <i/>
      <sz val="9"/>
      <color rgb="FF161413"/>
      <name val="Calibri"/>
      <family val="2"/>
    </font>
    <font>
      <b/>
      <sz val="9"/>
      <color rgb="FF7A2E1F"/>
      <name val="Calibri"/>
      <family val="2"/>
    </font>
    <font>
      <sz val="9"/>
      <color rgb="FFB8862F"/>
      <name val="Calibri"/>
      <family val="2"/>
    </font>
    <font>
      <b/>
      <sz val="10"/>
      <color rgb="FFB8862F"/>
      <name val="Calibri"/>
      <family val="2"/>
    </font>
    <font>
      <i/>
      <sz val="10"/>
      <color rgb="FFB8862F"/>
      <name val="Calibri"/>
      <family val="2"/>
    </font>
    <font>
      <b/>
      <sz val="10"/>
      <color rgb="FF161413"/>
      <name val="Calibri"/>
      <family val="2"/>
    </font>
    <font>
      <sz val="10"/>
      <color rgb="FF008000"/>
      <name val="Calibri"/>
      <family val="2"/>
    </font>
    <font>
      <i/>
      <sz val="10"/>
      <color rgb="FF008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61413"/>
      </patternFill>
    </fill>
    <fill>
      <patternFill patternType="solid">
        <fgColor rgb="FFB8862F"/>
      </patternFill>
    </fill>
    <fill>
      <patternFill patternType="solid">
        <fgColor rgb="FFFBF8F2"/>
      </patternFill>
    </fill>
    <fill>
      <patternFill patternType="solid">
        <fgColor rgb="FFDEB870"/>
      </patternFill>
    </fill>
    <fill>
      <patternFill patternType="solid">
        <fgColor rgb="FFF4EFE6"/>
        <bgColor indexed="64"/>
      </patternFill>
    </fill>
    <fill>
      <patternFill patternType="solid">
        <fgColor rgb="FFFBF8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B8862F"/>
        <bgColor indexed="64"/>
      </patternFill>
    </fill>
    <fill>
      <patternFill patternType="solid">
        <fgColor rgb="FFFFFDE6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B8862F"/>
      </bottom>
      <diagonal/>
    </border>
    <border>
      <left/>
      <right/>
      <top/>
      <bottom style="thin">
        <color rgb="FF928B7E"/>
      </bottom>
      <diagonal/>
    </border>
    <border>
      <left/>
      <right/>
      <top style="medium">
        <color rgb="FFB8862F"/>
      </top>
      <bottom/>
      <diagonal/>
    </border>
    <border>
      <left/>
      <right/>
      <top style="thin">
        <color rgb="FF928B7E"/>
      </top>
      <bottom/>
      <diagonal/>
    </border>
    <border>
      <left/>
      <right/>
      <top/>
      <bottom style="double">
        <color rgb="FF161413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167" fontId="0" fillId="0" borderId="0" xfId="0" applyNumberFormat="1" applyAlignment="1">
      <alignment vertical="center" wrapText="1"/>
    </xf>
    <xf numFmtId="171" fontId="0" fillId="0" borderId="0" xfId="0" applyNumberFormat="1" applyAlignment="1">
      <alignment vertical="center" wrapText="1"/>
    </xf>
    <xf numFmtId="0" fontId="4" fillId="4" borderId="0" xfId="0" applyFont="1" applyFill="1" applyAlignment="1">
      <alignment vertical="center" wrapText="1"/>
    </xf>
    <xf numFmtId="171" fontId="4" fillId="4" borderId="0" xfId="0" applyNumberFormat="1" applyFont="1" applyFill="1" applyAlignment="1">
      <alignment vertical="center" wrapText="1"/>
    </xf>
    <xf numFmtId="167" fontId="4" fillId="4" borderId="0" xfId="0" applyNumberFormat="1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71" fontId="4" fillId="5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173" fontId="8" fillId="7" borderId="0" xfId="0" applyNumberFormat="1" applyFont="1" applyFill="1" applyAlignment="1">
      <alignment horizontal="center" vertical="center" wrapText="1"/>
    </xf>
    <xf numFmtId="174" fontId="8" fillId="7" borderId="0" xfId="0" applyNumberFormat="1" applyFont="1" applyFill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2" fillId="8" borderId="1" xfId="0" applyFont="1" applyFill="1" applyBorder="1" applyAlignment="1">
      <alignment horizontal="left" vertical="center" wrapText="1"/>
    </xf>
    <xf numFmtId="173" fontId="12" fillId="8" borderId="1" xfId="0" applyNumberFormat="1" applyFont="1" applyFill="1" applyBorder="1" applyAlignment="1">
      <alignment horizontal="right" vertical="center" wrapText="1"/>
    </xf>
    <xf numFmtId="174" fontId="12" fillId="8" borderId="1" xfId="0" applyNumberFormat="1" applyFont="1" applyFill="1" applyBorder="1" applyAlignment="1">
      <alignment horizontal="right" vertical="center" wrapText="1"/>
    </xf>
    <xf numFmtId="175" fontId="13" fillId="8" borderId="1" xfId="0" applyNumberFormat="1" applyFont="1" applyFill="1" applyBorder="1" applyAlignment="1">
      <alignment horizontal="right" vertical="center" wrapText="1"/>
    </xf>
    <xf numFmtId="0" fontId="15" fillId="8" borderId="1" xfId="0" applyFont="1" applyFill="1" applyBorder="1" applyAlignment="1">
      <alignment horizontal="center" vertical="center" wrapText="1"/>
    </xf>
    <xf numFmtId="173" fontId="16" fillId="11" borderId="1" xfId="0" applyNumberFormat="1" applyFont="1" applyFill="1" applyBorder="1" applyAlignment="1">
      <alignment horizontal="right" vertical="center" wrapText="1"/>
    </xf>
    <xf numFmtId="0" fontId="12" fillId="7" borderId="1" xfId="0" applyFont="1" applyFill="1" applyBorder="1" applyAlignment="1">
      <alignment horizontal="left" vertical="center" wrapText="1"/>
    </xf>
    <xf numFmtId="173" fontId="12" fillId="7" borderId="1" xfId="0" applyNumberFormat="1" applyFont="1" applyFill="1" applyBorder="1" applyAlignment="1">
      <alignment horizontal="right" vertical="center" wrapText="1"/>
    </xf>
    <xf numFmtId="174" fontId="12" fillId="7" borderId="1" xfId="0" applyNumberFormat="1" applyFont="1" applyFill="1" applyBorder="1" applyAlignment="1">
      <alignment horizontal="right" vertical="center" wrapText="1"/>
    </xf>
    <xf numFmtId="175" fontId="13" fillId="7" borderId="1" xfId="0" applyNumberFormat="1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center" vertical="center" wrapText="1"/>
    </xf>
    <xf numFmtId="173" fontId="14" fillId="7" borderId="1" xfId="0" applyNumberFormat="1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2" fillId="8" borderId="1" xfId="0" applyFont="1" applyFill="1" applyBorder="1" applyAlignment="1">
      <alignment horizontal="righ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0" fillId="10" borderId="3" xfId="0" applyFont="1" applyFill="1" applyBorder="1" applyAlignment="1">
      <alignment horizontal="right" vertical="center" wrapText="1"/>
    </xf>
    <xf numFmtId="0" fontId="11" fillId="10" borderId="3" xfId="0" applyFont="1" applyFill="1" applyBorder="1" applyAlignment="1">
      <alignment horizontal="right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1" fontId="12" fillId="8" borderId="0" xfId="0" applyNumberFormat="1" applyFont="1" applyFill="1" applyAlignment="1">
      <alignment vertical="center" wrapText="1"/>
    </xf>
    <xf numFmtId="1" fontId="12" fillId="7" borderId="0" xfId="0" applyNumberFormat="1" applyFont="1" applyFill="1" applyAlignment="1">
      <alignment vertical="center" wrapText="1"/>
    </xf>
    <xf numFmtId="166" fontId="17" fillId="12" borderId="0" xfId="0" applyNumberFormat="1" applyFont="1" applyFill="1" applyAlignment="1">
      <alignment vertical="center" wrapText="1"/>
    </xf>
    <xf numFmtId="168" fontId="17" fillId="12" borderId="0" xfId="0" applyNumberFormat="1" applyFont="1" applyFill="1" applyAlignment="1">
      <alignment vertical="center" wrapText="1"/>
    </xf>
    <xf numFmtId="167" fontId="18" fillId="12" borderId="0" xfId="0" applyNumberFormat="1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1" fontId="17" fillId="12" borderId="0" xfId="0" applyNumberFormat="1" applyFont="1" applyFill="1" applyAlignment="1">
      <alignment vertical="center" wrapText="1"/>
    </xf>
    <xf numFmtId="176" fontId="17" fillId="12" borderId="0" xfId="0" applyNumberFormat="1" applyFont="1" applyFill="1" applyAlignment="1">
      <alignment vertical="center" wrapText="1"/>
    </xf>
    <xf numFmtId="175" fontId="18" fillId="12" borderId="0" xfId="0" applyNumberFormat="1" applyFont="1" applyFill="1" applyAlignment="1">
      <alignment vertical="center" wrapText="1"/>
    </xf>
    <xf numFmtId="175" fontId="13" fillId="8" borderId="0" xfId="0" applyNumberFormat="1" applyFont="1" applyFill="1" applyAlignment="1">
      <alignment vertical="center" wrapText="1"/>
    </xf>
    <xf numFmtId="175" fontId="13" fillId="7" borderId="0" xfId="0" applyNumberFormat="1" applyFont="1" applyFill="1" applyAlignment="1">
      <alignment vertical="center" wrapText="1"/>
    </xf>
    <xf numFmtId="177" fontId="17" fillId="12" borderId="0" xfId="0" applyNumberFormat="1" applyFont="1" applyFill="1" applyAlignment="1">
      <alignment vertical="center" wrapText="1"/>
    </xf>
    <xf numFmtId="0" fontId="5" fillId="6" borderId="0" xfId="0" applyFont="1" applyFill="1"/>
    <xf numFmtId="0" fontId="6" fillId="6" borderId="0" xfId="0" applyFont="1" applyFill="1"/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right" vertical="center" wrapText="1"/>
    </xf>
    <xf numFmtId="0" fontId="11" fillId="9" borderId="1" xfId="0" applyFont="1" applyFill="1" applyBorder="1" applyAlignment="1">
      <alignment horizontal="righ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9" fillId="8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176" fontId="19" fillId="8" borderId="1" xfId="0" applyNumberFormat="1" applyFont="1" applyFill="1" applyBorder="1" applyAlignment="1">
      <alignment horizontal="right" vertical="center" wrapText="1"/>
    </xf>
    <xf numFmtId="176" fontId="19" fillId="7" borderId="1" xfId="0" applyNumberFormat="1" applyFont="1" applyFill="1" applyBorder="1" applyAlignment="1">
      <alignment horizontal="right" vertical="center" wrapText="1"/>
    </xf>
    <xf numFmtId="173" fontId="19" fillId="8" borderId="1" xfId="0" applyNumberFormat="1" applyFont="1" applyFill="1" applyBorder="1" applyAlignment="1">
      <alignment horizontal="right" vertical="center" wrapText="1"/>
    </xf>
    <xf numFmtId="173" fontId="19" fillId="7" borderId="1" xfId="0" applyNumberFormat="1" applyFont="1" applyFill="1" applyBorder="1" applyAlignment="1">
      <alignment horizontal="right" vertical="center" wrapText="1"/>
    </xf>
    <xf numFmtId="175" fontId="20" fillId="8" borderId="1" xfId="0" applyNumberFormat="1" applyFont="1" applyFill="1" applyBorder="1" applyAlignment="1">
      <alignment horizontal="right" vertical="center" wrapText="1"/>
    </xf>
    <xf numFmtId="175" fontId="20" fillId="7" borderId="1" xfId="0" applyNumberFormat="1" applyFont="1" applyFill="1" applyBorder="1" applyAlignment="1">
      <alignment horizontal="right" vertical="center" wrapText="1"/>
    </xf>
    <xf numFmtId="3" fontId="19" fillId="8" borderId="1" xfId="0" applyNumberFormat="1" applyFont="1" applyFill="1" applyBorder="1" applyAlignment="1">
      <alignment horizontal="right" vertical="center" wrapText="1"/>
    </xf>
    <xf numFmtId="3" fontId="19" fillId="7" borderId="1" xfId="0" applyNumberFormat="1" applyFont="1" applyFill="1" applyBorder="1" applyAlignment="1">
      <alignment horizontal="right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right" vertical="center" wrapText="1"/>
    </xf>
    <xf numFmtId="0" fontId="11" fillId="9" borderId="4" xfId="0" applyFont="1" applyFill="1" applyBorder="1" applyAlignment="1">
      <alignment horizontal="right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166" fontId="12" fillId="8" borderId="1" xfId="0" applyNumberFormat="1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166" fontId="12" fillId="7" borderId="1" xfId="0" applyNumberFormat="1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3" fontId="12" fillId="8" borderId="1" xfId="0" applyNumberFormat="1" applyFont="1" applyFill="1" applyBorder="1" applyAlignment="1">
      <alignment horizontal="right" vertical="center" wrapText="1"/>
    </xf>
    <xf numFmtId="3" fontId="12" fillId="7" borderId="1" xfId="0" applyNumberFormat="1" applyFont="1" applyFill="1" applyBorder="1" applyAlignment="1">
      <alignment horizontal="right" vertical="center" wrapText="1"/>
    </xf>
    <xf numFmtId="178" fontId="12" fillId="8" borderId="1" xfId="0" applyNumberFormat="1" applyFont="1" applyFill="1" applyBorder="1" applyAlignment="1">
      <alignment horizontal="right" vertical="center" wrapText="1"/>
    </xf>
    <xf numFmtId="178" fontId="12" fillId="7" borderId="1" xfId="0" applyNumberFormat="1" applyFont="1" applyFill="1" applyBorder="1" applyAlignment="1">
      <alignment horizontal="right" vertical="center" wrapText="1"/>
    </xf>
    <xf numFmtId="0" fontId="23" fillId="7" borderId="1" xfId="0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right" vertical="center" wrapText="1"/>
    </xf>
    <xf numFmtId="3" fontId="14" fillId="7" borderId="1" xfId="0" applyNumberFormat="1" applyFont="1" applyFill="1" applyBorder="1" applyAlignment="1">
      <alignment horizontal="right" vertical="center" wrapText="1"/>
    </xf>
    <xf numFmtId="0" fontId="0" fillId="6" borderId="1" xfId="0" applyFill="1" applyBorder="1" applyAlignment="1">
      <alignment vertical="center" wrapText="1"/>
    </xf>
    <xf numFmtId="179" fontId="12" fillId="8" borderId="1" xfId="0" applyNumberFormat="1" applyFont="1" applyFill="1" applyBorder="1" applyAlignment="1">
      <alignment horizontal="right" vertical="center" wrapText="1"/>
    </xf>
    <xf numFmtId="179" fontId="16" fillId="11" borderId="1" xfId="0" applyNumberFormat="1" applyFont="1" applyFill="1" applyBorder="1" applyAlignment="1">
      <alignment horizontal="right" vertical="center" wrapText="1"/>
    </xf>
    <xf numFmtId="179" fontId="12" fillId="7" borderId="1" xfId="0" applyNumberFormat="1" applyFont="1" applyFill="1" applyBorder="1" applyAlignment="1">
      <alignment horizontal="right" vertical="center" wrapText="1"/>
    </xf>
    <xf numFmtId="175" fontId="24" fillId="11" borderId="1" xfId="0" applyNumberFormat="1" applyFont="1" applyFill="1" applyBorder="1" applyAlignment="1">
      <alignment horizontal="right" vertical="center" wrapText="1"/>
    </xf>
    <xf numFmtId="0" fontId="25" fillId="6" borderId="5" xfId="0" applyFont="1" applyFill="1" applyBorder="1" applyAlignment="1">
      <alignment horizontal="left" vertical="center" wrapText="1"/>
    </xf>
    <xf numFmtId="179" fontId="25" fillId="6" borderId="5" xfId="0" applyNumberFormat="1" applyFont="1" applyFill="1" applyBorder="1" applyAlignment="1">
      <alignment horizontal="right" vertical="center" wrapText="1"/>
    </xf>
    <xf numFmtId="179" fontId="23" fillId="6" borderId="5" xfId="0" applyNumberFormat="1" applyFont="1" applyFill="1" applyBorder="1" applyAlignment="1">
      <alignment horizontal="right" vertical="center" wrapText="1"/>
    </xf>
    <xf numFmtId="179" fontId="14" fillId="8" borderId="1" xfId="0" applyNumberFormat="1" applyFont="1" applyFill="1" applyBorder="1" applyAlignment="1">
      <alignment horizontal="right" vertical="center" wrapText="1"/>
    </xf>
    <xf numFmtId="179" fontId="14" fillId="11" borderId="1" xfId="0" applyNumberFormat="1" applyFont="1" applyFill="1" applyBorder="1" applyAlignment="1">
      <alignment horizontal="right" vertical="center" wrapText="1"/>
    </xf>
    <xf numFmtId="0" fontId="25" fillId="6" borderId="6" xfId="0" applyFont="1" applyFill="1" applyBorder="1" applyAlignment="1">
      <alignment horizontal="left" vertical="center" wrapText="1"/>
    </xf>
    <xf numFmtId="179" fontId="25" fillId="6" borderId="6" xfId="0" applyNumberFormat="1" applyFont="1" applyFill="1" applyBorder="1" applyAlignment="1">
      <alignment horizontal="right" vertical="center" wrapText="1"/>
    </xf>
    <xf numFmtId="179" fontId="23" fillId="6" borderId="6" xfId="0" applyNumberFormat="1" applyFont="1" applyFill="1" applyBorder="1" applyAlignment="1">
      <alignment horizontal="right" vertical="center" wrapText="1"/>
    </xf>
    <xf numFmtId="179" fontId="16" fillId="7" borderId="1" xfId="0" applyNumberFormat="1" applyFont="1" applyFill="1" applyBorder="1" applyAlignment="1">
      <alignment horizontal="right" vertical="center" wrapText="1"/>
    </xf>
    <xf numFmtId="179" fontId="26" fillId="8" borderId="1" xfId="0" applyNumberFormat="1" applyFont="1" applyFill="1" applyBorder="1" applyAlignment="1">
      <alignment horizontal="right" vertical="center" wrapText="1"/>
    </xf>
    <xf numFmtId="179" fontId="26" fillId="7" borderId="1" xfId="0" applyNumberFormat="1" applyFont="1" applyFill="1" applyBorder="1" applyAlignment="1">
      <alignment horizontal="right" vertical="center" wrapText="1"/>
    </xf>
    <xf numFmtId="175" fontId="27" fillId="7" borderId="1" xfId="0" applyNumberFormat="1" applyFont="1" applyFill="1" applyBorder="1" applyAlignment="1">
      <alignment horizontal="right" vertical="center" wrapText="1"/>
    </xf>
    <xf numFmtId="0" fontId="12" fillId="8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</cellXfs>
  <cellStyles count="1">
    <cellStyle name="Normal" xfId="0" builtinId="0"/>
  </cellStyles>
  <dxfs count="67"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alignment horizontal="left"/>
    </dxf>
    <dxf>
      <border diagonalUp="0" diagonalDown="0">
        <left/>
        <right/>
        <top/>
        <bottom/>
      </border>
    </dxf>
    <dxf>
      <font>
        <b/>
        <sz val="9"/>
        <color rgb="FFF4EFE6"/>
        <name val="Calibri"/>
      </font>
      <fill>
        <patternFill patternType="solid">
          <fgColor indexed="64"/>
          <bgColor rgb="FF161413"/>
        </patternFill>
      </fill>
    </dxf>
    <dxf>
      <font>
        <color rgb="FF7A2E1F"/>
      </font>
      <fill>
        <patternFill patternType="solid">
          <bgColor rgb="FFF1E4DC"/>
        </patternFill>
      </fill>
    </dxf>
    <dxf>
      <font>
        <color rgb="FF7A2E1F"/>
      </font>
      <fill>
        <patternFill patternType="solid">
          <bgColor rgb="FFF1E4DC"/>
        </patternFill>
      </fill>
    </dxf>
    <dxf>
      <font>
        <b/>
        <color rgb="FF161413"/>
      </font>
      <fill>
        <patternFill patternType="solid">
          <bgColor rgb="FFDEB870"/>
        </patternFill>
      </fill>
    </dxf>
    <dxf>
      <font>
        <color rgb="FF7A2E1F"/>
      </font>
      <fill>
        <patternFill patternType="solid">
          <bgColor rgb="FFF1E4DC"/>
        </patternFill>
      </fill>
    </dxf>
    <dxf>
      <font>
        <i/>
      </font>
      <alignment horizontal="right"/>
    </dxf>
    <dxf>
      <alignment horizontal="left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border diagonalUp="0" diagonalDown="0">
        <left/>
        <right/>
        <top/>
        <bottom/>
      </border>
    </dxf>
    <dxf>
      <font>
        <b/>
        <sz val="9"/>
        <color rgb="FFF4EFE6"/>
        <name val="Calibri"/>
      </font>
      <fill>
        <patternFill patternType="solid">
          <fgColor indexed="64"/>
          <bgColor rgb="FF161413"/>
        </patternFill>
      </fill>
    </dxf>
    <dxf>
      <font>
        <i/>
      </font>
      <alignment horizontal="right"/>
    </dxf>
    <dxf>
      <font>
        <i/>
      </font>
      <alignment horizontal="right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alignment horizontal="left"/>
    </dxf>
    <dxf>
      <font>
        <b/>
        <sz val="9"/>
        <color rgb="FFF4EFE6"/>
        <name val="Calibri"/>
      </font>
      <fill>
        <patternFill patternType="solid">
          <fgColor indexed="64"/>
          <bgColor rgb="FF161413"/>
        </patternFill>
      </fill>
    </dxf>
    <dxf>
      <font>
        <i/>
      </font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 diagonalUp="0" diagonalDown="0">
        <left/>
        <right/>
        <top/>
        <bottom/>
      </border>
    </dxf>
    <dxf>
      <font>
        <b/>
        <sz val="9"/>
        <color rgb="FFF4EFE6"/>
        <name val="Calibri"/>
      </font>
      <fill>
        <patternFill patternType="solid">
          <fgColor indexed="64"/>
          <bgColor rgb="FF1614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Unweighted Pipeline</c:v>
          </c:tx>
          <c:invertIfNegative val="1"/>
          <c:cat>
            <c:strRef>
              <c:f>Stage_Conversion!$A$5:$A$10</c:f>
              <c:strCache>
                <c:ptCount val="6"/>
                <c:pt idx="0">
                  <c:v>Prospecting</c:v>
                </c:pt>
                <c:pt idx="1">
                  <c:v>Qualification</c:v>
                </c:pt>
                <c:pt idx="2">
                  <c:v>Discovery</c:v>
                </c:pt>
                <c:pt idx="3">
                  <c:v>Proposal</c:v>
                </c:pt>
                <c:pt idx="4">
                  <c:v>Negotiation</c:v>
                </c:pt>
                <c:pt idx="5">
                  <c:v>Verbal / Commit</c:v>
                </c:pt>
              </c:strCache>
            </c:strRef>
          </c:cat>
          <c:val>
            <c:numRef>
              <c:f>Stage_Conversion!$E$5:$E$10</c:f>
              <c:numCache>
                <c:formatCode>"$"#,##0.0;\("$"#,##0.0\);\-</c:formatCode>
                <c:ptCount val="6"/>
                <c:pt idx="0">
                  <c:v>6.17</c:v>
                </c:pt>
                <c:pt idx="1">
                  <c:v>7.66</c:v>
                </c:pt>
                <c:pt idx="2">
                  <c:v>6.3599999999999994</c:v>
                </c:pt>
                <c:pt idx="3">
                  <c:v>7.7900000000000009</c:v>
                </c:pt>
                <c:pt idx="4">
                  <c:v>4.4400000000000004</c:v>
                </c:pt>
                <c:pt idx="5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4-814A-B824-485BB933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.0;\(&quot;$&quot;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Coverage</c:v>
          </c:tx>
          <c:invertIfNegative val="1"/>
          <c:cat>
            <c:strRef>
              <c:f>Rep_Productivity!$A$5:$A$12</c:f>
              <c:strCache>
                <c:ptCount val="8"/>
                <c:pt idx="0">
                  <c:v>Alex Morgan</c:v>
                </c:pt>
                <c:pt idx="1">
                  <c:v>Brooke Chen</c:v>
                </c:pt>
                <c:pt idx="2">
                  <c:v>Chris Patel</c:v>
                </c:pt>
                <c:pt idx="3">
                  <c:v>Dana Lewis</c:v>
                </c:pt>
                <c:pt idx="4">
                  <c:v>Evan Ross</c:v>
                </c:pt>
                <c:pt idx="5">
                  <c:v>Frances Kim</c:v>
                </c:pt>
                <c:pt idx="6">
                  <c:v>Gabe Wright</c:v>
                </c:pt>
                <c:pt idx="7">
                  <c:v>Harper Stone</c:v>
                </c:pt>
              </c:strCache>
            </c:strRef>
          </c:cat>
          <c:val>
            <c:numRef>
              <c:f>Rep_Productivity!$I$5:$I$12</c:f>
              <c:numCache>
                <c:formatCode>0.0"x"</c:formatCode>
                <c:ptCount val="8"/>
                <c:pt idx="0">
                  <c:v>1.48</c:v>
                </c:pt>
                <c:pt idx="1">
                  <c:v>1.218181818181818</c:v>
                </c:pt>
                <c:pt idx="2">
                  <c:v>3.333333333333333</c:v>
                </c:pt>
                <c:pt idx="3">
                  <c:v>0.69523809523809521</c:v>
                </c:pt>
                <c:pt idx="4">
                  <c:v>1.3</c:v>
                </c:pt>
                <c:pt idx="5">
                  <c:v>0.95217391304347831</c:v>
                </c:pt>
                <c:pt idx="6">
                  <c:v>2.0578947368421052</c:v>
                </c:pt>
                <c:pt idx="7">
                  <c:v>1.9749999999999999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5-D545-B25F-18A300992F0F}"/>
            </c:ext>
          </c:extLst>
        </c:ser>
        <c:ser>
          <c:idx val="1"/>
          <c:order val="1"/>
          <c:tx>
            <c:v>Required</c:v>
          </c:tx>
          <c:invertIfNegative val="1"/>
          <c:cat>
            <c:strRef>
              <c:f>Rep_Productivity!$A$5:$A$12</c:f>
              <c:strCache>
                <c:ptCount val="8"/>
                <c:pt idx="0">
                  <c:v>Alex Morgan</c:v>
                </c:pt>
                <c:pt idx="1">
                  <c:v>Brooke Chen</c:v>
                </c:pt>
                <c:pt idx="2">
                  <c:v>Chris Patel</c:v>
                </c:pt>
                <c:pt idx="3">
                  <c:v>Dana Lewis</c:v>
                </c:pt>
                <c:pt idx="4">
                  <c:v>Evan Ross</c:v>
                </c:pt>
                <c:pt idx="5">
                  <c:v>Frances Kim</c:v>
                </c:pt>
                <c:pt idx="6">
                  <c:v>Gabe Wright</c:v>
                </c:pt>
                <c:pt idx="7">
                  <c:v>Harper Stone</c:v>
                </c:pt>
              </c:strCache>
            </c:strRef>
          </c:cat>
          <c:val>
            <c:numRef>
              <c:f>Rep_Productivity!$Q$5:$Q$12</c:f>
              <c:numCache>
                <c:formatCode>0.0\x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5-D545-B25F-18A300992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&quot;x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lineTable" displayName="PipelineTable" ref="A4:Q89" headerRowDxfId="66" tableBorderDxfId="65">
  <tableColumns count="17">
    <tableColumn id="1" xr3:uid="{00000000-0010-0000-0000-000001000000}" name="Opp ID" dataDxfId="64"/>
    <tableColumn id="2" xr3:uid="{00000000-0010-0000-0000-000002000000}" name="Customer" dataDxfId="63"/>
    <tableColumn id="3" xr3:uid="{00000000-0010-0000-0000-000003000000}" name="Segment" dataDxfId="62"/>
    <tableColumn id="4" xr3:uid="{00000000-0010-0000-0000-000004000000}" name="Region" dataDxfId="61"/>
    <tableColumn id="5" xr3:uid="{00000000-0010-0000-0000-000005000000}" name="Sales Rep" dataDxfId="60"/>
    <tableColumn id="6" xr3:uid="{00000000-0010-0000-0000-000006000000}" name="Stage" dataDxfId="59"/>
    <tableColumn id="7" xr3:uid="{00000000-0010-0000-0000-000007000000}" name="Expected Close Date" dataDxfId="49"/>
    <tableColumn id="8" xr3:uid="{00000000-0010-0000-0000-000008000000}" name="Deal Value ($mm)" dataDxfId="58"/>
    <tableColumn id="9" xr3:uid="{00000000-0010-0000-0000-000009000000}" name="Probability" dataDxfId="48"/>
    <tableColumn id="10" xr3:uid="{00000000-0010-0000-0000-00000A000000}" name="Weighted Pipeline ($mm)" dataDxfId="57"/>
    <tableColumn id="11" xr3:uid="{00000000-0010-0000-0000-00000B000000}" name="Days in Stage" dataDxfId="56"/>
    <tableColumn id="12" xr3:uid="{00000000-0010-0000-0000-00000C000000}" name="Stage Max Days" dataDxfId="55"/>
    <tableColumn id="13" xr3:uid="{00000000-0010-0000-0000-00000D000000}" name="Age Flag" dataDxfId="54"/>
    <tableColumn id="14" xr3:uid="{00000000-0010-0000-0000-00000E000000}" name="In Quarter?" dataDxfId="53"/>
    <tableColumn id="15" xr3:uid="{00000000-0010-0000-0000-00000F000000}" name="Forecast Category" dataDxfId="52"/>
    <tableColumn id="16" xr3:uid="{00000000-0010-0000-0000-000010000000}" name="Source" dataDxfId="51"/>
    <tableColumn id="17" xr3:uid="{00000000-0010-0000-0000-000011000000}" name="Priority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ProductivityTable" displayName="RepProductivityTable" ref="A4:O12" headerRowDxfId="47">
  <tableColumns count="15">
    <tableColumn id="1" xr3:uid="{00000000-0010-0000-0100-000001000000}" name="Rep" dataDxfId="46"/>
    <tableColumn id="2" xr3:uid="{00000000-0010-0000-0100-000002000000}" name="Region" dataDxfId="45"/>
    <tableColumn id="3" xr3:uid="{00000000-0010-0000-0100-000003000000}" name="Quarter Quota ($mm)" dataDxfId="44"/>
    <tableColumn id="4" xr3:uid="{00000000-0010-0000-0100-000004000000}" name="Closed Won ($mm)" dataDxfId="43"/>
    <tableColumn id="5" xr3:uid="{00000000-0010-0000-0100-000005000000}" name="Open Pipeline ($mm)" dataDxfId="42"/>
    <tableColumn id="6" xr3:uid="{00000000-0010-0000-0100-000006000000}" name="Weighted Pipeline ($mm)" dataDxfId="41"/>
    <tableColumn id="7" xr3:uid="{00000000-0010-0000-0100-000007000000}" name="Opp Count" dataDxfId="40"/>
    <tableColumn id="8" xr3:uid="{00000000-0010-0000-0100-000008000000}" name="Avg Open Deal ($mm)" dataDxfId="39"/>
    <tableColumn id="9" xr3:uid="{00000000-0010-0000-0100-000009000000}" name="Unweighted Coverage (x)" dataDxfId="38"/>
    <tableColumn id="10" xr3:uid="{00000000-0010-0000-0100-00000A000000}" name="Weighted Coverage (x)" dataDxfId="37"/>
    <tableColumn id="11" xr3:uid="{00000000-0010-0000-0100-00000B000000}" name="Quota Attainment %" dataDxfId="33"/>
    <tableColumn id="12" xr3:uid="{00000000-0010-0000-0100-00000C000000}" name="Won Deals" dataDxfId="36"/>
    <tableColumn id="13" xr3:uid="{00000000-0010-0000-0100-00000D000000}" name="Lost Deals" dataDxfId="35"/>
    <tableColumn id="14" xr3:uid="{00000000-0010-0000-0100-00000E000000}" name="Win Rate %" dataDxfId="32"/>
    <tableColumn id="15" xr3:uid="{00000000-0010-0000-0100-00000F000000}" name="Productivity Flag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geConversionTable" displayName="StageConversionTable" ref="A4:K12" headerRowDxfId="31" tableBorderDxfId="30">
  <tableColumns count="11">
    <tableColumn id="1" xr3:uid="{00000000-0010-0000-0200-000001000000}" name="Stage" dataDxfId="29"/>
    <tableColumn id="2" xr3:uid="{00000000-0010-0000-0200-000002000000}" name="Probability" dataDxfId="19"/>
    <tableColumn id="3" xr3:uid="{00000000-0010-0000-0200-000003000000}" name="Target Max Days" dataDxfId="28"/>
    <tableColumn id="4" xr3:uid="{00000000-0010-0000-0200-000004000000}" name="Opp Count" dataDxfId="27"/>
    <tableColumn id="5" xr3:uid="{00000000-0010-0000-0200-000005000000}" name="Unweighted Pipeline ($mm)" dataDxfId="26"/>
    <tableColumn id="6" xr3:uid="{00000000-0010-0000-0200-000006000000}" name="Weighted Pipeline ($mm)" dataDxfId="25"/>
    <tableColumn id="7" xr3:uid="{00000000-0010-0000-0200-000007000000}" name="Avg Days in Stage" dataDxfId="24"/>
    <tableColumn id="8" xr3:uid="{00000000-0010-0000-0200-000008000000}" name="Aged Opps" dataDxfId="23"/>
    <tableColumn id="9" xr3:uid="{00000000-0010-0000-0200-000009000000}" name="Aged Value ($mm)" dataDxfId="22"/>
    <tableColumn id="10" xr3:uid="{00000000-0010-0000-0200-00000A000000}" name="Bottleneck Flag" dataDxfId="21"/>
    <tableColumn id="11" xr3:uid="{00000000-0010-0000-0200-00000B000000}" name="Recommended Action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rritoryCapacityTable" displayName="TerritoryCapacityTable" ref="A4:M12" headerRowDxfId="14" tableBorderDxfId="13">
  <tableColumns count="13">
    <tableColumn id="1" xr3:uid="{00000000-0010-0000-0300-000001000000}" name="Rep" dataDxfId="12"/>
    <tableColumn id="2" xr3:uid="{00000000-0010-0000-0300-000002000000}" name="Region" dataDxfId="11"/>
    <tableColumn id="3" xr3:uid="{00000000-0010-0000-0300-000003000000}" name="FTE" dataDxfId="10"/>
    <tableColumn id="4" xr3:uid="{00000000-0010-0000-0300-000004000000}" name="Selling Hours / Week" dataDxfId="9"/>
    <tableColumn id="5" xr3:uid="{00000000-0010-0000-0300-000005000000}" name="Admin Hours / Week" dataDxfId="8"/>
    <tableColumn id="6" xr3:uid="{00000000-0010-0000-0300-000006000000}" name="Recovered Hours Potential" dataDxfId="7"/>
    <tableColumn id="7" xr3:uid="{00000000-0010-0000-0300-000007000000}" name="Current Open Opps" dataDxfId="6"/>
    <tableColumn id="8" xr3:uid="{00000000-0010-0000-0300-000008000000}" name="Target Opp Capacity" dataDxfId="5"/>
    <tableColumn id="9" xr3:uid="{00000000-0010-0000-0300-000009000000}" name="Capacity Gap" dataDxfId="4"/>
    <tableColumn id="10" xr3:uid="{00000000-0010-0000-0300-00000A000000}" name="Additional Deals Supported" dataDxfId="3"/>
    <tableColumn id="11" xr3:uid="{00000000-0010-0000-0300-00000B000000}" name="Avg Open Deal ($mm)" dataDxfId="2"/>
    <tableColumn id="12" xr3:uid="{00000000-0010-0000-0300-00000C000000}" name="Potential Bookings Uplift ($mm)" dataDxfId="1"/>
    <tableColumn id="13" xr3:uid="{00000000-0010-0000-0300-00000D000000}" name="Productivity A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D21500-185D-404D-9569-6E32009DFA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70253ef-59b4-4751-b78c-163465821fa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862F"/>
  </sheetPr>
  <dimension ref="A1:Z200"/>
  <sheetViews>
    <sheetView showGridLines="0" showRowColHeaders="0" tabSelected="1" zoomScale="75" workbookViewId="0">
      <selection activeCell="F15" sqref="F15"/>
    </sheetView>
  </sheetViews>
  <sheetFormatPr baseColWidth="10" defaultColWidth="8.83203125" defaultRowHeight="14"/>
  <cols>
    <col min="1" max="1" width="21.6640625" customWidth="1"/>
    <col min="2" max="2" width="15" customWidth="1"/>
    <col min="3" max="3" width="20" customWidth="1"/>
    <col min="4" max="4" width="14.1640625" customWidth="1"/>
    <col min="5" max="5" width="12.5" customWidth="1"/>
    <col min="6" max="6" width="16.6640625" customWidth="1"/>
    <col min="7" max="7" width="0.6640625" customWidth="1"/>
    <col min="8" max="8" width="33.33203125" customWidth="1"/>
    <col min="9" max="11" width="16.6640625" customWidth="1"/>
    <col min="12" max="12" width="41.6640625" customWidth="1"/>
  </cols>
  <sheetData>
    <row r="1" spans="1:26" ht="42.7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" customHeight="1" thickBo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5" t="s">
        <v>2</v>
      </c>
      <c r="B4" s="15"/>
      <c r="C4" s="15"/>
      <c r="D4" s="15" t="s">
        <v>3</v>
      </c>
      <c r="E4" s="15"/>
      <c r="F4" s="15"/>
      <c r="G4" s="15" t="s">
        <v>4</v>
      </c>
      <c r="H4" s="15"/>
      <c r="I4" s="15"/>
      <c r="J4" s="15" t="s">
        <v>5</v>
      </c>
      <c r="K4" s="15"/>
      <c r="L4" s="1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1">
        <f>Forecast_Scenarios!C4</f>
        <v>25.360000000000007</v>
      </c>
      <c r="B5" s="16"/>
      <c r="C5" s="16"/>
      <c r="D5" s="21">
        <f>Forecast_Scenarios!C5</f>
        <v>8.052999999999999</v>
      </c>
      <c r="E5" s="16"/>
      <c r="F5" s="16"/>
      <c r="G5" s="22">
        <f>Inputs!$B$7</f>
        <v>3</v>
      </c>
      <c r="H5" s="16"/>
      <c r="I5" s="16"/>
      <c r="J5" s="21">
        <f>EBITDA_Impact!D11</f>
        <v>0.33063648000000057</v>
      </c>
      <c r="K5" s="16"/>
      <c r="L5" s="1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8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3" t="s">
        <v>6</v>
      </c>
      <c r="B9" s="23"/>
      <c r="C9" s="23"/>
      <c r="D9" s="23"/>
      <c r="E9" s="23"/>
      <c r="F9" s="23"/>
      <c r="G9" s="24"/>
      <c r="H9" s="23" t="s">
        <v>7</v>
      </c>
      <c r="I9" s="23"/>
      <c r="J9" s="23"/>
      <c r="K9" s="23"/>
      <c r="L9" s="2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0" t="s">
        <v>8</v>
      </c>
      <c r="B10" s="41" t="s">
        <v>9</v>
      </c>
      <c r="C10" s="41" t="s">
        <v>10</v>
      </c>
      <c r="D10" s="41" t="s">
        <v>11</v>
      </c>
      <c r="E10" s="42" t="s">
        <v>12</v>
      </c>
      <c r="F10" s="43" t="s">
        <v>13</v>
      </c>
      <c r="G10" s="24"/>
      <c r="H10" s="40" t="s">
        <v>14</v>
      </c>
      <c r="I10" s="41" t="s">
        <v>15</v>
      </c>
      <c r="J10" s="41" t="s">
        <v>16</v>
      </c>
      <c r="K10" s="41" t="s">
        <v>17</v>
      </c>
      <c r="L10" s="40" t="s">
        <v>18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>
      <c r="A11" s="25" t="str">
        <f>Rep_Productivity!A5</f>
        <v>Alex Morgan</v>
      </c>
      <c r="B11" s="26">
        <f>Rep_Productivity!C5</f>
        <v>2</v>
      </c>
      <c r="C11" s="26">
        <f>Rep_Productivity!E5</f>
        <v>2.96</v>
      </c>
      <c r="D11" s="27">
        <f>Rep_Productivity!I5</f>
        <v>1.48</v>
      </c>
      <c r="E11" s="28">
        <f>Rep_Productivity!N5</f>
        <v>0.66666666666666663</v>
      </c>
      <c r="F11" s="29" t="str">
        <f>Rep_Productivity!O5</f>
        <v>Coverage Gap</v>
      </c>
      <c r="G11" s="24"/>
      <c r="H11" s="25" t="s">
        <v>19</v>
      </c>
      <c r="I11" s="26">
        <f>Forecast_Scenarios!B13</f>
        <v>6.3273200000000012</v>
      </c>
      <c r="J11" s="30">
        <f>Forecast_Scenarios!C13</f>
        <v>7.2504240000000024</v>
      </c>
      <c r="K11" s="26">
        <f>Forecast_Scenarios!D13</f>
        <v>8.196352000000001</v>
      </c>
      <c r="L11" s="25" t="s">
        <v>20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>
      <c r="A12" s="31" t="str">
        <f>Rep_Productivity!A6</f>
        <v>Brooke Chen</v>
      </c>
      <c r="B12" s="32">
        <f>Rep_Productivity!C6</f>
        <v>2.2000000000000002</v>
      </c>
      <c r="C12" s="32">
        <f>Rep_Productivity!E6</f>
        <v>2.6799999999999997</v>
      </c>
      <c r="D12" s="33">
        <f>Rep_Productivity!I6</f>
        <v>1.218181818181818</v>
      </c>
      <c r="E12" s="34">
        <f>Rep_Productivity!N6</f>
        <v>0</v>
      </c>
      <c r="F12" s="35" t="str">
        <f>Rep_Productivity!O6</f>
        <v>Coverage Gap</v>
      </c>
      <c r="G12" s="24"/>
      <c r="H12" s="31" t="s">
        <v>21</v>
      </c>
      <c r="I12" s="36">
        <f>Forecast_Scenarios!B14</f>
        <v>-5.6726799999999988</v>
      </c>
      <c r="J12" s="30">
        <f>Forecast_Scenarios!C14</f>
        <v>-4.7495759999999976</v>
      </c>
      <c r="K12" s="36">
        <f>Forecast_Scenarios!D14</f>
        <v>-3.803647999999999</v>
      </c>
      <c r="L12" s="31" t="s">
        <v>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>
      <c r="A13" s="25" t="str">
        <f>Rep_Productivity!A7</f>
        <v>Chris Patel</v>
      </c>
      <c r="B13" s="26">
        <f>Rep_Productivity!C7</f>
        <v>1.8</v>
      </c>
      <c r="C13" s="26">
        <f>Rep_Productivity!E7</f>
        <v>6</v>
      </c>
      <c r="D13" s="27">
        <f>Rep_Productivity!I7</f>
        <v>3.333333333333333</v>
      </c>
      <c r="E13" s="28">
        <f>Rep_Productivity!N7</f>
        <v>1</v>
      </c>
      <c r="F13" s="37" t="str">
        <f>Rep_Productivity!O7</f>
        <v>On Track</v>
      </c>
      <c r="G13" s="24"/>
      <c r="H13" s="25" t="s">
        <v>23</v>
      </c>
      <c r="I13" s="26">
        <f>Forecast_Scenarios!B15</f>
        <v>0.24092000000000002</v>
      </c>
      <c r="J13" s="30">
        <f>Forecast_Scenarios!C15</f>
        <v>1.1640240000000013</v>
      </c>
      <c r="K13" s="26">
        <f>Forecast_Scenarios!D15</f>
        <v>2.1099519999999998</v>
      </c>
      <c r="L13" s="25" t="s">
        <v>24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>
      <c r="A14" s="31" t="str">
        <f>Rep_Productivity!A8</f>
        <v>Dana Lewis</v>
      </c>
      <c r="B14" s="32">
        <f>Rep_Productivity!C8</f>
        <v>2.1</v>
      </c>
      <c r="C14" s="32">
        <f>Rep_Productivity!E8</f>
        <v>1.46</v>
      </c>
      <c r="D14" s="33">
        <f>Rep_Productivity!I8</f>
        <v>0.69523809523809521</v>
      </c>
      <c r="E14" s="34">
        <f>Rep_Productivity!N8</f>
        <v>0</v>
      </c>
      <c r="F14" s="35" t="str">
        <f>Rep_Productivity!O8</f>
        <v>Coverage Gap</v>
      </c>
      <c r="G14" s="24"/>
      <c r="H14" s="31" t="s">
        <v>25</v>
      </c>
      <c r="I14" s="32">
        <f>Forecast_Scenarios!B16</f>
        <v>6.0711840000000003E-2</v>
      </c>
      <c r="J14" s="30">
        <f>Forecast_Scenarios!C16</f>
        <v>0.36666756000000039</v>
      </c>
      <c r="K14" s="32">
        <f>Forecast_Scenarios!D16</f>
        <v>0.75325286399999991</v>
      </c>
      <c r="L14" s="31" t="s">
        <v>26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>
      <c r="A15" s="25" t="str">
        <f>Rep_Productivity!A9</f>
        <v>Evan Ross</v>
      </c>
      <c r="B15" s="26">
        <f>Rep_Productivity!C9</f>
        <v>1.7</v>
      </c>
      <c r="C15" s="26">
        <f>Rep_Productivity!E9</f>
        <v>2.21</v>
      </c>
      <c r="D15" s="27">
        <f>Rep_Productivity!I9</f>
        <v>1.3</v>
      </c>
      <c r="E15" s="28">
        <f>Rep_Productivity!N9</f>
        <v>0.5</v>
      </c>
      <c r="F15" s="29" t="str">
        <f>Rep_Productivity!O9</f>
        <v>Coverage Gap</v>
      </c>
      <c r="G15" s="24"/>
      <c r="H15" s="25" t="s">
        <v>27</v>
      </c>
      <c r="I15" s="26">
        <f>I14*Inputs!$B$9</f>
        <v>0.69818616</v>
      </c>
      <c r="J15" s="30">
        <f>J14*Inputs!$B$9</f>
        <v>4.2166769400000046</v>
      </c>
      <c r="K15" s="26">
        <f>K14*Inputs!$B$9</f>
        <v>8.6624079359999993</v>
      </c>
      <c r="L15" s="25" t="s">
        <v>28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31" t="str">
        <f>Rep_Productivity!A10</f>
        <v>Frances Kim</v>
      </c>
      <c r="B16" s="32">
        <f>Rep_Productivity!C10</f>
        <v>2.2999999999999998</v>
      </c>
      <c r="C16" s="32">
        <f>Rep_Productivity!E10</f>
        <v>2.19</v>
      </c>
      <c r="D16" s="33">
        <f>Rep_Productivity!I10</f>
        <v>0.95217391304347831</v>
      </c>
      <c r="E16" s="34">
        <f>Rep_Productivity!N10</f>
        <v>0.25</v>
      </c>
      <c r="F16" s="35" t="str">
        <f>Rep_Productivity!O10</f>
        <v>Coverage Gap</v>
      </c>
      <c r="G16" s="24"/>
      <c r="H16" s="31"/>
      <c r="I16" s="38"/>
      <c r="J16" s="38"/>
      <c r="K16" s="38"/>
      <c r="L16" s="3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25" t="str">
        <f>Rep_Productivity!A11</f>
        <v>Gabe Wright</v>
      </c>
      <c r="B17" s="26">
        <f>Rep_Productivity!C11</f>
        <v>1.9</v>
      </c>
      <c r="C17" s="26">
        <f>Rep_Productivity!E11</f>
        <v>3.91</v>
      </c>
      <c r="D17" s="27">
        <f>Rep_Productivity!I11</f>
        <v>2.0578947368421052</v>
      </c>
      <c r="E17" s="28">
        <f>Rep_Productivity!N11</f>
        <v>0</v>
      </c>
      <c r="F17" s="29" t="str">
        <f>Rep_Productivity!O11</f>
        <v>Coverage Gap</v>
      </c>
      <c r="G17" s="24"/>
      <c r="H17" s="25"/>
      <c r="I17" s="39"/>
      <c r="J17" s="39"/>
      <c r="K17" s="39"/>
      <c r="L17" s="2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31" t="str">
        <f>Rep_Productivity!A12</f>
        <v>Harper Stone</v>
      </c>
      <c r="B18" s="32">
        <f>Rep_Productivity!C12</f>
        <v>2</v>
      </c>
      <c r="C18" s="32">
        <f>Rep_Productivity!E12</f>
        <v>3.9499999999999997</v>
      </c>
      <c r="D18" s="33">
        <f>Rep_Productivity!I12</f>
        <v>1.9749999999999999</v>
      </c>
      <c r="E18" s="34">
        <f>Rep_Productivity!N12</f>
        <v>0.33333333333333331</v>
      </c>
      <c r="F18" s="35" t="str">
        <f>Rep_Productivity!O12</f>
        <v>Coverage Gap</v>
      </c>
      <c r="G18" s="24"/>
      <c r="H18" s="31"/>
      <c r="I18" s="38"/>
      <c r="J18" s="38"/>
      <c r="K18" s="38"/>
      <c r="L18" s="3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8">
    <mergeCell ref="A9:F9"/>
    <mergeCell ref="H9:L9"/>
    <mergeCell ref="A1:L1"/>
    <mergeCell ref="A2:L2"/>
    <mergeCell ref="A4:C7"/>
    <mergeCell ref="D4:F7"/>
    <mergeCell ref="G4:I7"/>
    <mergeCell ref="J4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8B7E"/>
  </sheetPr>
  <dimension ref="A1:Z200"/>
  <sheetViews>
    <sheetView showGridLines="0" showRowColHeaders="0" workbookViewId="0">
      <pane ySplit="3" topLeftCell="A4" activePane="bottomLeft" state="frozen"/>
      <selection pane="bottomLeft" activeCell="H7" sqref="H7"/>
    </sheetView>
  </sheetViews>
  <sheetFormatPr baseColWidth="10" defaultColWidth="8.83203125" defaultRowHeight="14"/>
  <cols>
    <col min="1" max="1" width="8.33203125" customWidth="1"/>
    <col min="2" max="2" width="83.33203125" customWidth="1"/>
    <col min="3" max="6" width="0.5" customWidth="1"/>
  </cols>
  <sheetData>
    <row r="1" spans="1:26" ht="26">
      <c r="A1" s="12" t="s">
        <v>29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 thickBot="1">
      <c r="A2" s="14"/>
      <c r="B2" s="14"/>
      <c r="C2" s="14"/>
      <c r="D2" s="14"/>
      <c r="E2" s="14"/>
      <c r="F2" s="1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4" t="s">
        <v>30</v>
      </c>
      <c r="B3" s="44" t="s">
        <v>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19" t="s">
        <v>32</v>
      </c>
      <c r="B4" s="19" t="s">
        <v>33</v>
      </c>
      <c r="C4" s="19"/>
      <c r="D4" s="19"/>
      <c r="E4" s="19"/>
      <c r="F4" s="1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20" t="s">
        <v>34</v>
      </c>
      <c r="B5" s="20" t="s">
        <v>35</v>
      </c>
      <c r="C5" s="20"/>
      <c r="D5" s="20"/>
      <c r="E5" s="20"/>
      <c r="F5" s="2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19" t="s">
        <v>36</v>
      </c>
      <c r="B6" s="19" t="s">
        <v>37</v>
      </c>
      <c r="C6" s="19"/>
      <c r="D6" s="19"/>
      <c r="E6" s="19"/>
      <c r="F6" s="1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0" t="s">
        <v>38</v>
      </c>
      <c r="B7" s="20" t="s">
        <v>39</v>
      </c>
      <c r="C7" s="20"/>
      <c r="D7" s="20"/>
      <c r="E7" s="20"/>
      <c r="F7" s="2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19" t="s">
        <v>40</v>
      </c>
      <c r="B8" s="19" t="s">
        <v>41</v>
      </c>
      <c r="C8" s="19"/>
      <c r="D8" s="19"/>
      <c r="E8" s="19"/>
      <c r="F8" s="1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>
      <c r="A9" s="20" t="s">
        <v>42</v>
      </c>
      <c r="B9" s="20" t="s">
        <v>43</v>
      </c>
      <c r="C9" s="20"/>
      <c r="D9" s="20"/>
      <c r="E9" s="20"/>
      <c r="F9" s="2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19" t="s">
        <v>44</v>
      </c>
      <c r="B10" s="19" t="s">
        <v>45</v>
      </c>
      <c r="C10" s="19"/>
      <c r="D10" s="19"/>
      <c r="E10" s="19"/>
      <c r="F10" s="1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" customHeight="1">
      <c r="A11" s="17"/>
      <c r="B11" s="17"/>
      <c r="C11" s="17"/>
      <c r="D11" s="17"/>
      <c r="E11" s="17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18" t="s">
        <v>46</v>
      </c>
      <c r="B12" s="18"/>
      <c r="C12" s="18"/>
      <c r="D12" s="18"/>
      <c r="E12" s="18"/>
      <c r="F12" s="1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16" t="s">
        <v>47</v>
      </c>
      <c r="B13" s="19"/>
      <c r="C13" s="19"/>
      <c r="D13" s="19"/>
      <c r="E13" s="19"/>
      <c r="F13" s="1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17" t="s">
        <v>48</v>
      </c>
      <c r="B14" s="20"/>
      <c r="C14" s="20"/>
      <c r="D14" s="20"/>
      <c r="E14" s="20"/>
      <c r="F14" s="2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16" t="s">
        <v>49</v>
      </c>
      <c r="B15" s="19"/>
      <c r="C15" s="19"/>
      <c r="D15" s="19"/>
      <c r="E15" s="19"/>
      <c r="F15" s="1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7" t="s">
        <v>50</v>
      </c>
      <c r="B16" s="20"/>
      <c r="C16" s="20"/>
      <c r="D16" s="20"/>
      <c r="E16" s="20"/>
      <c r="F16" s="2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F1"/>
    <mergeCell ref="A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8B7E"/>
  </sheetPr>
  <dimension ref="A1:Z200"/>
  <sheetViews>
    <sheetView showGridLines="0" showRowColHeaders="0" workbookViewId="0">
      <pane ySplit="3" topLeftCell="A4" activePane="bottomLeft" state="frozen"/>
      <selection pane="bottomLeft" sqref="A1:D1"/>
    </sheetView>
  </sheetViews>
  <sheetFormatPr baseColWidth="10" defaultColWidth="8.83203125" defaultRowHeight="14"/>
  <cols>
    <col min="1" max="1" width="33.33203125" customWidth="1"/>
    <col min="2" max="2" width="16.6640625" customWidth="1"/>
    <col min="3" max="3" width="0.6640625" customWidth="1"/>
    <col min="4" max="4" width="18.33203125" customWidth="1"/>
    <col min="5" max="5" width="13.33203125" customWidth="1"/>
    <col min="6" max="6" width="15" customWidth="1"/>
    <col min="7" max="7" width="0.6640625" customWidth="1"/>
    <col min="8" max="9" width="18.33203125" customWidth="1"/>
    <col min="10" max="10" width="13.33203125" customWidth="1"/>
  </cols>
  <sheetData>
    <row r="1" spans="1:26" ht="37.25" customHeight="1">
      <c r="A1" s="12" t="s">
        <v>0</v>
      </c>
      <c r="B1" s="12"/>
      <c r="C1" s="12"/>
      <c r="D1" s="12"/>
      <c r="E1" s="45"/>
      <c r="F1" s="45"/>
      <c r="G1" s="45"/>
      <c r="H1" s="45"/>
      <c r="I1" s="45"/>
      <c r="J1" s="4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4" t="s">
        <v>51</v>
      </c>
      <c r="B3" s="44" t="s">
        <v>52</v>
      </c>
      <c r="C3" s="17"/>
      <c r="D3" s="44" t="s">
        <v>53</v>
      </c>
      <c r="E3" s="44" t="s">
        <v>54</v>
      </c>
      <c r="F3" s="44" t="s">
        <v>55</v>
      </c>
      <c r="G3" s="17"/>
      <c r="H3" s="44" t="s">
        <v>8</v>
      </c>
      <c r="I3" s="44" t="s">
        <v>56</v>
      </c>
      <c r="J3" s="44" t="s">
        <v>57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19" t="s">
        <v>58</v>
      </c>
      <c r="B4" s="53">
        <v>46023</v>
      </c>
      <c r="C4" s="2"/>
      <c r="D4" s="19" t="s">
        <v>59</v>
      </c>
      <c r="E4" s="55">
        <v>0.1</v>
      </c>
      <c r="F4" s="46">
        <v>21</v>
      </c>
      <c r="G4" s="2"/>
      <c r="H4" s="19" t="s">
        <v>60</v>
      </c>
      <c r="I4" s="57">
        <v>2</v>
      </c>
      <c r="J4" s="19" t="s">
        <v>61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20" t="s">
        <v>62</v>
      </c>
      <c r="B5" s="53">
        <v>46112</v>
      </c>
      <c r="C5" s="2"/>
      <c r="D5" s="20" t="s">
        <v>63</v>
      </c>
      <c r="E5" s="56">
        <v>0.2</v>
      </c>
      <c r="F5" s="47">
        <v>21</v>
      </c>
      <c r="G5" s="2"/>
      <c r="H5" s="20" t="s">
        <v>64</v>
      </c>
      <c r="I5" s="57">
        <v>2.2000000000000002</v>
      </c>
      <c r="J5" s="20" t="s">
        <v>65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19" t="s">
        <v>66</v>
      </c>
      <c r="B6" s="57">
        <v>12</v>
      </c>
      <c r="C6" s="2"/>
      <c r="D6" s="19" t="s">
        <v>67</v>
      </c>
      <c r="E6" s="55">
        <v>0.3</v>
      </c>
      <c r="F6" s="46">
        <v>28</v>
      </c>
      <c r="G6" s="2"/>
      <c r="H6" s="19" t="s">
        <v>68</v>
      </c>
      <c r="I6" s="57">
        <v>1.8</v>
      </c>
      <c r="J6" s="19" t="s">
        <v>69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0" t="s">
        <v>70</v>
      </c>
      <c r="B7" s="48">
        <v>3</v>
      </c>
      <c r="C7" s="2"/>
      <c r="D7" s="20" t="s">
        <v>71</v>
      </c>
      <c r="E7" s="56">
        <v>0.45</v>
      </c>
      <c r="F7" s="47">
        <v>30</v>
      </c>
      <c r="G7" s="2"/>
      <c r="H7" s="20" t="s">
        <v>72</v>
      </c>
      <c r="I7" s="57">
        <v>2.1</v>
      </c>
      <c r="J7" s="20" t="s">
        <v>61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19" t="s">
        <v>73</v>
      </c>
      <c r="B8" s="54">
        <v>0.42</v>
      </c>
      <c r="C8" s="2"/>
      <c r="D8" s="19" t="s">
        <v>74</v>
      </c>
      <c r="E8" s="55">
        <v>0.65</v>
      </c>
      <c r="F8" s="46">
        <v>21</v>
      </c>
      <c r="G8" s="2"/>
      <c r="H8" s="19" t="s">
        <v>75</v>
      </c>
      <c r="I8" s="57">
        <v>1.7</v>
      </c>
      <c r="J8" s="19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0" t="s">
        <v>76</v>
      </c>
      <c r="B9" s="48">
        <v>11.5</v>
      </c>
      <c r="C9" s="2"/>
      <c r="D9" s="20" t="s">
        <v>77</v>
      </c>
      <c r="E9" s="56">
        <v>0.85</v>
      </c>
      <c r="F9" s="47">
        <v>14</v>
      </c>
      <c r="G9" s="2"/>
      <c r="H9" s="20" t="s">
        <v>78</v>
      </c>
      <c r="I9" s="57">
        <v>2.2999999999999998</v>
      </c>
      <c r="J9" s="20" t="s">
        <v>69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19" t="s">
        <v>79</v>
      </c>
      <c r="B10" s="49">
        <v>185</v>
      </c>
      <c r="C10" s="2"/>
      <c r="D10" s="19" t="s">
        <v>80</v>
      </c>
      <c r="E10" s="55">
        <v>1</v>
      </c>
      <c r="F10" s="46">
        <v>999</v>
      </c>
      <c r="G10" s="2"/>
      <c r="H10" s="19" t="s">
        <v>81</v>
      </c>
      <c r="I10" s="57">
        <v>1.9</v>
      </c>
      <c r="J10" s="19" t="s">
        <v>82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20" t="s">
        <v>83</v>
      </c>
      <c r="B11" s="54">
        <v>0.24</v>
      </c>
      <c r="C11" s="2"/>
      <c r="D11" s="20" t="s">
        <v>84</v>
      </c>
      <c r="E11" s="56">
        <v>0</v>
      </c>
      <c r="F11" s="20">
        <v>999</v>
      </c>
      <c r="G11" s="2"/>
      <c r="H11" s="20" t="s">
        <v>85</v>
      </c>
      <c r="I11" s="57">
        <v>2</v>
      </c>
      <c r="J11" s="20" t="s">
        <v>82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19" t="s">
        <v>86</v>
      </c>
      <c r="B12" s="54">
        <v>0.28000000000000003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8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>
      <c r="A14" s="51" t="s">
        <v>87</v>
      </c>
      <c r="B14" s="51" t="s">
        <v>15</v>
      </c>
      <c r="C14" s="51" t="s">
        <v>16</v>
      </c>
      <c r="D14" s="51" t="s">
        <v>17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19" t="s">
        <v>88</v>
      </c>
      <c r="B15" s="52">
        <v>100</v>
      </c>
      <c r="C15" s="52">
        <v>300</v>
      </c>
      <c r="D15" s="52">
        <v>500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20" t="s">
        <v>89</v>
      </c>
      <c r="B16" s="50">
        <v>0.05</v>
      </c>
      <c r="C16" s="50">
        <v>0.1</v>
      </c>
      <c r="D16" s="50">
        <v>0.15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19" t="s">
        <v>90</v>
      </c>
      <c r="B17" s="50">
        <v>0.03</v>
      </c>
      <c r="C17" s="50">
        <v>7.0000000000000007E-2</v>
      </c>
      <c r="D17" s="50">
        <v>0.1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20" t="s">
        <v>91</v>
      </c>
      <c r="B18" s="50">
        <v>0.05</v>
      </c>
      <c r="C18" s="50">
        <v>0.08</v>
      </c>
      <c r="D18" s="50">
        <v>0.12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19" t="s">
        <v>92</v>
      </c>
      <c r="B19" s="50">
        <v>0.02</v>
      </c>
      <c r="C19" s="50">
        <v>0.05</v>
      </c>
      <c r="D19" s="50">
        <v>0.08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20" t="s">
        <v>93</v>
      </c>
      <c r="B20" s="50">
        <v>0.6</v>
      </c>
      <c r="C20" s="50">
        <v>0.75</v>
      </c>
      <c r="D20" s="50">
        <v>0.85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8B7E"/>
  </sheetPr>
  <dimension ref="A1:Z203"/>
  <sheetViews>
    <sheetView showGridLines="0" showRowColHeaders="0" workbookViewId="0">
      <pane ySplit="4" topLeftCell="A43" activePane="bottomLeft" state="frozen"/>
      <selection pane="bottomLeft"/>
    </sheetView>
  </sheetViews>
  <sheetFormatPr baseColWidth="10" defaultColWidth="8.83203125" defaultRowHeight="14"/>
  <cols>
    <col min="1" max="1" width="11.6640625" customWidth="1"/>
    <col min="2" max="2" width="21.6640625" customWidth="1"/>
    <col min="3" max="3" width="13.33203125" customWidth="1"/>
    <col min="4" max="4" width="11.6640625" customWidth="1"/>
    <col min="5" max="5" width="16.6640625" customWidth="1"/>
    <col min="6" max="7" width="15" customWidth="1"/>
    <col min="8" max="8" width="16.6640625" customWidth="1"/>
    <col min="9" max="9" width="12.5" customWidth="1"/>
    <col min="10" max="10" width="20" customWidth="1"/>
    <col min="11" max="11" width="13.33203125" customWidth="1"/>
    <col min="12" max="12" width="15" customWidth="1"/>
    <col min="13" max="13" width="12.5" customWidth="1"/>
    <col min="14" max="14" width="13.33203125" customWidth="1"/>
    <col min="15" max="15" width="16.6640625" customWidth="1"/>
    <col min="16" max="16" width="12.5" customWidth="1"/>
    <col min="17" max="17" width="11.6640625" customWidth="1"/>
  </cols>
  <sheetData>
    <row r="1" spans="1:26" ht="26">
      <c r="A1" s="58" t="s">
        <v>317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6" ht="15">
      <c r="A2" s="59" t="s">
        <v>318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26" ht="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26">
      <c r="A4" s="60" t="s">
        <v>94</v>
      </c>
      <c r="B4" s="60" t="s">
        <v>95</v>
      </c>
      <c r="C4" s="60" t="s">
        <v>96</v>
      </c>
      <c r="D4" s="60" t="s">
        <v>57</v>
      </c>
      <c r="E4" s="60" t="s">
        <v>97</v>
      </c>
      <c r="F4" s="60" t="s">
        <v>53</v>
      </c>
      <c r="G4" s="61" t="s">
        <v>98</v>
      </c>
      <c r="H4" s="62" t="s">
        <v>99</v>
      </c>
      <c r="I4" s="63" t="s">
        <v>54</v>
      </c>
      <c r="J4" s="62" t="s">
        <v>3</v>
      </c>
      <c r="K4" s="62" t="s">
        <v>100</v>
      </c>
      <c r="L4" s="62" t="s">
        <v>101</v>
      </c>
      <c r="M4" s="64" t="s">
        <v>102</v>
      </c>
      <c r="N4" s="64" t="s">
        <v>103</v>
      </c>
      <c r="O4" s="64" t="s">
        <v>104</v>
      </c>
      <c r="P4" s="64" t="s">
        <v>105</v>
      </c>
      <c r="Q4" s="64" t="s">
        <v>106</v>
      </c>
      <c r="R4" s="1"/>
      <c r="S4" s="1"/>
      <c r="T4" s="1"/>
      <c r="U4" s="1"/>
      <c r="V4" s="1"/>
      <c r="W4" s="1"/>
      <c r="X4" s="1"/>
      <c r="Y4" s="1"/>
      <c r="Z4" s="1"/>
    </row>
    <row r="5" spans="1:26">
      <c r="A5" s="66" t="s">
        <v>107</v>
      </c>
      <c r="B5" s="66" t="s">
        <v>108</v>
      </c>
      <c r="C5" s="66" t="s">
        <v>109</v>
      </c>
      <c r="D5" s="66" t="s">
        <v>69</v>
      </c>
      <c r="E5" s="66" t="s">
        <v>68</v>
      </c>
      <c r="F5" s="66" t="s">
        <v>67</v>
      </c>
      <c r="G5" s="70">
        <v>46078</v>
      </c>
      <c r="H5" s="72">
        <v>1.38</v>
      </c>
      <c r="I5" s="74">
        <f>IFERROR(VLOOKUP(F5,Inputs!$D$4:$E$11,2,FALSE),0)</f>
        <v>0.3</v>
      </c>
      <c r="J5" s="72">
        <f t="shared" ref="J5:J36" si="0">H5*I5</f>
        <v>0.41399999999999998</v>
      </c>
      <c r="K5" s="76">
        <v>51</v>
      </c>
      <c r="L5" s="76">
        <f>IFERROR(VLOOKUP(F5,Inputs!$D$4:$F$11,3,FALSE),0)</f>
        <v>28</v>
      </c>
      <c r="M5" s="78" t="str">
        <f t="shared" ref="M5:M36" si="1">IF(K5&gt;L5,"Aged","Healthy")</f>
        <v>Aged</v>
      </c>
      <c r="N5" s="68" t="str">
        <f>IF(AND(G5&gt;=Inputs!$B$4,G5&lt;=Inputs!$B$5),"In Quarter","Out Quarter")</f>
        <v>In Quarter</v>
      </c>
      <c r="O5" s="68" t="s">
        <v>110</v>
      </c>
      <c r="P5" s="68" t="s">
        <v>111</v>
      </c>
      <c r="Q5" s="78" t="str">
        <f t="shared" ref="Q5:Q36" si="2">IF(OR(M5="Aged",J5&gt;=0.4),"High",IF(J5&gt;=0.2,"Medium","Low"))</f>
        <v>High</v>
      </c>
      <c r="R5" s="2"/>
      <c r="S5" s="2"/>
      <c r="T5" s="2"/>
      <c r="U5" s="2"/>
      <c r="V5" s="2"/>
      <c r="W5" s="2"/>
      <c r="X5" s="2"/>
      <c r="Y5" s="2"/>
      <c r="Z5" s="2"/>
    </row>
    <row r="6" spans="1:26">
      <c r="A6" s="67" t="s">
        <v>112</v>
      </c>
      <c r="B6" s="67" t="s">
        <v>113</v>
      </c>
      <c r="C6" s="67" t="s">
        <v>114</v>
      </c>
      <c r="D6" s="67" t="s">
        <v>82</v>
      </c>
      <c r="E6" s="67" t="s">
        <v>81</v>
      </c>
      <c r="F6" s="67" t="s">
        <v>59</v>
      </c>
      <c r="G6" s="71">
        <v>46081</v>
      </c>
      <c r="H6" s="73">
        <v>1.28</v>
      </c>
      <c r="I6" s="75">
        <f>IFERROR(VLOOKUP(F6,Inputs!$D$4:$E$11,2,FALSE),0)</f>
        <v>0.1</v>
      </c>
      <c r="J6" s="73">
        <f t="shared" si="0"/>
        <v>0.128</v>
      </c>
      <c r="K6" s="77">
        <v>20</v>
      </c>
      <c r="L6" s="77">
        <f>IFERROR(VLOOKUP(F6,Inputs!$D$4:$F$11,3,FALSE),0)</f>
        <v>21</v>
      </c>
      <c r="M6" s="69" t="str">
        <f t="shared" si="1"/>
        <v>Healthy</v>
      </c>
      <c r="N6" s="69" t="str">
        <f>IF(AND(G6&gt;=Inputs!$B$4,G6&lt;=Inputs!$B$5),"In Quarter","Out Quarter")</f>
        <v>In Quarter</v>
      </c>
      <c r="O6" s="69" t="s">
        <v>110</v>
      </c>
      <c r="P6" s="69" t="s">
        <v>115</v>
      </c>
      <c r="Q6" s="69" t="str">
        <f t="shared" si="2"/>
        <v>Low</v>
      </c>
      <c r="R6" s="2"/>
      <c r="S6" s="2"/>
      <c r="T6" s="2"/>
      <c r="U6" s="2"/>
      <c r="V6" s="2"/>
      <c r="W6" s="2"/>
      <c r="X6" s="2"/>
      <c r="Y6" s="2"/>
      <c r="Z6" s="2"/>
    </row>
    <row r="7" spans="1:26">
      <c r="A7" s="66" t="s">
        <v>116</v>
      </c>
      <c r="B7" s="66" t="s">
        <v>117</v>
      </c>
      <c r="C7" s="66" t="s">
        <v>109</v>
      </c>
      <c r="D7" s="66" t="s">
        <v>82</v>
      </c>
      <c r="E7" s="66" t="s">
        <v>81</v>
      </c>
      <c r="F7" s="66" t="s">
        <v>84</v>
      </c>
      <c r="G7" s="70">
        <v>46034</v>
      </c>
      <c r="H7" s="72">
        <v>1.67</v>
      </c>
      <c r="I7" s="74">
        <f>IFERROR(VLOOKUP(F7,Inputs!$D$4:$E$11,2,FALSE),0)</f>
        <v>0</v>
      </c>
      <c r="J7" s="72">
        <f t="shared" si="0"/>
        <v>0</v>
      </c>
      <c r="K7" s="76">
        <v>42</v>
      </c>
      <c r="L7" s="76">
        <f>IFERROR(VLOOKUP(F7,Inputs!$D$4:$F$11,3,FALSE),0)</f>
        <v>999</v>
      </c>
      <c r="M7" s="68" t="str">
        <f t="shared" si="1"/>
        <v>Healthy</v>
      </c>
      <c r="N7" s="68" t="str">
        <f>IF(AND(G7&gt;=Inputs!$B$4,G7&lt;=Inputs!$B$5),"In Quarter","Out Quarter")</f>
        <v>In Quarter</v>
      </c>
      <c r="O7" s="68" t="s">
        <v>118</v>
      </c>
      <c r="P7" s="68" t="s">
        <v>115</v>
      </c>
      <c r="Q7" s="68" t="str">
        <f t="shared" si="2"/>
        <v>Low</v>
      </c>
      <c r="R7" s="2"/>
      <c r="S7" s="2"/>
      <c r="T7" s="2"/>
      <c r="U7" s="2"/>
      <c r="V7" s="2"/>
      <c r="W7" s="2"/>
      <c r="X7" s="2"/>
      <c r="Y7" s="2"/>
      <c r="Z7" s="2"/>
    </row>
    <row r="8" spans="1:26">
      <c r="A8" s="67" t="s">
        <v>119</v>
      </c>
      <c r="B8" s="67" t="s">
        <v>120</v>
      </c>
      <c r="C8" s="67" t="s">
        <v>109</v>
      </c>
      <c r="D8" s="67" t="s">
        <v>65</v>
      </c>
      <c r="E8" s="67" t="s">
        <v>75</v>
      </c>
      <c r="F8" s="67" t="s">
        <v>59</v>
      </c>
      <c r="G8" s="71">
        <v>46099</v>
      </c>
      <c r="H8" s="73">
        <v>0.71</v>
      </c>
      <c r="I8" s="75">
        <f>IFERROR(VLOOKUP(F8,Inputs!$D$4:$E$11,2,FALSE),0)</f>
        <v>0.1</v>
      </c>
      <c r="J8" s="73">
        <f t="shared" si="0"/>
        <v>7.0999999999999994E-2</v>
      </c>
      <c r="K8" s="77">
        <v>29</v>
      </c>
      <c r="L8" s="77">
        <f>IFERROR(VLOOKUP(F8,Inputs!$D$4:$F$11,3,FALSE),0)</f>
        <v>21</v>
      </c>
      <c r="M8" s="79" t="str">
        <f t="shared" si="1"/>
        <v>Aged</v>
      </c>
      <c r="N8" s="69" t="str">
        <f>IF(AND(G8&gt;=Inputs!$B$4,G8&lt;=Inputs!$B$5),"In Quarter","Out Quarter")</f>
        <v>In Quarter</v>
      </c>
      <c r="O8" s="69" t="s">
        <v>110</v>
      </c>
      <c r="P8" s="69" t="s">
        <v>121</v>
      </c>
      <c r="Q8" s="79" t="str">
        <f t="shared" si="2"/>
        <v>High</v>
      </c>
      <c r="R8" s="2"/>
      <c r="S8" s="2"/>
      <c r="T8" s="2"/>
      <c r="U8" s="2"/>
      <c r="V8" s="2"/>
      <c r="W8" s="2"/>
      <c r="X8" s="2"/>
      <c r="Y8" s="2"/>
      <c r="Z8" s="2"/>
    </row>
    <row r="9" spans="1:26">
      <c r="A9" s="66" t="s">
        <v>122</v>
      </c>
      <c r="B9" s="66" t="s">
        <v>123</v>
      </c>
      <c r="C9" s="66" t="s">
        <v>114</v>
      </c>
      <c r="D9" s="66" t="s">
        <v>61</v>
      </c>
      <c r="E9" s="66" t="s">
        <v>72</v>
      </c>
      <c r="F9" s="66" t="s">
        <v>71</v>
      </c>
      <c r="G9" s="70">
        <v>46091</v>
      </c>
      <c r="H9" s="72">
        <v>0.6</v>
      </c>
      <c r="I9" s="74">
        <f>IFERROR(VLOOKUP(F9,Inputs!$D$4:$E$11,2,FALSE),0)</f>
        <v>0.45</v>
      </c>
      <c r="J9" s="72">
        <f t="shared" si="0"/>
        <v>0.27</v>
      </c>
      <c r="K9" s="76">
        <v>45</v>
      </c>
      <c r="L9" s="76">
        <f>IFERROR(VLOOKUP(F9,Inputs!$D$4:$F$11,3,FALSE),0)</f>
        <v>30</v>
      </c>
      <c r="M9" s="78" t="str">
        <f t="shared" si="1"/>
        <v>Aged</v>
      </c>
      <c r="N9" s="68" t="str">
        <f>IF(AND(G9&gt;=Inputs!$B$4,G9&lt;=Inputs!$B$5),"In Quarter","Out Quarter")</f>
        <v>In Quarter</v>
      </c>
      <c r="O9" s="68" t="s">
        <v>124</v>
      </c>
      <c r="P9" s="68" t="s">
        <v>125</v>
      </c>
      <c r="Q9" s="78" t="str">
        <f t="shared" si="2"/>
        <v>High</v>
      </c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7" t="s">
        <v>126</v>
      </c>
      <c r="B10" s="67" t="s">
        <v>127</v>
      </c>
      <c r="C10" s="67" t="s">
        <v>114</v>
      </c>
      <c r="D10" s="67" t="s">
        <v>69</v>
      </c>
      <c r="E10" s="67" t="s">
        <v>68</v>
      </c>
      <c r="F10" s="67" t="s">
        <v>67</v>
      </c>
      <c r="G10" s="71">
        <v>46117</v>
      </c>
      <c r="H10" s="73">
        <v>1.17</v>
      </c>
      <c r="I10" s="75">
        <f>IFERROR(VLOOKUP(F10,Inputs!$D$4:$E$11,2,FALSE),0)</f>
        <v>0.3</v>
      </c>
      <c r="J10" s="73">
        <f t="shared" si="0"/>
        <v>0.35099999999999998</v>
      </c>
      <c r="K10" s="77">
        <v>68</v>
      </c>
      <c r="L10" s="77">
        <f>IFERROR(VLOOKUP(F10,Inputs!$D$4:$F$11,3,FALSE),0)</f>
        <v>28</v>
      </c>
      <c r="M10" s="79" t="str">
        <f t="shared" si="1"/>
        <v>Aged</v>
      </c>
      <c r="N10" s="69" t="str">
        <f>IF(AND(G10&gt;=Inputs!$B$4,G10&lt;=Inputs!$B$5),"In Quarter","Out Quarter")</f>
        <v>Out Quarter</v>
      </c>
      <c r="O10" s="69" t="s">
        <v>124</v>
      </c>
      <c r="P10" s="69" t="s">
        <v>125</v>
      </c>
      <c r="Q10" s="79" t="str">
        <f t="shared" si="2"/>
        <v>High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6" t="s">
        <v>128</v>
      </c>
      <c r="B11" s="66" t="s">
        <v>129</v>
      </c>
      <c r="C11" s="66" t="s">
        <v>130</v>
      </c>
      <c r="D11" s="66" t="s">
        <v>65</v>
      </c>
      <c r="E11" s="66" t="s">
        <v>64</v>
      </c>
      <c r="F11" s="66" t="s">
        <v>71</v>
      </c>
      <c r="G11" s="70">
        <v>46043</v>
      </c>
      <c r="H11" s="72">
        <v>0.47</v>
      </c>
      <c r="I11" s="74">
        <f>IFERROR(VLOOKUP(F11,Inputs!$D$4:$E$11,2,FALSE),0)</f>
        <v>0.45</v>
      </c>
      <c r="J11" s="72">
        <f t="shared" si="0"/>
        <v>0.21149999999999999</v>
      </c>
      <c r="K11" s="76">
        <v>48</v>
      </c>
      <c r="L11" s="76">
        <f>IFERROR(VLOOKUP(F11,Inputs!$D$4:$F$11,3,FALSE),0)</f>
        <v>30</v>
      </c>
      <c r="M11" s="78" t="str">
        <f t="shared" si="1"/>
        <v>Aged</v>
      </c>
      <c r="N11" s="68" t="str">
        <f>IF(AND(G11&gt;=Inputs!$B$4,G11&lt;=Inputs!$B$5),"In Quarter","Out Quarter")</f>
        <v>In Quarter</v>
      </c>
      <c r="O11" s="68" t="s">
        <v>124</v>
      </c>
      <c r="P11" s="68" t="s">
        <v>121</v>
      </c>
      <c r="Q11" s="78" t="str">
        <f t="shared" si="2"/>
        <v>High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7" t="s">
        <v>131</v>
      </c>
      <c r="B12" s="67" t="s">
        <v>127</v>
      </c>
      <c r="C12" s="67" t="s">
        <v>114</v>
      </c>
      <c r="D12" s="67" t="s">
        <v>65</v>
      </c>
      <c r="E12" s="67" t="s">
        <v>64</v>
      </c>
      <c r="F12" s="67" t="s">
        <v>84</v>
      </c>
      <c r="G12" s="71">
        <v>46125</v>
      </c>
      <c r="H12" s="73">
        <v>0.51</v>
      </c>
      <c r="I12" s="75">
        <f>IFERROR(VLOOKUP(F12,Inputs!$D$4:$E$11,2,FALSE),0)</f>
        <v>0</v>
      </c>
      <c r="J12" s="73">
        <f t="shared" si="0"/>
        <v>0</v>
      </c>
      <c r="K12" s="77">
        <v>45</v>
      </c>
      <c r="L12" s="77">
        <f>IFERROR(VLOOKUP(F12,Inputs!$D$4:$F$11,3,FALSE),0)</f>
        <v>999</v>
      </c>
      <c r="M12" s="69" t="str">
        <f t="shared" si="1"/>
        <v>Healthy</v>
      </c>
      <c r="N12" s="69" t="str">
        <f>IF(AND(G12&gt;=Inputs!$B$4,G12&lt;=Inputs!$B$5),"In Quarter","Out Quarter")</f>
        <v>Out Quarter</v>
      </c>
      <c r="O12" s="69" t="s">
        <v>118</v>
      </c>
      <c r="P12" s="69" t="s">
        <v>125</v>
      </c>
      <c r="Q12" s="69" t="str">
        <f t="shared" si="2"/>
        <v>Low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66" t="s">
        <v>132</v>
      </c>
      <c r="B13" s="66" t="s">
        <v>133</v>
      </c>
      <c r="C13" s="66" t="s">
        <v>109</v>
      </c>
      <c r="D13" s="66" t="s">
        <v>82</v>
      </c>
      <c r="E13" s="66" t="s">
        <v>85</v>
      </c>
      <c r="F13" s="66" t="s">
        <v>71</v>
      </c>
      <c r="G13" s="70">
        <v>46036</v>
      </c>
      <c r="H13" s="72">
        <v>0.73</v>
      </c>
      <c r="I13" s="74">
        <f>IFERROR(VLOOKUP(F13,Inputs!$D$4:$E$11,2,FALSE),0)</f>
        <v>0.45</v>
      </c>
      <c r="J13" s="72">
        <f t="shared" si="0"/>
        <v>0.32850000000000001</v>
      </c>
      <c r="K13" s="76">
        <v>65</v>
      </c>
      <c r="L13" s="76">
        <f>IFERROR(VLOOKUP(F13,Inputs!$D$4:$F$11,3,FALSE),0)</f>
        <v>30</v>
      </c>
      <c r="M13" s="78" t="str">
        <f t="shared" si="1"/>
        <v>Aged</v>
      </c>
      <c r="N13" s="68" t="str">
        <f>IF(AND(G13&gt;=Inputs!$B$4,G13&lt;=Inputs!$B$5),"In Quarter","Out Quarter")</f>
        <v>In Quarter</v>
      </c>
      <c r="O13" s="68" t="s">
        <v>110</v>
      </c>
      <c r="P13" s="68" t="s">
        <v>125</v>
      </c>
      <c r="Q13" s="78" t="str">
        <f t="shared" si="2"/>
        <v>High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67" t="s">
        <v>134</v>
      </c>
      <c r="B14" s="67" t="s">
        <v>135</v>
      </c>
      <c r="C14" s="67" t="s">
        <v>130</v>
      </c>
      <c r="D14" s="67" t="s">
        <v>82</v>
      </c>
      <c r="E14" s="67" t="s">
        <v>85</v>
      </c>
      <c r="F14" s="67" t="s">
        <v>74</v>
      </c>
      <c r="G14" s="71">
        <v>46064</v>
      </c>
      <c r="H14" s="73">
        <v>0.63</v>
      </c>
      <c r="I14" s="75">
        <f>IFERROR(VLOOKUP(F14,Inputs!$D$4:$E$11,2,FALSE),0)</f>
        <v>0.65</v>
      </c>
      <c r="J14" s="73">
        <f t="shared" si="0"/>
        <v>0.40950000000000003</v>
      </c>
      <c r="K14" s="77">
        <v>49</v>
      </c>
      <c r="L14" s="77">
        <f>IFERROR(VLOOKUP(F14,Inputs!$D$4:$F$11,3,FALSE),0)</f>
        <v>21</v>
      </c>
      <c r="M14" s="79" t="str">
        <f t="shared" si="1"/>
        <v>Aged</v>
      </c>
      <c r="N14" s="69" t="str">
        <f>IF(AND(G14&gt;=Inputs!$B$4,G14&lt;=Inputs!$B$5),"In Quarter","Out Quarter")</f>
        <v>In Quarter</v>
      </c>
      <c r="O14" s="69" t="s">
        <v>124</v>
      </c>
      <c r="P14" s="69" t="s">
        <v>111</v>
      </c>
      <c r="Q14" s="79" t="str">
        <f t="shared" si="2"/>
        <v>High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66" t="s">
        <v>136</v>
      </c>
      <c r="B15" s="66" t="s">
        <v>137</v>
      </c>
      <c r="C15" s="66" t="s">
        <v>130</v>
      </c>
      <c r="D15" s="66" t="s">
        <v>82</v>
      </c>
      <c r="E15" s="66" t="s">
        <v>85</v>
      </c>
      <c r="F15" s="66" t="s">
        <v>74</v>
      </c>
      <c r="G15" s="70">
        <v>46035</v>
      </c>
      <c r="H15" s="72">
        <v>0.25</v>
      </c>
      <c r="I15" s="74">
        <f>IFERROR(VLOOKUP(F15,Inputs!$D$4:$E$11,2,FALSE),0)</f>
        <v>0.65</v>
      </c>
      <c r="J15" s="72">
        <f t="shared" si="0"/>
        <v>0.16250000000000001</v>
      </c>
      <c r="K15" s="76">
        <v>36</v>
      </c>
      <c r="L15" s="76">
        <f>IFERROR(VLOOKUP(F15,Inputs!$D$4:$F$11,3,FALSE),0)</f>
        <v>21</v>
      </c>
      <c r="M15" s="78" t="str">
        <f t="shared" si="1"/>
        <v>Aged</v>
      </c>
      <c r="N15" s="68" t="str">
        <f>IF(AND(G15&gt;=Inputs!$B$4,G15&lt;=Inputs!$B$5),"In Quarter","Out Quarter")</f>
        <v>In Quarter</v>
      </c>
      <c r="O15" s="68" t="s">
        <v>124</v>
      </c>
      <c r="P15" s="68" t="s">
        <v>121</v>
      </c>
      <c r="Q15" s="78" t="str">
        <f t="shared" si="2"/>
        <v>High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67" t="s">
        <v>138</v>
      </c>
      <c r="B16" s="67" t="s">
        <v>139</v>
      </c>
      <c r="C16" s="67" t="s">
        <v>130</v>
      </c>
      <c r="D16" s="67" t="s">
        <v>82</v>
      </c>
      <c r="E16" s="67" t="s">
        <v>81</v>
      </c>
      <c r="F16" s="67" t="s">
        <v>63</v>
      </c>
      <c r="G16" s="71">
        <v>46098</v>
      </c>
      <c r="H16" s="73">
        <v>0.28999999999999998</v>
      </c>
      <c r="I16" s="75">
        <f>IFERROR(VLOOKUP(F16,Inputs!$D$4:$E$11,2,FALSE),0)</f>
        <v>0.2</v>
      </c>
      <c r="J16" s="73">
        <f t="shared" si="0"/>
        <v>5.7999999999999996E-2</v>
      </c>
      <c r="K16" s="77">
        <v>60</v>
      </c>
      <c r="L16" s="77">
        <f>IFERROR(VLOOKUP(F16,Inputs!$D$4:$F$11,3,FALSE),0)</f>
        <v>21</v>
      </c>
      <c r="M16" s="79" t="str">
        <f t="shared" si="1"/>
        <v>Aged</v>
      </c>
      <c r="N16" s="69" t="str">
        <f>IF(AND(G16&gt;=Inputs!$B$4,G16&lt;=Inputs!$B$5),"In Quarter","Out Quarter")</f>
        <v>In Quarter</v>
      </c>
      <c r="O16" s="69" t="s">
        <v>110</v>
      </c>
      <c r="P16" s="69" t="s">
        <v>140</v>
      </c>
      <c r="Q16" s="79" t="str">
        <f t="shared" si="2"/>
        <v>High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66" t="s">
        <v>141</v>
      </c>
      <c r="B17" s="66" t="s">
        <v>113</v>
      </c>
      <c r="C17" s="66" t="s">
        <v>109</v>
      </c>
      <c r="D17" s="66" t="s">
        <v>82</v>
      </c>
      <c r="E17" s="66" t="s">
        <v>81</v>
      </c>
      <c r="F17" s="66" t="s">
        <v>84</v>
      </c>
      <c r="G17" s="70">
        <v>46057</v>
      </c>
      <c r="H17" s="72">
        <v>0.2</v>
      </c>
      <c r="I17" s="74">
        <f>IFERROR(VLOOKUP(F17,Inputs!$D$4:$E$11,2,FALSE),0)</f>
        <v>0</v>
      </c>
      <c r="J17" s="72">
        <f t="shared" si="0"/>
        <v>0</v>
      </c>
      <c r="K17" s="76">
        <v>34</v>
      </c>
      <c r="L17" s="76">
        <f>IFERROR(VLOOKUP(F17,Inputs!$D$4:$F$11,3,FALSE),0)</f>
        <v>999</v>
      </c>
      <c r="M17" s="68" t="str">
        <f t="shared" si="1"/>
        <v>Healthy</v>
      </c>
      <c r="N17" s="68" t="str">
        <f>IF(AND(G17&gt;=Inputs!$B$4,G17&lt;=Inputs!$B$5),"In Quarter","Out Quarter")</f>
        <v>In Quarter</v>
      </c>
      <c r="O17" s="68" t="s">
        <v>118</v>
      </c>
      <c r="P17" s="68" t="s">
        <v>140</v>
      </c>
      <c r="Q17" s="68" t="str">
        <f t="shared" si="2"/>
        <v>Low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67" t="s">
        <v>142</v>
      </c>
      <c r="B18" s="67" t="s">
        <v>143</v>
      </c>
      <c r="C18" s="67" t="s">
        <v>114</v>
      </c>
      <c r="D18" s="67" t="s">
        <v>69</v>
      </c>
      <c r="E18" s="67" t="s">
        <v>68</v>
      </c>
      <c r="F18" s="67" t="s">
        <v>80</v>
      </c>
      <c r="G18" s="71">
        <v>46061</v>
      </c>
      <c r="H18" s="73">
        <v>0.3</v>
      </c>
      <c r="I18" s="75">
        <f>IFERROR(VLOOKUP(F18,Inputs!$D$4:$E$11,2,FALSE),0)</f>
        <v>1</v>
      </c>
      <c r="J18" s="73">
        <f t="shared" si="0"/>
        <v>0.3</v>
      </c>
      <c r="K18" s="77">
        <v>52</v>
      </c>
      <c r="L18" s="77">
        <f>IFERROR(VLOOKUP(F18,Inputs!$D$4:$F$11,3,FALSE),0)</f>
        <v>999</v>
      </c>
      <c r="M18" s="69" t="str">
        <f t="shared" si="1"/>
        <v>Healthy</v>
      </c>
      <c r="N18" s="69" t="str">
        <f>IF(AND(G18&gt;=Inputs!$B$4,G18&lt;=Inputs!$B$5),"In Quarter","Out Quarter")</f>
        <v>In Quarter</v>
      </c>
      <c r="O18" s="69" t="s">
        <v>118</v>
      </c>
      <c r="P18" s="69" t="s">
        <v>125</v>
      </c>
      <c r="Q18" s="80" t="str">
        <f t="shared" si="2"/>
        <v>Medium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66" t="s">
        <v>144</v>
      </c>
      <c r="B19" s="66" t="s">
        <v>137</v>
      </c>
      <c r="C19" s="66" t="s">
        <v>130</v>
      </c>
      <c r="D19" s="66" t="s">
        <v>61</v>
      </c>
      <c r="E19" s="66" t="s">
        <v>60</v>
      </c>
      <c r="F19" s="66" t="s">
        <v>84</v>
      </c>
      <c r="G19" s="70">
        <v>46086</v>
      </c>
      <c r="H19" s="72">
        <v>0.77</v>
      </c>
      <c r="I19" s="74">
        <f>IFERROR(VLOOKUP(F19,Inputs!$D$4:$E$11,2,FALSE),0)</f>
        <v>0</v>
      </c>
      <c r="J19" s="72">
        <f t="shared" si="0"/>
        <v>0</v>
      </c>
      <c r="K19" s="76">
        <v>55</v>
      </c>
      <c r="L19" s="76">
        <f>IFERROR(VLOOKUP(F19,Inputs!$D$4:$F$11,3,FALSE),0)</f>
        <v>999</v>
      </c>
      <c r="M19" s="68" t="str">
        <f t="shared" si="1"/>
        <v>Healthy</v>
      </c>
      <c r="N19" s="68" t="str">
        <f>IF(AND(G19&gt;=Inputs!$B$4,G19&lt;=Inputs!$B$5),"In Quarter","Out Quarter")</f>
        <v>In Quarter</v>
      </c>
      <c r="O19" s="68" t="s">
        <v>118</v>
      </c>
      <c r="P19" s="68" t="s">
        <v>140</v>
      </c>
      <c r="Q19" s="68" t="str">
        <f t="shared" si="2"/>
        <v>Low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67" t="s">
        <v>145</v>
      </c>
      <c r="B20" s="67" t="s">
        <v>146</v>
      </c>
      <c r="C20" s="67" t="s">
        <v>109</v>
      </c>
      <c r="D20" s="67" t="s">
        <v>82</v>
      </c>
      <c r="E20" s="67" t="s">
        <v>81</v>
      </c>
      <c r="F20" s="67" t="s">
        <v>59</v>
      </c>
      <c r="G20" s="71">
        <v>46035</v>
      </c>
      <c r="H20" s="73">
        <v>0.23</v>
      </c>
      <c r="I20" s="75">
        <f>IFERROR(VLOOKUP(F20,Inputs!$D$4:$E$11,2,FALSE),0)</f>
        <v>0.1</v>
      </c>
      <c r="J20" s="73">
        <f t="shared" si="0"/>
        <v>2.3000000000000003E-2</v>
      </c>
      <c r="K20" s="77">
        <v>61</v>
      </c>
      <c r="L20" s="77">
        <f>IFERROR(VLOOKUP(F20,Inputs!$D$4:$F$11,3,FALSE),0)</f>
        <v>21</v>
      </c>
      <c r="M20" s="79" t="str">
        <f t="shared" si="1"/>
        <v>Aged</v>
      </c>
      <c r="N20" s="69" t="str">
        <f>IF(AND(G20&gt;=Inputs!$B$4,G20&lt;=Inputs!$B$5),"In Quarter","Out Quarter")</f>
        <v>In Quarter</v>
      </c>
      <c r="O20" s="69" t="s">
        <v>124</v>
      </c>
      <c r="P20" s="69" t="s">
        <v>115</v>
      </c>
      <c r="Q20" s="79" t="str">
        <f t="shared" si="2"/>
        <v>High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66" t="s">
        <v>147</v>
      </c>
      <c r="B21" s="66" t="s">
        <v>133</v>
      </c>
      <c r="C21" s="66" t="s">
        <v>109</v>
      </c>
      <c r="D21" s="66" t="s">
        <v>61</v>
      </c>
      <c r="E21" s="66" t="s">
        <v>60</v>
      </c>
      <c r="F21" s="66" t="s">
        <v>59</v>
      </c>
      <c r="G21" s="70">
        <v>46100</v>
      </c>
      <c r="H21" s="72">
        <v>1.23</v>
      </c>
      <c r="I21" s="74">
        <f>IFERROR(VLOOKUP(F21,Inputs!$D$4:$E$11,2,FALSE),0)</f>
        <v>0.1</v>
      </c>
      <c r="J21" s="72">
        <f t="shared" si="0"/>
        <v>0.123</v>
      </c>
      <c r="K21" s="76">
        <v>8</v>
      </c>
      <c r="L21" s="76">
        <f>IFERROR(VLOOKUP(F21,Inputs!$D$4:$F$11,3,FALSE),0)</f>
        <v>21</v>
      </c>
      <c r="M21" s="68" t="str">
        <f t="shared" si="1"/>
        <v>Healthy</v>
      </c>
      <c r="N21" s="68" t="str">
        <f>IF(AND(G21&gt;=Inputs!$B$4,G21&lt;=Inputs!$B$5),"In Quarter","Out Quarter")</f>
        <v>In Quarter</v>
      </c>
      <c r="O21" s="68" t="s">
        <v>110</v>
      </c>
      <c r="P21" s="68" t="s">
        <v>140</v>
      </c>
      <c r="Q21" s="68" t="str">
        <f t="shared" si="2"/>
        <v>Low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67" t="s">
        <v>148</v>
      </c>
      <c r="B22" s="67" t="s">
        <v>149</v>
      </c>
      <c r="C22" s="67" t="s">
        <v>130</v>
      </c>
      <c r="D22" s="67" t="s">
        <v>65</v>
      </c>
      <c r="E22" s="67" t="s">
        <v>75</v>
      </c>
      <c r="F22" s="67" t="s">
        <v>63</v>
      </c>
      <c r="G22" s="71">
        <v>46072</v>
      </c>
      <c r="H22" s="73">
        <v>0.54</v>
      </c>
      <c r="I22" s="75">
        <f>IFERROR(VLOOKUP(F22,Inputs!$D$4:$E$11,2,FALSE),0)</f>
        <v>0.2</v>
      </c>
      <c r="J22" s="73">
        <f t="shared" si="0"/>
        <v>0.10800000000000001</v>
      </c>
      <c r="K22" s="77">
        <v>19</v>
      </c>
      <c r="L22" s="77">
        <f>IFERROR(VLOOKUP(F22,Inputs!$D$4:$F$11,3,FALSE),0)</f>
        <v>21</v>
      </c>
      <c r="M22" s="69" t="str">
        <f t="shared" si="1"/>
        <v>Healthy</v>
      </c>
      <c r="N22" s="69" t="str">
        <f>IF(AND(G22&gt;=Inputs!$B$4,G22&lt;=Inputs!$B$5),"In Quarter","Out Quarter")</f>
        <v>In Quarter</v>
      </c>
      <c r="O22" s="69" t="s">
        <v>124</v>
      </c>
      <c r="P22" s="69" t="s">
        <v>140</v>
      </c>
      <c r="Q22" s="69" t="str">
        <f t="shared" si="2"/>
        <v>Low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66" t="s">
        <v>150</v>
      </c>
      <c r="B23" s="66" t="s">
        <v>146</v>
      </c>
      <c r="C23" s="66" t="s">
        <v>114</v>
      </c>
      <c r="D23" s="66" t="s">
        <v>69</v>
      </c>
      <c r="E23" s="66" t="s">
        <v>68</v>
      </c>
      <c r="F23" s="66" t="s">
        <v>67</v>
      </c>
      <c r="G23" s="70">
        <v>46041</v>
      </c>
      <c r="H23" s="72">
        <v>0.66</v>
      </c>
      <c r="I23" s="74">
        <f>IFERROR(VLOOKUP(F23,Inputs!$D$4:$E$11,2,FALSE),0)</f>
        <v>0.3</v>
      </c>
      <c r="J23" s="72">
        <f t="shared" si="0"/>
        <v>0.19800000000000001</v>
      </c>
      <c r="K23" s="76">
        <v>66</v>
      </c>
      <c r="L23" s="76">
        <f>IFERROR(VLOOKUP(F23,Inputs!$D$4:$F$11,3,FALSE),0)</f>
        <v>28</v>
      </c>
      <c r="M23" s="78" t="str">
        <f t="shared" si="1"/>
        <v>Aged</v>
      </c>
      <c r="N23" s="68" t="str">
        <f>IF(AND(G23&gt;=Inputs!$B$4,G23&lt;=Inputs!$B$5),"In Quarter","Out Quarter")</f>
        <v>In Quarter</v>
      </c>
      <c r="O23" s="68" t="s">
        <v>151</v>
      </c>
      <c r="P23" s="68" t="s">
        <v>111</v>
      </c>
      <c r="Q23" s="78" t="str">
        <f t="shared" si="2"/>
        <v>High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67" t="s">
        <v>152</v>
      </c>
      <c r="B24" s="67" t="s">
        <v>133</v>
      </c>
      <c r="C24" s="67" t="s">
        <v>114</v>
      </c>
      <c r="D24" s="67" t="s">
        <v>69</v>
      </c>
      <c r="E24" s="67" t="s">
        <v>78</v>
      </c>
      <c r="F24" s="67" t="s">
        <v>84</v>
      </c>
      <c r="G24" s="71">
        <v>46046</v>
      </c>
      <c r="H24" s="73">
        <v>0.61</v>
      </c>
      <c r="I24" s="75">
        <f>IFERROR(VLOOKUP(F24,Inputs!$D$4:$E$11,2,FALSE),0)</f>
        <v>0</v>
      </c>
      <c r="J24" s="73">
        <f t="shared" si="0"/>
        <v>0</v>
      </c>
      <c r="K24" s="77">
        <v>43</v>
      </c>
      <c r="L24" s="77">
        <f>IFERROR(VLOOKUP(F24,Inputs!$D$4:$F$11,3,FALSE),0)</f>
        <v>999</v>
      </c>
      <c r="M24" s="69" t="str">
        <f t="shared" si="1"/>
        <v>Healthy</v>
      </c>
      <c r="N24" s="69" t="str">
        <f>IF(AND(G24&gt;=Inputs!$B$4,G24&lt;=Inputs!$B$5),"In Quarter","Out Quarter")</f>
        <v>In Quarter</v>
      </c>
      <c r="O24" s="69" t="s">
        <v>118</v>
      </c>
      <c r="P24" s="69" t="s">
        <v>125</v>
      </c>
      <c r="Q24" s="69" t="str">
        <f t="shared" si="2"/>
        <v>Low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66" t="s">
        <v>153</v>
      </c>
      <c r="B25" s="66" t="s">
        <v>127</v>
      </c>
      <c r="C25" s="66" t="s">
        <v>114</v>
      </c>
      <c r="D25" s="66" t="s">
        <v>69</v>
      </c>
      <c r="E25" s="66" t="s">
        <v>68</v>
      </c>
      <c r="F25" s="66" t="s">
        <v>71</v>
      </c>
      <c r="G25" s="70">
        <v>46073</v>
      </c>
      <c r="H25" s="72">
        <v>0.67</v>
      </c>
      <c r="I25" s="74">
        <f>IFERROR(VLOOKUP(F25,Inputs!$D$4:$E$11,2,FALSE),0)</f>
        <v>0.45</v>
      </c>
      <c r="J25" s="72">
        <f t="shared" si="0"/>
        <v>0.30150000000000005</v>
      </c>
      <c r="K25" s="76">
        <v>69</v>
      </c>
      <c r="L25" s="76">
        <f>IFERROR(VLOOKUP(F25,Inputs!$D$4:$F$11,3,FALSE),0)</f>
        <v>30</v>
      </c>
      <c r="M25" s="78" t="str">
        <f t="shared" si="1"/>
        <v>Aged</v>
      </c>
      <c r="N25" s="68" t="str">
        <f>IF(AND(G25&gt;=Inputs!$B$4,G25&lt;=Inputs!$B$5),"In Quarter","Out Quarter")</f>
        <v>In Quarter</v>
      </c>
      <c r="O25" s="68" t="s">
        <v>151</v>
      </c>
      <c r="P25" s="68" t="s">
        <v>115</v>
      </c>
      <c r="Q25" s="78" t="str">
        <f t="shared" si="2"/>
        <v>High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67" t="s">
        <v>154</v>
      </c>
      <c r="B26" s="67" t="s">
        <v>155</v>
      </c>
      <c r="C26" s="67" t="s">
        <v>114</v>
      </c>
      <c r="D26" s="67" t="s">
        <v>61</v>
      </c>
      <c r="E26" s="67" t="s">
        <v>72</v>
      </c>
      <c r="F26" s="67" t="s">
        <v>77</v>
      </c>
      <c r="G26" s="71">
        <v>46131</v>
      </c>
      <c r="H26" s="73">
        <v>0.26</v>
      </c>
      <c r="I26" s="75">
        <f>IFERROR(VLOOKUP(F26,Inputs!$D$4:$E$11,2,FALSE),0)</f>
        <v>0.85</v>
      </c>
      <c r="J26" s="73">
        <f t="shared" si="0"/>
        <v>0.221</v>
      </c>
      <c r="K26" s="77">
        <v>34</v>
      </c>
      <c r="L26" s="77">
        <f>IFERROR(VLOOKUP(F26,Inputs!$D$4:$F$11,3,FALSE),0)</f>
        <v>14</v>
      </c>
      <c r="M26" s="79" t="str">
        <f t="shared" si="1"/>
        <v>Aged</v>
      </c>
      <c r="N26" s="69" t="str">
        <f>IF(AND(G26&gt;=Inputs!$B$4,G26&lt;=Inputs!$B$5),"In Quarter","Out Quarter")</f>
        <v>Out Quarter</v>
      </c>
      <c r="O26" s="69" t="s">
        <v>124</v>
      </c>
      <c r="P26" s="69" t="s">
        <v>125</v>
      </c>
      <c r="Q26" s="79" t="str">
        <f t="shared" si="2"/>
        <v>High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6" t="s">
        <v>156</v>
      </c>
      <c r="B27" s="66" t="s">
        <v>123</v>
      </c>
      <c r="C27" s="66" t="s">
        <v>114</v>
      </c>
      <c r="D27" s="66" t="s">
        <v>61</v>
      </c>
      <c r="E27" s="66" t="s">
        <v>60</v>
      </c>
      <c r="F27" s="66" t="s">
        <v>74</v>
      </c>
      <c r="G27" s="70">
        <v>46129</v>
      </c>
      <c r="H27" s="72">
        <v>0.3</v>
      </c>
      <c r="I27" s="74">
        <f>IFERROR(VLOOKUP(F27,Inputs!$D$4:$E$11,2,FALSE),0)</f>
        <v>0.65</v>
      </c>
      <c r="J27" s="72">
        <f t="shared" si="0"/>
        <v>0.19500000000000001</v>
      </c>
      <c r="K27" s="76">
        <v>49</v>
      </c>
      <c r="L27" s="76">
        <f>IFERROR(VLOOKUP(F27,Inputs!$D$4:$F$11,3,FALSE),0)</f>
        <v>21</v>
      </c>
      <c r="M27" s="78" t="str">
        <f t="shared" si="1"/>
        <v>Aged</v>
      </c>
      <c r="N27" s="68" t="str">
        <f>IF(AND(G27&gt;=Inputs!$B$4,G27&lt;=Inputs!$B$5),"In Quarter","Out Quarter")</f>
        <v>Out Quarter</v>
      </c>
      <c r="O27" s="68" t="s">
        <v>124</v>
      </c>
      <c r="P27" s="68" t="s">
        <v>125</v>
      </c>
      <c r="Q27" s="78" t="str">
        <f t="shared" si="2"/>
        <v>High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7" t="s">
        <v>157</v>
      </c>
      <c r="B28" s="67" t="s">
        <v>143</v>
      </c>
      <c r="C28" s="67" t="s">
        <v>114</v>
      </c>
      <c r="D28" s="67" t="s">
        <v>65</v>
      </c>
      <c r="E28" s="67" t="s">
        <v>64</v>
      </c>
      <c r="F28" s="67" t="s">
        <v>59</v>
      </c>
      <c r="G28" s="71">
        <v>46057</v>
      </c>
      <c r="H28" s="73">
        <v>0.44</v>
      </c>
      <c r="I28" s="75">
        <f>IFERROR(VLOOKUP(F28,Inputs!$D$4:$E$11,2,FALSE),0)</f>
        <v>0.1</v>
      </c>
      <c r="J28" s="73">
        <f t="shared" si="0"/>
        <v>4.4000000000000004E-2</v>
      </c>
      <c r="K28" s="77">
        <v>66</v>
      </c>
      <c r="L28" s="77">
        <f>IFERROR(VLOOKUP(F28,Inputs!$D$4:$F$11,3,FALSE),0)</f>
        <v>21</v>
      </c>
      <c r="M28" s="79" t="str">
        <f t="shared" si="1"/>
        <v>Aged</v>
      </c>
      <c r="N28" s="69" t="str">
        <f>IF(AND(G28&gt;=Inputs!$B$4,G28&lt;=Inputs!$B$5),"In Quarter","Out Quarter")</f>
        <v>In Quarter</v>
      </c>
      <c r="O28" s="69" t="s">
        <v>151</v>
      </c>
      <c r="P28" s="69" t="s">
        <v>140</v>
      </c>
      <c r="Q28" s="79" t="str">
        <f t="shared" si="2"/>
        <v>High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66" t="s">
        <v>158</v>
      </c>
      <c r="B29" s="66" t="s">
        <v>137</v>
      </c>
      <c r="C29" s="66" t="s">
        <v>114</v>
      </c>
      <c r="D29" s="66" t="s">
        <v>69</v>
      </c>
      <c r="E29" s="66" t="s">
        <v>78</v>
      </c>
      <c r="F29" s="66" t="s">
        <v>84</v>
      </c>
      <c r="G29" s="70">
        <v>46130</v>
      </c>
      <c r="H29" s="72">
        <v>0.57999999999999996</v>
      </c>
      <c r="I29" s="74">
        <f>IFERROR(VLOOKUP(F29,Inputs!$D$4:$E$11,2,FALSE),0)</f>
        <v>0</v>
      </c>
      <c r="J29" s="72">
        <f t="shared" si="0"/>
        <v>0</v>
      </c>
      <c r="K29" s="76">
        <v>20</v>
      </c>
      <c r="L29" s="76">
        <f>IFERROR(VLOOKUP(F29,Inputs!$D$4:$F$11,3,FALSE),0)</f>
        <v>999</v>
      </c>
      <c r="M29" s="68" t="str">
        <f t="shared" si="1"/>
        <v>Healthy</v>
      </c>
      <c r="N29" s="68" t="str">
        <f>IF(AND(G29&gt;=Inputs!$B$4,G29&lt;=Inputs!$B$5),"In Quarter","Out Quarter")</f>
        <v>Out Quarter</v>
      </c>
      <c r="O29" s="68" t="s">
        <v>118</v>
      </c>
      <c r="P29" s="68" t="s">
        <v>111</v>
      </c>
      <c r="Q29" s="68" t="str">
        <f t="shared" si="2"/>
        <v>Low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67" t="s">
        <v>159</v>
      </c>
      <c r="B30" s="67" t="s">
        <v>123</v>
      </c>
      <c r="C30" s="67" t="s">
        <v>130</v>
      </c>
      <c r="D30" s="67" t="s">
        <v>69</v>
      </c>
      <c r="E30" s="67" t="s">
        <v>68</v>
      </c>
      <c r="F30" s="67" t="s">
        <v>71</v>
      </c>
      <c r="G30" s="71">
        <v>46083</v>
      </c>
      <c r="H30" s="73">
        <v>0.69</v>
      </c>
      <c r="I30" s="75">
        <f>IFERROR(VLOOKUP(F30,Inputs!$D$4:$E$11,2,FALSE),0)</f>
        <v>0.45</v>
      </c>
      <c r="J30" s="73">
        <f t="shared" si="0"/>
        <v>0.3105</v>
      </c>
      <c r="K30" s="77">
        <v>55</v>
      </c>
      <c r="L30" s="77">
        <f>IFERROR(VLOOKUP(F30,Inputs!$D$4:$F$11,3,FALSE),0)</f>
        <v>30</v>
      </c>
      <c r="M30" s="79" t="str">
        <f t="shared" si="1"/>
        <v>Aged</v>
      </c>
      <c r="N30" s="69" t="str">
        <f>IF(AND(G30&gt;=Inputs!$B$4,G30&lt;=Inputs!$B$5),"In Quarter","Out Quarter")</f>
        <v>In Quarter</v>
      </c>
      <c r="O30" s="69" t="s">
        <v>110</v>
      </c>
      <c r="P30" s="69" t="s">
        <v>121</v>
      </c>
      <c r="Q30" s="79" t="str">
        <f t="shared" si="2"/>
        <v>High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66" t="s">
        <v>160</v>
      </c>
      <c r="B31" s="66" t="s">
        <v>129</v>
      </c>
      <c r="C31" s="66" t="s">
        <v>114</v>
      </c>
      <c r="D31" s="66" t="s">
        <v>69</v>
      </c>
      <c r="E31" s="66" t="s">
        <v>68</v>
      </c>
      <c r="F31" s="66" t="s">
        <v>74</v>
      </c>
      <c r="G31" s="70">
        <v>46044</v>
      </c>
      <c r="H31" s="72">
        <v>0.1</v>
      </c>
      <c r="I31" s="74">
        <f>IFERROR(VLOOKUP(F31,Inputs!$D$4:$E$11,2,FALSE),0)</f>
        <v>0.65</v>
      </c>
      <c r="J31" s="72">
        <f t="shared" si="0"/>
        <v>6.5000000000000002E-2</v>
      </c>
      <c r="K31" s="76">
        <v>64</v>
      </c>
      <c r="L31" s="76">
        <f>IFERROR(VLOOKUP(F31,Inputs!$D$4:$F$11,3,FALSE),0)</f>
        <v>21</v>
      </c>
      <c r="M31" s="78" t="str">
        <f t="shared" si="1"/>
        <v>Aged</v>
      </c>
      <c r="N31" s="68" t="str">
        <f>IF(AND(G31&gt;=Inputs!$B$4,G31&lt;=Inputs!$B$5),"In Quarter","Out Quarter")</f>
        <v>In Quarter</v>
      </c>
      <c r="O31" s="68" t="s">
        <v>110</v>
      </c>
      <c r="P31" s="68" t="s">
        <v>140</v>
      </c>
      <c r="Q31" s="78" t="str">
        <f t="shared" si="2"/>
        <v>High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67" t="s">
        <v>161</v>
      </c>
      <c r="B32" s="67" t="s">
        <v>162</v>
      </c>
      <c r="C32" s="67" t="s">
        <v>114</v>
      </c>
      <c r="D32" s="67" t="s">
        <v>69</v>
      </c>
      <c r="E32" s="67" t="s">
        <v>78</v>
      </c>
      <c r="F32" s="67" t="s">
        <v>74</v>
      </c>
      <c r="G32" s="71">
        <v>46047</v>
      </c>
      <c r="H32" s="73">
        <v>0.5</v>
      </c>
      <c r="I32" s="75">
        <f>IFERROR(VLOOKUP(F32,Inputs!$D$4:$E$11,2,FALSE),0)</f>
        <v>0.65</v>
      </c>
      <c r="J32" s="73">
        <f t="shared" si="0"/>
        <v>0.32500000000000001</v>
      </c>
      <c r="K32" s="77">
        <v>6</v>
      </c>
      <c r="L32" s="77">
        <f>IFERROR(VLOOKUP(F32,Inputs!$D$4:$F$11,3,FALSE),0)</f>
        <v>21</v>
      </c>
      <c r="M32" s="69" t="str">
        <f t="shared" si="1"/>
        <v>Healthy</v>
      </c>
      <c r="N32" s="69" t="str">
        <f>IF(AND(G32&gt;=Inputs!$B$4,G32&lt;=Inputs!$B$5),"In Quarter","Out Quarter")</f>
        <v>In Quarter</v>
      </c>
      <c r="O32" s="69" t="s">
        <v>110</v>
      </c>
      <c r="P32" s="69" t="s">
        <v>111</v>
      </c>
      <c r="Q32" s="80" t="str">
        <f t="shared" si="2"/>
        <v>Medium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66" t="s">
        <v>163</v>
      </c>
      <c r="B33" s="66" t="s">
        <v>113</v>
      </c>
      <c r="C33" s="66" t="s">
        <v>114</v>
      </c>
      <c r="D33" s="66" t="s">
        <v>61</v>
      </c>
      <c r="E33" s="66" t="s">
        <v>72</v>
      </c>
      <c r="F33" s="66" t="s">
        <v>67</v>
      </c>
      <c r="G33" s="70">
        <v>46133</v>
      </c>
      <c r="H33" s="72">
        <v>1.0900000000000001</v>
      </c>
      <c r="I33" s="74">
        <f>IFERROR(VLOOKUP(F33,Inputs!$D$4:$E$11,2,FALSE),0)</f>
        <v>0.3</v>
      </c>
      <c r="J33" s="72">
        <f t="shared" si="0"/>
        <v>0.32700000000000001</v>
      </c>
      <c r="K33" s="76">
        <v>69</v>
      </c>
      <c r="L33" s="76">
        <f>IFERROR(VLOOKUP(F33,Inputs!$D$4:$F$11,3,FALSE),0)</f>
        <v>28</v>
      </c>
      <c r="M33" s="78" t="str">
        <f t="shared" si="1"/>
        <v>Aged</v>
      </c>
      <c r="N33" s="68" t="str">
        <f>IF(AND(G33&gt;=Inputs!$B$4,G33&lt;=Inputs!$B$5),"In Quarter","Out Quarter")</f>
        <v>Out Quarter</v>
      </c>
      <c r="O33" s="68" t="s">
        <v>124</v>
      </c>
      <c r="P33" s="68" t="s">
        <v>125</v>
      </c>
      <c r="Q33" s="78" t="str">
        <f t="shared" si="2"/>
        <v>High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67" t="s">
        <v>164</v>
      </c>
      <c r="B34" s="67" t="s">
        <v>108</v>
      </c>
      <c r="C34" s="67" t="s">
        <v>114</v>
      </c>
      <c r="D34" s="67" t="s">
        <v>69</v>
      </c>
      <c r="E34" s="67" t="s">
        <v>68</v>
      </c>
      <c r="F34" s="67" t="s">
        <v>71</v>
      </c>
      <c r="G34" s="71">
        <v>46035</v>
      </c>
      <c r="H34" s="73">
        <v>0.78</v>
      </c>
      <c r="I34" s="75">
        <f>IFERROR(VLOOKUP(F34,Inputs!$D$4:$E$11,2,FALSE),0)</f>
        <v>0.45</v>
      </c>
      <c r="J34" s="73">
        <f t="shared" si="0"/>
        <v>0.35100000000000003</v>
      </c>
      <c r="K34" s="77">
        <v>63</v>
      </c>
      <c r="L34" s="77">
        <f>IFERROR(VLOOKUP(F34,Inputs!$D$4:$F$11,3,FALSE),0)</f>
        <v>30</v>
      </c>
      <c r="M34" s="79" t="str">
        <f t="shared" si="1"/>
        <v>Aged</v>
      </c>
      <c r="N34" s="69" t="str">
        <f>IF(AND(G34&gt;=Inputs!$B$4,G34&lt;=Inputs!$B$5),"In Quarter","Out Quarter")</f>
        <v>In Quarter</v>
      </c>
      <c r="O34" s="69" t="s">
        <v>124</v>
      </c>
      <c r="P34" s="69" t="s">
        <v>115</v>
      </c>
      <c r="Q34" s="79" t="str">
        <f t="shared" si="2"/>
        <v>High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66" t="s">
        <v>165</v>
      </c>
      <c r="B35" s="66" t="s">
        <v>143</v>
      </c>
      <c r="C35" s="66" t="s">
        <v>109</v>
      </c>
      <c r="D35" s="66" t="s">
        <v>69</v>
      </c>
      <c r="E35" s="66" t="s">
        <v>68</v>
      </c>
      <c r="F35" s="66" t="s">
        <v>63</v>
      </c>
      <c r="G35" s="70">
        <v>46095</v>
      </c>
      <c r="H35" s="72">
        <v>0.47</v>
      </c>
      <c r="I35" s="74">
        <f>IFERROR(VLOOKUP(F35,Inputs!$D$4:$E$11,2,FALSE),0)</f>
        <v>0.2</v>
      </c>
      <c r="J35" s="72">
        <f t="shared" si="0"/>
        <v>9.4E-2</v>
      </c>
      <c r="K35" s="76">
        <v>28</v>
      </c>
      <c r="L35" s="76">
        <f>IFERROR(VLOOKUP(F35,Inputs!$D$4:$F$11,3,FALSE),0)</f>
        <v>21</v>
      </c>
      <c r="M35" s="78" t="str">
        <f t="shared" si="1"/>
        <v>Aged</v>
      </c>
      <c r="N35" s="68" t="str">
        <f>IF(AND(G35&gt;=Inputs!$B$4,G35&lt;=Inputs!$B$5),"In Quarter","Out Quarter")</f>
        <v>In Quarter</v>
      </c>
      <c r="O35" s="68" t="s">
        <v>151</v>
      </c>
      <c r="P35" s="68" t="s">
        <v>111</v>
      </c>
      <c r="Q35" s="78" t="str">
        <f t="shared" si="2"/>
        <v>High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67" t="s">
        <v>166</v>
      </c>
      <c r="B36" s="67" t="s">
        <v>162</v>
      </c>
      <c r="C36" s="67" t="s">
        <v>114</v>
      </c>
      <c r="D36" s="67" t="s">
        <v>65</v>
      </c>
      <c r="E36" s="67" t="s">
        <v>64</v>
      </c>
      <c r="F36" s="67" t="s">
        <v>63</v>
      </c>
      <c r="G36" s="71">
        <v>46099</v>
      </c>
      <c r="H36" s="73">
        <v>0.13</v>
      </c>
      <c r="I36" s="75">
        <f>IFERROR(VLOOKUP(F36,Inputs!$D$4:$E$11,2,FALSE),0)</f>
        <v>0.2</v>
      </c>
      <c r="J36" s="73">
        <f t="shared" si="0"/>
        <v>2.6000000000000002E-2</v>
      </c>
      <c r="K36" s="77">
        <v>66</v>
      </c>
      <c r="L36" s="77">
        <f>IFERROR(VLOOKUP(F36,Inputs!$D$4:$F$11,3,FALSE),0)</f>
        <v>21</v>
      </c>
      <c r="M36" s="79" t="str">
        <f t="shared" si="1"/>
        <v>Aged</v>
      </c>
      <c r="N36" s="69" t="str">
        <f>IF(AND(G36&gt;=Inputs!$B$4,G36&lt;=Inputs!$B$5),"In Quarter","Out Quarter")</f>
        <v>In Quarter</v>
      </c>
      <c r="O36" s="69" t="s">
        <v>151</v>
      </c>
      <c r="P36" s="69" t="s">
        <v>111</v>
      </c>
      <c r="Q36" s="79" t="str">
        <f t="shared" si="2"/>
        <v>High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66" t="s">
        <v>167</v>
      </c>
      <c r="B37" s="66" t="s">
        <v>133</v>
      </c>
      <c r="C37" s="66" t="s">
        <v>130</v>
      </c>
      <c r="D37" s="66" t="s">
        <v>61</v>
      </c>
      <c r="E37" s="66" t="s">
        <v>60</v>
      </c>
      <c r="F37" s="66" t="s">
        <v>63</v>
      </c>
      <c r="G37" s="70">
        <v>46126</v>
      </c>
      <c r="H37" s="72">
        <v>0.16</v>
      </c>
      <c r="I37" s="74">
        <f>IFERROR(VLOOKUP(F37,Inputs!$D$4:$E$11,2,FALSE),0)</f>
        <v>0.2</v>
      </c>
      <c r="J37" s="72">
        <f t="shared" ref="J37:J68" si="3">H37*I37</f>
        <v>3.2000000000000001E-2</v>
      </c>
      <c r="K37" s="76">
        <v>8</v>
      </c>
      <c r="L37" s="76">
        <f>IFERROR(VLOOKUP(F37,Inputs!$D$4:$F$11,3,FALSE),0)</f>
        <v>21</v>
      </c>
      <c r="M37" s="68" t="str">
        <f t="shared" ref="M37:M68" si="4">IF(K37&gt;L37,"Aged","Healthy")</f>
        <v>Healthy</v>
      </c>
      <c r="N37" s="68" t="str">
        <f>IF(AND(G37&gt;=Inputs!$B$4,G37&lt;=Inputs!$B$5),"In Quarter","Out Quarter")</f>
        <v>Out Quarter</v>
      </c>
      <c r="O37" s="68" t="s">
        <v>124</v>
      </c>
      <c r="P37" s="68" t="s">
        <v>115</v>
      </c>
      <c r="Q37" s="68" t="str">
        <f t="shared" ref="Q37:Q68" si="5">IF(OR(M37="Aged",J37&gt;=0.4),"High",IF(J37&gt;=0.2,"Medium","Low"))</f>
        <v>Low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67" t="s">
        <v>168</v>
      </c>
      <c r="B38" s="67" t="s">
        <v>169</v>
      </c>
      <c r="C38" s="67" t="s">
        <v>109</v>
      </c>
      <c r="D38" s="67" t="s">
        <v>61</v>
      </c>
      <c r="E38" s="67" t="s">
        <v>72</v>
      </c>
      <c r="F38" s="67" t="s">
        <v>84</v>
      </c>
      <c r="G38" s="71">
        <v>46116</v>
      </c>
      <c r="H38" s="73">
        <v>0.28999999999999998</v>
      </c>
      <c r="I38" s="75">
        <f>IFERROR(VLOOKUP(F38,Inputs!$D$4:$E$11,2,FALSE),0)</f>
        <v>0</v>
      </c>
      <c r="J38" s="73">
        <f t="shared" si="3"/>
        <v>0</v>
      </c>
      <c r="K38" s="77">
        <v>66</v>
      </c>
      <c r="L38" s="77">
        <f>IFERROR(VLOOKUP(F38,Inputs!$D$4:$F$11,3,FALSE),0)</f>
        <v>999</v>
      </c>
      <c r="M38" s="69" t="str">
        <f t="shared" si="4"/>
        <v>Healthy</v>
      </c>
      <c r="N38" s="69" t="str">
        <f>IF(AND(G38&gt;=Inputs!$B$4,G38&lt;=Inputs!$B$5),"In Quarter","Out Quarter")</f>
        <v>Out Quarter</v>
      </c>
      <c r="O38" s="69" t="s">
        <v>118</v>
      </c>
      <c r="P38" s="69" t="s">
        <v>115</v>
      </c>
      <c r="Q38" s="69" t="str">
        <f t="shared" si="5"/>
        <v>Low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66" t="s">
        <v>170</v>
      </c>
      <c r="B39" s="66" t="s">
        <v>129</v>
      </c>
      <c r="C39" s="66" t="s">
        <v>130</v>
      </c>
      <c r="D39" s="66" t="s">
        <v>65</v>
      </c>
      <c r="E39" s="66" t="s">
        <v>75</v>
      </c>
      <c r="F39" s="66" t="s">
        <v>80</v>
      </c>
      <c r="G39" s="70">
        <v>46099</v>
      </c>
      <c r="H39" s="72">
        <v>0.77</v>
      </c>
      <c r="I39" s="74">
        <f>IFERROR(VLOOKUP(F39,Inputs!$D$4:$E$11,2,FALSE),0)</f>
        <v>1</v>
      </c>
      <c r="J39" s="72">
        <f t="shared" si="3"/>
        <v>0.77</v>
      </c>
      <c r="K39" s="76">
        <v>62</v>
      </c>
      <c r="L39" s="76">
        <f>IFERROR(VLOOKUP(F39,Inputs!$D$4:$F$11,3,FALSE),0)</f>
        <v>999</v>
      </c>
      <c r="M39" s="68" t="str">
        <f t="shared" si="4"/>
        <v>Healthy</v>
      </c>
      <c r="N39" s="68" t="str">
        <f>IF(AND(G39&gt;=Inputs!$B$4,G39&lt;=Inputs!$B$5),"In Quarter","Out Quarter")</f>
        <v>In Quarter</v>
      </c>
      <c r="O39" s="68" t="s">
        <v>118</v>
      </c>
      <c r="P39" s="68" t="s">
        <v>121</v>
      </c>
      <c r="Q39" s="78" t="str">
        <f t="shared" si="5"/>
        <v>High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67" t="s">
        <v>171</v>
      </c>
      <c r="B40" s="67" t="s">
        <v>172</v>
      </c>
      <c r="C40" s="67" t="s">
        <v>109</v>
      </c>
      <c r="D40" s="67" t="s">
        <v>69</v>
      </c>
      <c r="E40" s="67" t="s">
        <v>78</v>
      </c>
      <c r="F40" s="67" t="s">
        <v>67</v>
      </c>
      <c r="G40" s="71">
        <v>46037</v>
      </c>
      <c r="H40" s="73">
        <v>0.6</v>
      </c>
      <c r="I40" s="75">
        <f>IFERROR(VLOOKUP(F40,Inputs!$D$4:$E$11,2,FALSE),0)</f>
        <v>0.3</v>
      </c>
      <c r="J40" s="73">
        <f t="shared" si="3"/>
        <v>0.18</v>
      </c>
      <c r="K40" s="77">
        <v>32</v>
      </c>
      <c r="L40" s="77">
        <f>IFERROR(VLOOKUP(F40,Inputs!$D$4:$F$11,3,FALSE),0)</f>
        <v>28</v>
      </c>
      <c r="M40" s="79" t="str">
        <f t="shared" si="4"/>
        <v>Aged</v>
      </c>
      <c r="N40" s="69" t="str">
        <f>IF(AND(G40&gt;=Inputs!$B$4,G40&lt;=Inputs!$B$5),"In Quarter","Out Quarter")</f>
        <v>In Quarter</v>
      </c>
      <c r="O40" s="69" t="s">
        <v>151</v>
      </c>
      <c r="P40" s="69" t="s">
        <v>125</v>
      </c>
      <c r="Q40" s="79" t="str">
        <f t="shared" si="5"/>
        <v>High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66" t="s">
        <v>173</v>
      </c>
      <c r="B41" s="66" t="s">
        <v>149</v>
      </c>
      <c r="C41" s="66" t="s">
        <v>109</v>
      </c>
      <c r="D41" s="66" t="s">
        <v>69</v>
      </c>
      <c r="E41" s="66" t="s">
        <v>68</v>
      </c>
      <c r="F41" s="66" t="s">
        <v>63</v>
      </c>
      <c r="G41" s="70">
        <v>46087</v>
      </c>
      <c r="H41" s="72">
        <v>0.25</v>
      </c>
      <c r="I41" s="74">
        <f>IFERROR(VLOOKUP(F41,Inputs!$D$4:$E$11,2,FALSE),0)</f>
        <v>0.2</v>
      </c>
      <c r="J41" s="72">
        <f t="shared" si="3"/>
        <v>0.05</v>
      </c>
      <c r="K41" s="76">
        <v>55</v>
      </c>
      <c r="L41" s="76">
        <f>IFERROR(VLOOKUP(F41,Inputs!$D$4:$F$11,3,FALSE),0)</f>
        <v>21</v>
      </c>
      <c r="M41" s="78" t="str">
        <f t="shared" si="4"/>
        <v>Aged</v>
      </c>
      <c r="N41" s="68" t="str">
        <f>IF(AND(G41&gt;=Inputs!$B$4,G41&lt;=Inputs!$B$5),"In Quarter","Out Quarter")</f>
        <v>In Quarter</v>
      </c>
      <c r="O41" s="68" t="s">
        <v>110</v>
      </c>
      <c r="P41" s="68" t="s">
        <v>111</v>
      </c>
      <c r="Q41" s="78" t="str">
        <f t="shared" si="5"/>
        <v>High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67" t="s">
        <v>174</v>
      </c>
      <c r="B42" s="67" t="s">
        <v>127</v>
      </c>
      <c r="C42" s="67" t="s">
        <v>109</v>
      </c>
      <c r="D42" s="67" t="s">
        <v>82</v>
      </c>
      <c r="E42" s="67" t="s">
        <v>81</v>
      </c>
      <c r="F42" s="67" t="s">
        <v>63</v>
      </c>
      <c r="G42" s="71">
        <v>46093</v>
      </c>
      <c r="H42" s="73">
        <v>0.39</v>
      </c>
      <c r="I42" s="75">
        <f>IFERROR(VLOOKUP(F42,Inputs!$D$4:$E$11,2,FALSE),0)</f>
        <v>0.2</v>
      </c>
      <c r="J42" s="73">
        <f t="shared" si="3"/>
        <v>7.8000000000000014E-2</v>
      </c>
      <c r="K42" s="77">
        <v>50</v>
      </c>
      <c r="L42" s="77">
        <f>IFERROR(VLOOKUP(F42,Inputs!$D$4:$F$11,3,FALSE),0)</f>
        <v>21</v>
      </c>
      <c r="M42" s="79" t="str">
        <f t="shared" si="4"/>
        <v>Aged</v>
      </c>
      <c r="N42" s="69" t="str">
        <f>IF(AND(G42&gt;=Inputs!$B$4,G42&lt;=Inputs!$B$5),"In Quarter","Out Quarter")</f>
        <v>In Quarter</v>
      </c>
      <c r="O42" s="69" t="s">
        <v>110</v>
      </c>
      <c r="P42" s="69" t="s">
        <v>125</v>
      </c>
      <c r="Q42" s="79" t="str">
        <f t="shared" si="5"/>
        <v>High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66" t="s">
        <v>175</v>
      </c>
      <c r="B43" s="66" t="s">
        <v>169</v>
      </c>
      <c r="C43" s="66" t="s">
        <v>109</v>
      </c>
      <c r="D43" s="66" t="s">
        <v>82</v>
      </c>
      <c r="E43" s="66" t="s">
        <v>85</v>
      </c>
      <c r="F43" s="66" t="s">
        <v>59</v>
      </c>
      <c r="G43" s="70">
        <v>46084</v>
      </c>
      <c r="H43" s="72">
        <v>0.62</v>
      </c>
      <c r="I43" s="74">
        <f>IFERROR(VLOOKUP(F43,Inputs!$D$4:$E$11,2,FALSE),0)</f>
        <v>0.1</v>
      </c>
      <c r="J43" s="72">
        <f t="shared" si="3"/>
        <v>6.2E-2</v>
      </c>
      <c r="K43" s="76">
        <v>42</v>
      </c>
      <c r="L43" s="76">
        <f>IFERROR(VLOOKUP(F43,Inputs!$D$4:$F$11,3,FALSE),0)</f>
        <v>21</v>
      </c>
      <c r="M43" s="78" t="str">
        <f t="shared" si="4"/>
        <v>Aged</v>
      </c>
      <c r="N43" s="68" t="str">
        <f>IF(AND(G43&gt;=Inputs!$B$4,G43&lt;=Inputs!$B$5),"In Quarter","Out Quarter")</f>
        <v>In Quarter</v>
      </c>
      <c r="O43" s="68" t="s">
        <v>151</v>
      </c>
      <c r="P43" s="68" t="s">
        <v>111</v>
      </c>
      <c r="Q43" s="78" t="str">
        <f t="shared" si="5"/>
        <v>High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67" t="s">
        <v>176</v>
      </c>
      <c r="B44" s="67" t="s">
        <v>129</v>
      </c>
      <c r="C44" s="67" t="s">
        <v>130</v>
      </c>
      <c r="D44" s="67" t="s">
        <v>65</v>
      </c>
      <c r="E44" s="67" t="s">
        <v>64</v>
      </c>
      <c r="F44" s="67" t="s">
        <v>84</v>
      </c>
      <c r="G44" s="71">
        <v>46038</v>
      </c>
      <c r="H44" s="73">
        <v>1.6</v>
      </c>
      <c r="I44" s="75">
        <f>IFERROR(VLOOKUP(F44,Inputs!$D$4:$E$11,2,FALSE),0)</f>
        <v>0</v>
      </c>
      <c r="J44" s="73">
        <f t="shared" si="3"/>
        <v>0</v>
      </c>
      <c r="K44" s="77">
        <v>39</v>
      </c>
      <c r="L44" s="77">
        <f>IFERROR(VLOOKUP(F44,Inputs!$D$4:$F$11,3,FALSE),0)</f>
        <v>999</v>
      </c>
      <c r="M44" s="69" t="str">
        <f t="shared" si="4"/>
        <v>Healthy</v>
      </c>
      <c r="N44" s="69" t="str">
        <f>IF(AND(G44&gt;=Inputs!$B$4,G44&lt;=Inputs!$B$5),"In Quarter","Out Quarter")</f>
        <v>In Quarter</v>
      </c>
      <c r="O44" s="69" t="s">
        <v>118</v>
      </c>
      <c r="P44" s="69" t="s">
        <v>125</v>
      </c>
      <c r="Q44" s="69" t="str">
        <f t="shared" si="5"/>
        <v>Low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66" t="s">
        <v>177</v>
      </c>
      <c r="B45" s="66" t="s">
        <v>117</v>
      </c>
      <c r="C45" s="66" t="s">
        <v>109</v>
      </c>
      <c r="D45" s="66" t="s">
        <v>82</v>
      </c>
      <c r="E45" s="66" t="s">
        <v>85</v>
      </c>
      <c r="F45" s="66" t="s">
        <v>67</v>
      </c>
      <c r="G45" s="70">
        <v>46117</v>
      </c>
      <c r="H45" s="72">
        <v>0.33</v>
      </c>
      <c r="I45" s="74">
        <f>IFERROR(VLOOKUP(F45,Inputs!$D$4:$E$11,2,FALSE),0)</f>
        <v>0.3</v>
      </c>
      <c r="J45" s="72">
        <f t="shared" si="3"/>
        <v>9.9000000000000005E-2</v>
      </c>
      <c r="K45" s="76">
        <v>28</v>
      </c>
      <c r="L45" s="76">
        <f>IFERROR(VLOOKUP(F45,Inputs!$D$4:$F$11,3,FALSE),0)</f>
        <v>28</v>
      </c>
      <c r="M45" s="68" t="str">
        <f t="shared" si="4"/>
        <v>Healthy</v>
      </c>
      <c r="N45" s="68" t="str">
        <f>IF(AND(G45&gt;=Inputs!$B$4,G45&lt;=Inputs!$B$5),"In Quarter","Out Quarter")</f>
        <v>Out Quarter</v>
      </c>
      <c r="O45" s="68" t="s">
        <v>124</v>
      </c>
      <c r="P45" s="68" t="s">
        <v>121</v>
      </c>
      <c r="Q45" s="68" t="str">
        <f t="shared" si="5"/>
        <v>Low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67" t="s">
        <v>178</v>
      </c>
      <c r="B46" s="67" t="s">
        <v>162</v>
      </c>
      <c r="C46" s="67" t="s">
        <v>130</v>
      </c>
      <c r="D46" s="67" t="s">
        <v>65</v>
      </c>
      <c r="E46" s="67" t="s">
        <v>75</v>
      </c>
      <c r="F46" s="67" t="s">
        <v>74</v>
      </c>
      <c r="G46" s="71">
        <v>46038</v>
      </c>
      <c r="H46" s="73">
        <v>0.55000000000000004</v>
      </c>
      <c r="I46" s="75">
        <f>IFERROR(VLOOKUP(F46,Inputs!$D$4:$E$11,2,FALSE),0)</f>
        <v>0.65</v>
      </c>
      <c r="J46" s="73">
        <f t="shared" si="3"/>
        <v>0.35750000000000004</v>
      </c>
      <c r="K46" s="77">
        <v>38</v>
      </c>
      <c r="L46" s="77">
        <f>IFERROR(VLOOKUP(F46,Inputs!$D$4:$F$11,3,FALSE),0)</f>
        <v>21</v>
      </c>
      <c r="M46" s="79" t="str">
        <f t="shared" si="4"/>
        <v>Aged</v>
      </c>
      <c r="N46" s="69" t="str">
        <f>IF(AND(G46&gt;=Inputs!$B$4,G46&lt;=Inputs!$B$5),"In Quarter","Out Quarter")</f>
        <v>In Quarter</v>
      </c>
      <c r="O46" s="69" t="s">
        <v>151</v>
      </c>
      <c r="P46" s="69" t="s">
        <v>125</v>
      </c>
      <c r="Q46" s="79" t="str">
        <f t="shared" si="5"/>
        <v>High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66" t="s">
        <v>179</v>
      </c>
      <c r="B47" s="66" t="s">
        <v>146</v>
      </c>
      <c r="C47" s="66" t="s">
        <v>130</v>
      </c>
      <c r="D47" s="66" t="s">
        <v>82</v>
      </c>
      <c r="E47" s="66" t="s">
        <v>81</v>
      </c>
      <c r="F47" s="66" t="s">
        <v>84</v>
      </c>
      <c r="G47" s="70">
        <v>46062</v>
      </c>
      <c r="H47" s="72">
        <v>1.54</v>
      </c>
      <c r="I47" s="74">
        <f>IFERROR(VLOOKUP(F47,Inputs!$D$4:$E$11,2,FALSE),0)</f>
        <v>0</v>
      </c>
      <c r="J47" s="72">
        <f t="shared" si="3"/>
        <v>0</v>
      </c>
      <c r="K47" s="76">
        <v>19</v>
      </c>
      <c r="L47" s="76">
        <f>IFERROR(VLOOKUP(F47,Inputs!$D$4:$F$11,3,FALSE),0)</f>
        <v>999</v>
      </c>
      <c r="M47" s="68" t="str">
        <f t="shared" si="4"/>
        <v>Healthy</v>
      </c>
      <c r="N47" s="68" t="str">
        <f>IF(AND(G47&gt;=Inputs!$B$4,G47&lt;=Inputs!$B$5),"In Quarter","Out Quarter")</f>
        <v>In Quarter</v>
      </c>
      <c r="O47" s="68" t="s">
        <v>118</v>
      </c>
      <c r="P47" s="68" t="s">
        <v>121</v>
      </c>
      <c r="Q47" s="68" t="str">
        <f t="shared" si="5"/>
        <v>Low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67" t="s">
        <v>180</v>
      </c>
      <c r="B48" s="67" t="s">
        <v>123</v>
      </c>
      <c r="C48" s="67" t="s">
        <v>114</v>
      </c>
      <c r="D48" s="67" t="s">
        <v>65</v>
      </c>
      <c r="E48" s="67" t="s">
        <v>75</v>
      </c>
      <c r="F48" s="67" t="s">
        <v>63</v>
      </c>
      <c r="G48" s="71">
        <v>46108</v>
      </c>
      <c r="H48" s="73">
        <v>0.31</v>
      </c>
      <c r="I48" s="75">
        <f>IFERROR(VLOOKUP(F48,Inputs!$D$4:$E$11,2,FALSE),0)</f>
        <v>0.2</v>
      </c>
      <c r="J48" s="73">
        <f t="shared" si="3"/>
        <v>6.2E-2</v>
      </c>
      <c r="K48" s="77">
        <v>42</v>
      </c>
      <c r="L48" s="77">
        <f>IFERROR(VLOOKUP(F48,Inputs!$D$4:$F$11,3,FALSE),0)</f>
        <v>21</v>
      </c>
      <c r="M48" s="79" t="str">
        <f t="shared" si="4"/>
        <v>Aged</v>
      </c>
      <c r="N48" s="69" t="str">
        <f>IF(AND(G48&gt;=Inputs!$B$4,G48&lt;=Inputs!$B$5),"In Quarter","Out Quarter")</f>
        <v>In Quarter</v>
      </c>
      <c r="O48" s="69" t="s">
        <v>110</v>
      </c>
      <c r="P48" s="69" t="s">
        <v>111</v>
      </c>
      <c r="Q48" s="79" t="str">
        <f t="shared" si="5"/>
        <v>High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66" t="s">
        <v>181</v>
      </c>
      <c r="B49" s="66" t="s">
        <v>169</v>
      </c>
      <c r="C49" s="66" t="s">
        <v>130</v>
      </c>
      <c r="D49" s="66" t="s">
        <v>61</v>
      </c>
      <c r="E49" s="66" t="s">
        <v>60</v>
      </c>
      <c r="F49" s="66" t="s">
        <v>63</v>
      </c>
      <c r="G49" s="70">
        <v>46060</v>
      </c>
      <c r="H49" s="72">
        <v>1.36</v>
      </c>
      <c r="I49" s="74">
        <f>IFERROR(VLOOKUP(F49,Inputs!$D$4:$E$11,2,FALSE),0)</f>
        <v>0.2</v>
      </c>
      <c r="J49" s="72">
        <f t="shared" si="3"/>
        <v>0.27200000000000002</v>
      </c>
      <c r="K49" s="76">
        <v>29</v>
      </c>
      <c r="L49" s="76">
        <f>IFERROR(VLOOKUP(F49,Inputs!$D$4:$F$11,3,FALSE),0)</f>
        <v>21</v>
      </c>
      <c r="M49" s="78" t="str">
        <f t="shared" si="4"/>
        <v>Aged</v>
      </c>
      <c r="N49" s="68" t="str">
        <f>IF(AND(G49&gt;=Inputs!$B$4,G49&lt;=Inputs!$B$5),"In Quarter","Out Quarter")</f>
        <v>In Quarter</v>
      </c>
      <c r="O49" s="68" t="s">
        <v>151</v>
      </c>
      <c r="P49" s="68" t="s">
        <v>140</v>
      </c>
      <c r="Q49" s="78" t="str">
        <f t="shared" si="5"/>
        <v>High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67" t="s">
        <v>182</v>
      </c>
      <c r="B50" s="67" t="s">
        <v>169</v>
      </c>
      <c r="C50" s="67" t="s">
        <v>130</v>
      </c>
      <c r="D50" s="67" t="s">
        <v>82</v>
      </c>
      <c r="E50" s="67" t="s">
        <v>81</v>
      </c>
      <c r="F50" s="67" t="s">
        <v>59</v>
      </c>
      <c r="G50" s="71">
        <v>46112</v>
      </c>
      <c r="H50" s="73">
        <v>0.46</v>
      </c>
      <c r="I50" s="75">
        <f>IFERROR(VLOOKUP(F50,Inputs!$D$4:$E$11,2,FALSE),0)</f>
        <v>0.1</v>
      </c>
      <c r="J50" s="73">
        <f t="shared" si="3"/>
        <v>4.6000000000000006E-2</v>
      </c>
      <c r="K50" s="77">
        <v>55</v>
      </c>
      <c r="L50" s="77">
        <f>IFERROR(VLOOKUP(F50,Inputs!$D$4:$F$11,3,FALSE),0)</f>
        <v>21</v>
      </c>
      <c r="M50" s="79" t="str">
        <f t="shared" si="4"/>
        <v>Aged</v>
      </c>
      <c r="N50" s="69" t="str">
        <f>IF(AND(G50&gt;=Inputs!$B$4,G50&lt;=Inputs!$B$5),"In Quarter","Out Quarter")</f>
        <v>In Quarter</v>
      </c>
      <c r="O50" s="69" t="s">
        <v>110</v>
      </c>
      <c r="P50" s="69" t="s">
        <v>111</v>
      </c>
      <c r="Q50" s="79" t="str">
        <f t="shared" si="5"/>
        <v>High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66" t="s">
        <v>183</v>
      </c>
      <c r="B51" s="66" t="s">
        <v>137</v>
      </c>
      <c r="C51" s="66" t="s">
        <v>130</v>
      </c>
      <c r="D51" s="66" t="s">
        <v>69</v>
      </c>
      <c r="E51" s="66" t="s">
        <v>78</v>
      </c>
      <c r="F51" s="66" t="s">
        <v>84</v>
      </c>
      <c r="G51" s="70">
        <v>46053</v>
      </c>
      <c r="H51" s="72">
        <v>0.72</v>
      </c>
      <c r="I51" s="74">
        <f>IFERROR(VLOOKUP(F51,Inputs!$D$4:$E$11,2,FALSE),0)</f>
        <v>0</v>
      </c>
      <c r="J51" s="72">
        <f t="shared" si="3"/>
        <v>0</v>
      </c>
      <c r="K51" s="76">
        <v>22</v>
      </c>
      <c r="L51" s="76">
        <f>IFERROR(VLOOKUP(F51,Inputs!$D$4:$F$11,3,FALSE),0)</f>
        <v>999</v>
      </c>
      <c r="M51" s="68" t="str">
        <f t="shared" si="4"/>
        <v>Healthy</v>
      </c>
      <c r="N51" s="68" t="str">
        <f>IF(AND(G51&gt;=Inputs!$B$4,G51&lt;=Inputs!$B$5),"In Quarter","Out Quarter")</f>
        <v>In Quarter</v>
      </c>
      <c r="O51" s="68" t="s">
        <v>118</v>
      </c>
      <c r="P51" s="68" t="s">
        <v>121</v>
      </c>
      <c r="Q51" s="68" t="str">
        <f t="shared" si="5"/>
        <v>Low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67" t="s">
        <v>184</v>
      </c>
      <c r="B52" s="67" t="s">
        <v>146</v>
      </c>
      <c r="C52" s="67" t="s">
        <v>109</v>
      </c>
      <c r="D52" s="67" t="s">
        <v>61</v>
      </c>
      <c r="E52" s="67" t="s">
        <v>60</v>
      </c>
      <c r="F52" s="67" t="s">
        <v>80</v>
      </c>
      <c r="G52" s="71">
        <v>46037</v>
      </c>
      <c r="H52" s="73">
        <v>0.56000000000000005</v>
      </c>
      <c r="I52" s="75">
        <f>IFERROR(VLOOKUP(F52,Inputs!$D$4:$E$11,2,FALSE),0)</f>
        <v>1</v>
      </c>
      <c r="J52" s="73">
        <f t="shared" si="3"/>
        <v>0.56000000000000005</v>
      </c>
      <c r="K52" s="77">
        <v>60</v>
      </c>
      <c r="L52" s="77">
        <f>IFERROR(VLOOKUP(F52,Inputs!$D$4:$F$11,3,FALSE),0)</f>
        <v>999</v>
      </c>
      <c r="M52" s="69" t="str">
        <f t="shared" si="4"/>
        <v>Healthy</v>
      </c>
      <c r="N52" s="69" t="str">
        <f>IF(AND(G52&gt;=Inputs!$B$4,G52&lt;=Inputs!$B$5),"In Quarter","Out Quarter")</f>
        <v>In Quarter</v>
      </c>
      <c r="O52" s="69" t="s">
        <v>118</v>
      </c>
      <c r="P52" s="69" t="s">
        <v>121</v>
      </c>
      <c r="Q52" s="79" t="str">
        <f t="shared" si="5"/>
        <v>High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66" t="s">
        <v>185</v>
      </c>
      <c r="B53" s="66" t="s">
        <v>172</v>
      </c>
      <c r="C53" s="66" t="s">
        <v>109</v>
      </c>
      <c r="D53" s="66" t="s">
        <v>82</v>
      </c>
      <c r="E53" s="66" t="s">
        <v>81</v>
      </c>
      <c r="F53" s="66" t="s">
        <v>74</v>
      </c>
      <c r="G53" s="70">
        <v>46092</v>
      </c>
      <c r="H53" s="72">
        <v>0.6</v>
      </c>
      <c r="I53" s="74">
        <f>IFERROR(VLOOKUP(F53,Inputs!$D$4:$E$11,2,FALSE),0)</f>
        <v>0.65</v>
      </c>
      <c r="J53" s="72">
        <f t="shared" si="3"/>
        <v>0.39</v>
      </c>
      <c r="K53" s="76">
        <v>36</v>
      </c>
      <c r="L53" s="76">
        <f>IFERROR(VLOOKUP(F53,Inputs!$D$4:$F$11,3,FALSE),0)</f>
        <v>21</v>
      </c>
      <c r="M53" s="78" t="str">
        <f t="shared" si="4"/>
        <v>Aged</v>
      </c>
      <c r="N53" s="68" t="str">
        <f>IF(AND(G53&gt;=Inputs!$B$4,G53&lt;=Inputs!$B$5),"In Quarter","Out Quarter")</f>
        <v>In Quarter</v>
      </c>
      <c r="O53" s="68" t="s">
        <v>124</v>
      </c>
      <c r="P53" s="68" t="s">
        <v>111</v>
      </c>
      <c r="Q53" s="78" t="str">
        <f t="shared" si="5"/>
        <v>High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67" t="s">
        <v>186</v>
      </c>
      <c r="B54" s="67" t="s">
        <v>113</v>
      </c>
      <c r="C54" s="67" t="s">
        <v>109</v>
      </c>
      <c r="D54" s="67" t="s">
        <v>82</v>
      </c>
      <c r="E54" s="67" t="s">
        <v>85</v>
      </c>
      <c r="F54" s="67" t="s">
        <v>63</v>
      </c>
      <c r="G54" s="71">
        <v>46028</v>
      </c>
      <c r="H54" s="73">
        <v>0.28000000000000003</v>
      </c>
      <c r="I54" s="75">
        <f>IFERROR(VLOOKUP(F54,Inputs!$D$4:$E$11,2,FALSE),0)</f>
        <v>0.2</v>
      </c>
      <c r="J54" s="73">
        <f t="shared" si="3"/>
        <v>5.6000000000000008E-2</v>
      </c>
      <c r="K54" s="77">
        <v>46</v>
      </c>
      <c r="L54" s="77">
        <f>IFERROR(VLOOKUP(F54,Inputs!$D$4:$F$11,3,FALSE),0)</f>
        <v>21</v>
      </c>
      <c r="M54" s="79" t="str">
        <f t="shared" si="4"/>
        <v>Aged</v>
      </c>
      <c r="N54" s="69" t="str">
        <f>IF(AND(G54&gt;=Inputs!$B$4,G54&lt;=Inputs!$B$5),"In Quarter","Out Quarter")</f>
        <v>In Quarter</v>
      </c>
      <c r="O54" s="69" t="s">
        <v>124</v>
      </c>
      <c r="P54" s="69" t="s">
        <v>111</v>
      </c>
      <c r="Q54" s="79" t="str">
        <f t="shared" si="5"/>
        <v>High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66" t="s">
        <v>187</v>
      </c>
      <c r="B55" s="66" t="s">
        <v>155</v>
      </c>
      <c r="C55" s="66" t="s">
        <v>109</v>
      </c>
      <c r="D55" s="66" t="s">
        <v>61</v>
      </c>
      <c r="E55" s="66" t="s">
        <v>60</v>
      </c>
      <c r="F55" s="66" t="s">
        <v>67</v>
      </c>
      <c r="G55" s="70">
        <v>46070</v>
      </c>
      <c r="H55" s="72">
        <v>0.37</v>
      </c>
      <c r="I55" s="74">
        <f>IFERROR(VLOOKUP(F55,Inputs!$D$4:$E$11,2,FALSE),0)</f>
        <v>0.3</v>
      </c>
      <c r="J55" s="72">
        <f t="shared" si="3"/>
        <v>0.111</v>
      </c>
      <c r="K55" s="76">
        <v>69</v>
      </c>
      <c r="L55" s="76">
        <f>IFERROR(VLOOKUP(F55,Inputs!$D$4:$F$11,3,FALSE),0)</f>
        <v>28</v>
      </c>
      <c r="M55" s="78" t="str">
        <f t="shared" si="4"/>
        <v>Aged</v>
      </c>
      <c r="N55" s="68" t="str">
        <f>IF(AND(G55&gt;=Inputs!$B$4,G55&lt;=Inputs!$B$5),"In Quarter","Out Quarter")</f>
        <v>In Quarter</v>
      </c>
      <c r="O55" s="68" t="s">
        <v>110</v>
      </c>
      <c r="P55" s="68" t="s">
        <v>121</v>
      </c>
      <c r="Q55" s="78" t="str">
        <f t="shared" si="5"/>
        <v>High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67" t="s">
        <v>188</v>
      </c>
      <c r="B56" s="67" t="s">
        <v>113</v>
      </c>
      <c r="C56" s="67" t="s">
        <v>109</v>
      </c>
      <c r="D56" s="67" t="s">
        <v>65</v>
      </c>
      <c r="E56" s="67" t="s">
        <v>64</v>
      </c>
      <c r="F56" s="67" t="s">
        <v>59</v>
      </c>
      <c r="G56" s="71">
        <v>46046</v>
      </c>
      <c r="H56" s="73">
        <v>0.92</v>
      </c>
      <c r="I56" s="75">
        <f>IFERROR(VLOOKUP(F56,Inputs!$D$4:$E$11,2,FALSE),0)</f>
        <v>0.1</v>
      </c>
      <c r="J56" s="73">
        <f t="shared" si="3"/>
        <v>9.2000000000000012E-2</v>
      </c>
      <c r="K56" s="77">
        <v>43</v>
      </c>
      <c r="L56" s="77">
        <f>IFERROR(VLOOKUP(F56,Inputs!$D$4:$F$11,3,FALSE),0)</f>
        <v>21</v>
      </c>
      <c r="M56" s="79" t="str">
        <f t="shared" si="4"/>
        <v>Aged</v>
      </c>
      <c r="N56" s="69" t="str">
        <f>IF(AND(G56&gt;=Inputs!$B$4,G56&lt;=Inputs!$B$5),"In Quarter","Out Quarter")</f>
        <v>In Quarter</v>
      </c>
      <c r="O56" s="69" t="s">
        <v>110</v>
      </c>
      <c r="P56" s="69" t="s">
        <v>115</v>
      </c>
      <c r="Q56" s="79" t="str">
        <f t="shared" si="5"/>
        <v>High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66" t="s">
        <v>189</v>
      </c>
      <c r="B57" s="66" t="s">
        <v>127</v>
      </c>
      <c r="C57" s="66" t="s">
        <v>114</v>
      </c>
      <c r="D57" s="66" t="s">
        <v>69</v>
      </c>
      <c r="E57" s="66" t="s">
        <v>68</v>
      </c>
      <c r="F57" s="66" t="s">
        <v>80</v>
      </c>
      <c r="G57" s="70">
        <v>46112</v>
      </c>
      <c r="H57" s="72">
        <v>0.77</v>
      </c>
      <c r="I57" s="74">
        <f>IFERROR(VLOOKUP(F57,Inputs!$D$4:$E$11,2,FALSE),0)</f>
        <v>1</v>
      </c>
      <c r="J57" s="72">
        <f t="shared" si="3"/>
        <v>0.77</v>
      </c>
      <c r="K57" s="76">
        <v>54</v>
      </c>
      <c r="L57" s="76">
        <f>IFERROR(VLOOKUP(F57,Inputs!$D$4:$F$11,3,FALSE),0)</f>
        <v>999</v>
      </c>
      <c r="M57" s="68" t="str">
        <f t="shared" si="4"/>
        <v>Healthy</v>
      </c>
      <c r="N57" s="68" t="str">
        <f>IF(AND(G57&gt;=Inputs!$B$4,G57&lt;=Inputs!$B$5),"In Quarter","Out Quarter")</f>
        <v>In Quarter</v>
      </c>
      <c r="O57" s="68" t="s">
        <v>118</v>
      </c>
      <c r="P57" s="68" t="s">
        <v>140</v>
      </c>
      <c r="Q57" s="78" t="str">
        <f t="shared" si="5"/>
        <v>High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67" t="s">
        <v>190</v>
      </c>
      <c r="B58" s="67" t="s">
        <v>117</v>
      </c>
      <c r="C58" s="67" t="s">
        <v>114</v>
      </c>
      <c r="D58" s="67" t="s">
        <v>69</v>
      </c>
      <c r="E58" s="67" t="s">
        <v>68</v>
      </c>
      <c r="F58" s="67" t="s">
        <v>63</v>
      </c>
      <c r="G58" s="71">
        <v>46033</v>
      </c>
      <c r="H58" s="73">
        <v>0.72</v>
      </c>
      <c r="I58" s="75">
        <f>IFERROR(VLOOKUP(F58,Inputs!$D$4:$E$11,2,FALSE),0)</f>
        <v>0.2</v>
      </c>
      <c r="J58" s="73">
        <f t="shared" si="3"/>
        <v>0.14399999999999999</v>
      </c>
      <c r="K58" s="77">
        <v>70</v>
      </c>
      <c r="L58" s="77">
        <f>IFERROR(VLOOKUP(F58,Inputs!$D$4:$F$11,3,FALSE),0)</f>
        <v>21</v>
      </c>
      <c r="M58" s="79" t="str">
        <f t="shared" si="4"/>
        <v>Aged</v>
      </c>
      <c r="N58" s="69" t="str">
        <f>IF(AND(G58&gt;=Inputs!$B$4,G58&lt;=Inputs!$B$5),"In Quarter","Out Quarter")</f>
        <v>In Quarter</v>
      </c>
      <c r="O58" s="69" t="s">
        <v>110</v>
      </c>
      <c r="P58" s="69" t="s">
        <v>115</v>
      </c>
      <c r="Q58" s="79" t="str">
        <f t="shared" si="5"/>
        <v>High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66" t="s">
        <v>191</v>
      </c>
      <c r="B59" s="66" t="s">
        <v>133</v>
      </c>
      <c r="C59" s="66" t="s">
        <v>109</v>
      </c>
      <c r="D59" s="66" t="s">
        <v>61</v>
      </c>
      <c r="E59" s="66" t="s">
        <v>60</v>
      </c>
      <c r="F59" s="66" t="s">
        <v>63</v>
      </c>
      <c r="G59" s="70">
        <v>46133</v>
      </c>
      <c r="H59" s="72">
        <v>0.61</v>
      </c>
      <c r="I59" s="74">
        <f>IFERROR(VLOOKUP(F59,Inputs!$D$4:$E$11,2,FALSE),0)</f>
        <v>0.2</v>
      </c>
      <c r="J59" s="72">
        <f t="shared" si="3"/>
        <v>0.122</v>
      </c>
      <c r="K59" s="76">
        <v>34</v>
      </c>
      <c r="L59" s="76">
        <f>IFERROR(VLOOKUP(F59,Inputs!$D$4:$F$11,3,FALSE),0)</f>
        <v>21</v>
      </c>
      <c r="M59" s="78" t="str">
        <f t="shared" si="4"/>
        <v>Aged</v>
      </c>
      <c r="N59" s="68" t="str">
        <f>IF(AND(G59&gt;=Inputs!$B$4,G59&lt;=Inputs!$B$5),"In Quarter","Out Quarter")</f>
        <v>Out Quarter</v>
      </c>
      <c r="O59" s="68" t="s">
        <v>151</v>
      </c>
      <c r="P59" s="68" t="s">
        <v>111</v>
      </c>
      <c r="Q59" s="78" t="str">
        <f t="shared" si="5"/>
        <v>High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67" t="s">
        <v>192</v>
      </c>
      <c r="B60" s="67" t="s">
        <v>139</v>
      </c>
      <c r="C60" s="67" t="s">
        <v>114</v>
      </c>
      <c r="D60" s="67" t="s">
        <v>65</v>
      </c>
      <c r="E60" s="67" t="s">
        <v>64</v>
      </c>
      <c r="F60" s="67" t="s">
        <v>74</v>
      </c>
      <c r="G60" s="71">
        <v>46076</v>
      </c>
      <c r="H60" s="73">
        <v>0.72</v>
      </c>
      <c r="I60" s="75">
        <f>IFERROR(VLOOKUP(F60,Inputs!$D$4:$E$11,2,FALSE),0)</f>
        <v>0.65</v>
      </c>
      <c r="J60" s="73">
        <f t="shared" si="3"/>
        <v>0.46799999999999997</v>
      </c>
      <c r="K60" s="77">
        <v>7</v>
      </c>
      <c r="L60" s="77">
        <f>IFERROR(VLOOKUP(F60,Inputs!$D$4:$F$11,3,FALSE),0)</f>
        <v>21</v>
      </c>
      <c r="M60" s="69" t="str">
        <f t="shared" si="4"/>
        <v>Healthy</v>
      </c>
      <c r="N60" s="69" t="str">
        <f>IF(AND(G60&gt;=Inputs!$B$4,G60&lt;=Inputs!$B$5),"In Quarter","Out Quarter")</f>
        <v>In Quarter</v>
      </c>
      <c r="O60" s="69" t="s">
        <v>151</v>
      </c>
      <c r="P60" s="69" t="s">
        <v>140</v>
      </c>
      <c r="Q60" s="79" t="str">
        <f t="shared" si="5"/>
        <v>High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66" t="s">
        <v>193</v>
      </c>
      <c r="B61" s="66" t="s">
        <v>169</v>
      </c>
      <c r="C61" s="66" t="s">
        <v>109</v>
      </c>
      <c r="D61" s="66" t="s">
        <v>82</v>
      </c>
      <c r="E61" s="66" t="s">
        <v>85</v>
      </c>
      <c r="F61" s="66" t="s">
        <v>63</v>
      </c>
      <c r="G61" s="70">
        <v>46130</v>
      </c>
      <c r="H61" s="72">
        <v>0.13</v>
      </c>
      <c r="I61" s="74">
        <f>IFERROR(VLOOKUP(F61,Inputs!$D$4:$E$11,2,FALSE),0)</f>
        <v>0.2</v>
      </c>
      <c r="J61" s="72">
        <f t="shared" si="3"/>
        <v>2.6000000000000002E-2</v>
      </c>
      <c r="K61" s="76">
        <v>16</v>
      </c>
      <c r="L61" s="76">
        <f>IFERROR(VLOOKUP(F61,Inputs!$D$4:$F$11,3,FALSE),0)</f>
        <v>21</v>
      </c>
      <c r="M61" s="68" t="str">
        <f t="shared" si="4"/>
        <v>Healthy</v>
      </c>
      <c r="N61" s="68" t="str">
        <f>IF(AND(G61&gt;=Inputs!$B$4,G61&lt;=Inputs!$B$5),"In Quarter","Out Quarter")</f>
        <v>Out Quarter</v>
      </c>
      <c r="O61" s="68" t="s">
        <v>110</v>
      </c>
      <c r="P61" s="68" t="s">
        <v>140</v>
      </c>
      <c r="Q61" s="68" t="str">
        <f t="shared" si="5"/>
        <v>Low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67" t="s">
        <v>194</v>
      </c>
      <c r="B62" s="67" t="s">
        <v>113</v>
      </c>
      <c r="C62" s="67" t="s">
        <v>114</v>
      </c>
      <c r="D62" s="67" t="s">
        <v>65</v>
      </c>
      <c r="E62" s="67" t="s">
        <v>64</v>
      </c>
      <c r="F62" s="67" t="s">
        <v>63</v>
      </c>
      <c r="G62" s="71">
        <v>46136</v>
      </c>
      <c r="H62" s="73">
        <v>0.28000000000000003</v>
      </c>
      <c r="I62" s="75">
        <f>IFERROR(VLOOKUP(F62,Inputs!$D$4:$E$11,2,FALSE),0)</f>
        <v>0.2</v>
      </c>
      <c r="J62" s="73">
        <f t="shared" si="3"/>
        <v>5.6000000000000008E-2</v>
      </c>
      <c r="K62" s="77">
        <v>31</v>
      </c>
      <c r="L62" s="77">
        <f>IFERROR(VLOOKUP(F62,Inputs!$D$4:$F$11,3,FALSE),0)</f>
        <v>21</v>
      </c>
      <c r="M62" s="79" t="str">
        <f t="shared" si="4"/>
        <v>Aged</v>
      </c>
      <c r="N62" s="69" t="str">
        <f>IF(AND(G62&gt;=Inputs!$B$4,G62&lt;=Inputs!$B$5),"In Quarter","Out Quarter")</f>
        <v>Out Quarter</v>
      </c>
      <c r="O62" s="69" t="s">
        <v>110</v>
      </c>
      <c r="P62" s="69" t="s">
        <v>140</v>
      </c>
      <c r="Q62" s="79" t="str">
        <f t="shared" si="5"/>
        <v>High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66" t="s">
        <v>195</v>
      </c>
      <c r="B63" s="66" t="s">
        <v>143</v>
      </c>
      <c r="C63" s="66" t="s">
        <v>114</v>
      </c>
      <c r="D63" s="66" t="s">
        <v>82</v>
      </c>
      <c r="E63" s="66" t="s">
        <v>81</v>
      </c>
      <c r="F63" s="66" t="s">
        <v>71</v>
      </c>
      <c r="G63" s="70">
        <v>46037</v>
      </c>
      <c r="H63" s="72">
        <v>0.45</v>
      </c>
      <c r="I63" s="74">
        <f>IFERROR(VLOOKUP(F63,Inputs!$D$4:$E$11,2,FALSE),0)</f>
        <v>0.45</v>
      </c>
      <c r="J63" s="72">
        <f t="shared" si="3"/>
        <v>0.20250000000000001</v>
      </c>
      <c r="K63" s="76">
        <v>10</v>
      </c>
      <c r="L63" s="76">
        <f>IFERROR(VLOOKUP(F63,Inputs!$D$4:$F$11,3,FALSE),0)</f>
        <v>30</v>
      </c>
      <c r="M63" s="68" t="str">
        <f t="shared" si="4"/>
        <v>Healthy</v>
      </c>
      <c r="N63" s="68" t="str">
        <f>IF(AND(G63&gt;=Inputs!$B$4,G63&lt;=Inputs!$B$5),"In Quarter","Out Quarter")</f>
        <v>In Quarter</v>
      </c>
      <c r="O63" s="68" t="s">
        <v>110</v>
      </c>
      <c r="P63" s="68" t="s">
        <v>111</v>
      </c>
      <c r="Q63" s="81" t="str">
        <f t="shared" si="5"/>
        <v>Medium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67" t="s">
        <v>196</v>
      </c>
      <c r="B64" s="67" t="s">
        <v>143</v>
      </c>
      <c r="C64" s="67" t="s">
        <v>114</v>
      </c>
      <c r="D64" s="67" t="s">
        <v>69</v>
      </c>
      <c r="E64" s="67" t="s">
        <v>68</v>
      </c>
      <c r="F64" s="67" t="s">
        <v>59</v>
      </c>
      <c r="G64" s="71">
        <v>46070</v>
      </c>
      <c r="H64" s="73">
        <v>0.28000000000000003</v>
      </c>
      <c r="I64" s="75">
        <f>IFERROR(VLOOKUP(F64,Inputs!$D$4:$E$11,2,FALSE),0)</f>
        <v>0.1</v>
      </c>
      <c r="J64" s="73">
        <f t="shared" si="3"/>
        <v>2.8000000000000004E-2</v>
      </c>
      <c r="K64" s="77">
        <v>43</v>
      </c>
      <c r="L64" s="77">
        <f>IFERROR(VLOOKUP(F64,Inputs!$D$4:$F$11,3,FALSE),0)</f>
        <v>21</v>
      </c>
      <c r="M64" s="79" t="str">
        <f t="shared" si="4"/>
        <v>Aged</v>
      </c>
      <c r="N64" s="69" t="str">
        <f>IF(AND(G64&gt;=Inputs!$B$4,G64&lt;=Inputs!$B$5),"In Quarter","Out Quarter")</f>
        <v>In Quarter</v>
      </c>
      <c r="O64" s="69" t="s">
        <v>151</v>
      </c>
      <c r="P64" s="69" t="s">
        <v>121</v>
      </c>
      <c r="Q64" s="79" t="str">
        <f t="shared" si="5"/>
        <v>High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66" t="s">
        <v>197</v>
      </c>
      <c r="B65" s="66" t="s">
        <v>172</v>
      </c>
      <c r="C65" s="66" t="s">
        <v>114</v>
      </c>
      <c r="D65" s="66" t="s">
        <v>82</v>
      </c>
      <c r="E65" s="66" t="s">
        <v>85</v>
      </c>
      <c r="F65" s="66" t="s">
        <v>71</v>
      </c>
      <c r="G65" s="70">
        <v>46062</v>
      </c>
      <c r="H65" s="72">
        <v>1.1000000000000001</v>
      </c>
      <c r="I65" s="74">
        <f>IFERROR(VLOOKUP(F65,Inputs!$D$4:$E$11,2,FALSE),0)</f>
        <v>0.45</v>
      </c>
      <c r="J65" s="72">
        <f t="shared" si="3"/>
        <v>0.49500000000000005</v>
      </c>
      <c r="K65" s="76">
        <v>67</v>
      </c>
      <c r="L65" s="76">
        <f>IFERROR(VLOOKUP(F65,Inputs!$D$4:$F$11,3,FALSE),0)</f>
        <v>30</v>
      </c>
      <c r="M65" s="78" t="str">
        <f t="shared" si="4"/>
        <v>Aged</v>
      </c>
      <c r="N65" s="68" t="str">
        <f>IF(AND(G65&gt;=Inputs!$B$4,G65&lt;=Inputs!$B$5),"In Quarter","Out Quarter")</f>
        <v>In Quarter</v>
      </c>
      <c r="O65" s="68" t="s">
        <v>110</v>
      </c>
      <c r="P65" s="68" t="s">
        <v>125</v>
      </c>
      <c r="Q65" s="78" t="str">
        <f t="shared" si="5"/>
        <v>High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67" t="s">
        <v>198</v>
      </c>
      <c r="B66" s="67" t="s">
        <v>172</v>
      </c>
      <c r="C66" s="67" t="s">
        <v>109</v>
      </c>
      <c r="D66" s="67" t="s">
        <v>82</v>
      </c>
      <c r="E66" s="67" t="s">
        <v>85</v>
      </c>
      <c r="F66" s="67" t="s">
        <v>71</v>
      </c>
      <c r="G66" s="71">
        <v>46126</v>
      </c>
      <c r="H66" s="73">
        <v>0.17</v>
      </c>
      <c r="I66" s="75">
        <f>IFERROR(VLOOKUP(F66,Inputs!$D$4:$E$11,2,FALSE),0)</f>
        <v>0.45</v>
      </c>
      <c r="J66" s="73">
        <f t="shared" si="3"/>
        <v>7.6500000000000012E-2</v>
      </c>
      <c r="K66" s="77">
        <v>30</v>
      </c>
      <c r="L66" s="77">
        <f>IFERROR(VLOOKUP(F66,Inputs!$D$4:$F$11,3,FALSE),0)</f>
        <v>30</v>
      </c>
      <c r="M66" s="69" t="str">
        <f t="shared" si="4"/>
        <v>Healthy</v>
      </c>
      <c r="N66" s="69" t="str">
        <f>IF(AND(G66&gt;=Inputs!$B$4,G66&lt;=Inputs!$B$5),"In Quarter","Out Quarter")</f>
        <v>Out Quarter</v>
      </c>
      <c r="O66" s="69" t="s">
        <v>124</v>
      </c>
      <c r="P66" s="69" t="s">
        <v>121</v>
      </c>
      <c r="Q66" s="69" t="str">
        <f t="shared" si="5"/>
        <v>Low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66" t="s">
        <v>199</v>
      </c>
      <c r="B67" s="66" t="s">
        <v>137</v>
      </c>
      <c r="C67" s="66" t="s">
        <v>109</v>
      </c>
      <c r="D67" s="66" t="s">
        <v>65</v>
      </c>
      <c r="E67" s="66" t="s">
        <v>64</v>
      </c>
      <c r="F67" s="66" t="s">
        <v>67</v>
      </c>
      <c r="G67" s="70">
        <v>46132</v>
      </c>
      <c r="H67" s="72">
        <v>0.47</v>
      </c>
      <c r="I67" s="74">
        <f>IFERROR(VLOOKUP(F67,Inputs!$D$4:$E$11,2,FALSE),0)</f>
        <v>0.3</v>
      </c>
      <c r="J67" s="72">
        <f t="shared" si="3"/>
        <v>0.14099999999999999</v>
      </c>
      <c r="K67" s="76">
        <v>39</v>
      </c>
      <c r="L67" s="76">
        <f>IFERROR(VLOOKUP(F67,Inputs!$D$4:$F$11,3,FALSE),0)</f>
        <v>28</v>
      </c>
      <c r="M67" s="78" t="str">
        <f t="shared" si="4"/>
        <v>Aged</v>
      </c>
      <c r="N67" s="68" t="str">
        <f>IF(AND(G67&gt;=Inputs!$B$4,G67&lt;=Inputs!$B$5),"In Quarter","Out Quarter")</f>
        <v>Out Quarter</v>
      </c>
      <c r="O67" s="68" t="s">
        <v>151</v>
      </c>
      <c r="P67" s="68" t="s">
        <v>121</v>
      </c>
      <c r="Q67" s="78" t="str">
        <f t="shared" si="5"/>
        <v>High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67" t="s">
        <v>200</v>
      </c>
      <c r="B68" s="67" t="s">
        <v>143</v>
      </c>
      <c r="C68" s="67" t="s">
        <v>114</v>
      </c>
      <c r="D68" s="67" t="s">
        <v>69</v>
      </c>
      <c r="E68" s="67" t="s">
        <v>68</v>
      </c>
      <c r="F68" s="67" t="s">
        <v>71</v>
      </c>
      <c r="G68" s="71">
        <v>46123</v>
      </c>
      <c r="H68" s="73">
        <v>0.48</v>
      </c>
      <c r="I68" s="75">
        <f>IFERROR(VLOOKUP(F68,Inputs!$D$4:$E$11,2,FALSE),0)</f>
        <v>0.45</v>
      </c>
      <c r="J68" s="73">
        <f t="shared" si="3"/>
        <v>0.216</v>
      </c>
      <c r="K68" s="77">
        <v>21</v>
      </c>
      <c r="L68" s="77">
        <f>IFERROR(VLOOKUP(F68,Inputs!$D$4:$F$11,3,FALSE),0)</f>
        <v>30</v>
      </c>
      <c r="M68" s="69" t="str">
        <f t="shared" si="4"/>
        <v>Healthy</v>
      </c>
      <c r="N68" s="69" t="str">
        <f>IF(AND(G68&gt;=Inputs!$B$4,G68&lt;=Inputs!$B$5),"In Quarter","Out Quarter")</f>
        <v>Out Quarter</v>
      </c>
      <c r="O68" s="69" t="s">
        <v>110</v>
      </c>
      <c r="P68" s="69" t="s">
        <v>125</v>
      </c>
      <c r="Q68" s="80" t="str">
        <f t="shared" si="5"/>
        <v>Medium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66" t="s">
        <v>201</v>
      </c>
      <c r="B69" s="66" t="s">
        <v>135</v>
      </c>
      <c r="C69" s="66" t="s">
        <v>109</v>
      </c>
      <c r="D69" s="66" t="s">
        <v>69</v>
      </c>
      <c r="E69" s="66" t="s">
        <v>78</v>
      </c>
      <c r="F69" s="66" t="s">
        <v>80</v>
      </c>
      <c r="G69" s="70">
        <v>46057</v>
      </c>
      <c r="H69" s="72">
        <v>0.46</v>
      </c>
      <c r="I69" s="74">
        <f>IFERROR(VLOOKUP(F69,Inputs!$D$4:$E$11,2,FALSE),0)</f>
        <v>1</v>
      </c>
      <c r="J69" s="72">
        <f t="shared" ref="J69:J100" si="6">H69*I69</f>
        <v>0.46</v>
      </c>
      <c r="K69" s="76">
        <v>55</v>
      </c>
      <c r="L69" s="76">
        <f>IFERROR(VLOOKUP(F69,Inputs!$D$4:$F$11,3,FALSE),0)</f>
        <v>999</v>
      </c>
      <c r="M69" s="68" t="str">
        <f t="shared" ref="M69:M100" si="7">IF(K69&gt;L69,"Aged","Healthy")</f>
        <v>Healthy</v>
      </c>
      <c r="N69" s="68" t="str">
        <f>IF(AND(G69&gt;=Inputs!$B$4,G69&lt;=Inputs!$B$5),"In Quarter","Out Quarter")</f>
        <v>In Quarter</v>
      </c>
      <c r="O69" s="68" t="s">
        <v>118</v>
      </c>
      <c r="P69" s="68" t="s">
        <v>121</v>
      </c>
      <c r="Q69" s="78" t="str">
        <f t="shared" ref="Q69:Q89" si="8">IF(OR(M69="Aged",J69&gt;=0.4),"High",IF(J69&gt;=0.2,"Medium","Low"))</f>
        <v>High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67" t="s">
        <v>202</v>
      </c>
      <c r="B70" s="67" t="s">
        <v>137</v>
      </c>
      <c r="C70" s="67" t="s">
        <v>130</v>
      </c>
      <c r="D70" s="67" t="s">
        <v>82</v>
      </c>
      <c r="E70" s="67" t="s">
        <v>85</v>
      </c>
      <c r="F70" s="67" t="s">
        <v>84</v>
      </c>
      <c r="G70" s="71">
        <v>46079</v>
      </c>
      <c r="H70" s="73">
        <v>0.31</v>
      </c>
      <c r="I70" s="75">
        <f>IFERROR(VLOOKUP(F70,Inputs!$D$4:$E$11,2,FALSE),0)</f>
        <v>0</v>
      </c>
      <c r="J70" s="73">
        <f t="shared" si="6"/>
        <v>0</v>
      </c>
      <c r="K70" s="77">
        <v>49</v>
      </c>
      <c r="L70" s="77">
        <f>IFERROR(VLOOKUP(F70,Inputs!$D$4:$F$11,3,FALSE),0)</f>
        <v>999</v>
      </c>
      <c r="M70" s="69" t="str">
        <f t="shared" si="7"/>
        <v>Healthy</v>
      </c>
      <c r="N70" s="69" t="str">
        <f>IF(AND(G70&gt;=Inputs!$B$4,G70&lt;=Inputs!$B$5),"In Quarter","Out Quarter")</f>
        <v>In Quarter</v>
      </c>
      <c r="O70" s="69" t="s">
        <v>118</v>
      </c>
      <c r="P70" s="69" t="s">
        <v>121</v>
      </c>
      <c r="Q70" s="69" t="str">
        <f t="shared" si="8"/>
        <v>Low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66" t="s">
        <v>203</v>
      </c>
      <c r="B71" s="66" t="s">
        <v>155</v>
      </c>
      <c r="C71" s="66" t="s">
        <v>114</v>
      </c>
      <c r="D71" s="66" t="s">
        <v>61</v>
      </c>
      <c r="E71" s="66" t="s">
        <v>60</v>
      </c>
      <c r="F71" s="66" t="s">
        <v>80</v>
      </c>
      <c r="G71" s="70">
        <v>46069</v>
      </c>
      <c r="H71" s="72">
        <v>0.66</v>
      </c>
      <c r="I71" s="74">
        <f>IFERROR(VLOOKUP(F71,Inputs!$D$4:$E$11,2,FALSE),0)</f>
        <v>1</v>
      </c>
      <c r="J71" s="72">
        <f t="shared" si="6"/>
        <v>0.66</v>
      </c>
      <c r="K71" s="76">
        <v>20</v>
      </c>
      <c r="L71" s="76">
        <f>IFERROR(VLOOKUP(F71,Inputs!$D$4:$F$11,3,FALSE),0)</f>
        <v>999</v>
      </c>
      <c r="M71" s="68" t="str">
        <f t="shared" si="7"/>
        <v>Healthy</v>
      </c>
      <c r="N71" s="68" t="str">
        <f>IF(AND(G71&gt;=Inputs!$B$4,G71&lt;=Inputs!$B$5),"In Quarter","Out Quarter")</f>
        <v>In Quarter</v>
      </c>
      <c r="O71" s="68" t="s">
        <v>118</v>
      </c>
      <c r="P71" s="68" t="s">
        <v>121</v>
      </c>
      <c r="Q71" s="78" t="str">
        <f t="shared" si="8"/>
        <v>High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67" t="s">
        <v>204</v>
      </c>
      <c r="B72" s="67" t="s">
        <v>120</v>
      </c>
      <c r="C72" s="67" t="s">
        <v>130</v>
      </c>
      <c r="D72" s="67" t="s">
        <v>65</v>
      </c>
      <c r="E72" s="67" t="s">
        <v>75</v>
      </c>
      <c r="F72" s="67" t="s">
        <v>84</v>
      </c>
      <c r="G72" s="71">
        <v>46060</v>
      </c>
      <c r="H72" s="73">
        <v>0.37</v>
      </c>
      <c r="I72" s="75">
        <f>IFERROR(VLOOKUP(F72,Inputs!$D$4:$E$11,2,FALSE),0)</f>
        <v>0</v>
      </c>
      <c r="J72" s="73">
        <f t="shared" si="6"/>
        <v>0</v>
      </c>
      <c r="K72" s="77">
        <v>14</v>
      </c>
      <c r="L72" s="77">
        <f>IFERROR(VLOOKUP(F72,Inputs!$D$4:$F$11,3,FALSE),0)</f>
        <v>999</v>
      </c>
      <c r="M72" s="69" t="str">
        <f t="shared" si="7"/>
        <v>Healthy</v>
      </c>
      <c r="N72" s="69" t="str">
        <f>IF(AND(G72&gt;=Inputs!$B$4,G72&lt;=Inputs!$B$5),"In Quarter","Out Quarter")</f>
        <v>In Quarter</v>
      </c>
      <c r="O72" s="69" t="s">
        <v>118</v>
      </c>
      <c r="P72" s="69" t="s">
        <v>125</v>
      </c>
      <c r="Q72" s="69" t="str">
        <f t="shared" si="8"/>
        <v>Low</v>
      </c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66" t="s">
        <v>205</v>
      </c>
      <c r="B73" s="66" t="s">
        <v>113</v>
      </c>
      <c r="C73" s="66" t="s">
        <v>130</v>
      </c>
      <c r="D73" s="66" t="s">
        <v>65</v>
      </c>
      <c r="E73" s="66" t="s">
        <v>75</v>
      </c>
      <c r="F73" s="66" t="s">
        <v>80</v>
      </c>
      <c r="G73" s="70">
        <v>46041</v>
      </c>
      <c r="H73" s="72">
        <v>0.12</v>
      </c>
      <c r="I73" s="74">
        <f>IFERROR(VLOOKUP(F73,Inputs!$D$4:$E$11,2,FALSE),0)</f>
        <v>1</v>
      </c>
      <c r="J73" s="72">
        <f t="shared" si="6"/>
        <v>0.12</v>
      </c>
      <c r="K73" s="76">
        <v>24</v>
      </c>
      <c r="L73" s="76">
        <f>IFERROR(VLOOKUP(F73,Inputs!$D$4:$F$11,3,FALSE),0)</f>
        <v>999</v>
      </c>
      <c r="M73" s="68" t="str">
        <f t="shared" si="7"/>
        <v>Healthy</v>
      </c>
      <c r="N73" s="68" t="str">
        <f>IF(AND(G73&gt;=Inputs!$B$4,G73&lt;=Inputs!$B$5),"In Quarter","Out Quarter")</f>
        <v>In Quarter</v>
      </c>
      <c r="O73" s="68" t="s">
        <v>118</v>
      </c>
      <c r="P73" s="68" t="s">
        <v>140</v>
      </c>
      <c r="Q73" s="68" t="str">
        <f t="shared" si="8"/>
        <v>Low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67" t="s">
        <v>206</v>
      </c>
      <c r="B74" s="67" t="s">
        <v>137</v>
      </c>
      <c r="C74" s="67" t="s">
        <v>114</v>
      </c>
      <c r="D74" s="67" t="s">
        <v>61</v>
      </c>
      <c r="E74" s="67" t="s">
        <v>72</v>
      </c>
      <c r="F74" s="67" t="s">
        <v>71</v>
      </c>
      <c r="G74" s="71">
        <v>46126</v>
      </c>
      <c r="H74" s="73">
        <v>0.37</v>
      </c>
      <c r="I74" s="75">
        <f>IFERROR(VLOOKUP(F74,Inputs!$D$4:$E$11,2,FALSE),0)</f>
        <v>0.45</v>
      </c>
      <c r="J74" s="73">
        <f t="shared" si="6"/>
        <v>0.16650000000000001</v>
      </c>
      <c r="K74" s="77">
        <v>8</v>
      </c>
      <c r="L74" s="77">
        <f>IFERROR(VLOOKUP(F74,Inputs!$D$4:$F$11,3,FALSE),0)</f>
        <v>30</v>
      </c>
      <c r="M74" s="69" t="str">
        <f t="shared" si="7"/>
        <v>Healthy</v>
      </c>
      <c r="N74" s="69" t="str">
        <f>IF(AND(G74&gt;=Inputs!$B$4,G74&lt;=Inputs!$B$5),"In Quarter","Out Quarter")</f>
        <v>Out Quarter</v>
      </c>
      <c r="O74" s="69" t="s">
        <v>110</v>
      </c>
      <c r="P74" s="69" t="s">
        <v>111</v>
      </c>
      <c r="Q74" s="69" t="str">
        <f t="shared" si="8"/>
        <v>Low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66" t="s">
        <v>207</v>
      </c>
      <c r="B75" s="66" t="s">
        <v>172</v>
      </c>
      <c r="C75" s="66" t="s">
        <v>130</v>
      </c>
      <c r="D75" s="66" t="s">
        <v>61</v>
      </c>
      <c r="E75" s="66" t="s">
        <v>60</v>
      </c>
      <c r="F75" s="66" t="s">
        <v>74</v>
      </c>
      <c r="G75" s="70">
        <v>46121</v>
      </c>
      <c r="H75" s="72">
        <v>0.4</v>
      </c>
      <c r="I75" s="74">
        <f>IFERROR(VLOOKUP(F75,Inputs!$D$4:$E$11,2,FALSE),0)</f>
        <v>0.65</v>
      </c>
      <c r="J75" s="72">
        <f t="shared" si="6"/>
        <v>0.26</v>
      </c>
      <c r="K75" s="76">
        <v>22</v>
      </c>
      <c r="L75" s="76">
        <f>IFERROR(VLOOKUP(F75,Inputs!$D$4:$F$11,3,FALSE),0)</f>
        <v>21</v>
      </c>
      <c r="M75" s="78" t="str">
        <f t="shared" si="7"/>
        <v>Aged</v>
      </c>
      <c r="N75" s="68" t="str">
        <f>IF(AND(G75&gt;=Inputs!$B$4,G75&lt;=Inputs!$B$5),"In Quarter","Out Quarter")</f>
        <v>Out Quarter</v>
      </c>
      <c r="O75" s="68" t="s">
        <v>151</v>
      </c>
      <c r="P75" s="68" t="s">
        <v>115</v>
      </c>
      <c r="Q75" s="78" t="str">
        <f t="shared" si="8"/>
        <v>High</v>
      </c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67" t="s">
        <v>208</v>
      </c>
      <c r="B76" s="67" t="s">
        <v>137</v>
      </c>
      <c r="C76" s="67" t="s">
        <v>114</v>
      </c>
      <c r="D76" s="67" t="s">
        <v>82</v>
      </c>
      <c r="E76" s="67" t="s">
        <v>85</v>
      </c>
      <c r="F76" s="67" t="s">
        <v>63</v>
      </c>
      <c r="G76" s="71">
        <v>46081</v>
      </c>
      <c r="H76" s="73">
        <v>0.34</v>
      </c>
      <c r="I76" s="75">
        <f>IFERROR(VLOOKUP(F76,Inputs!$D$4:$E$11,2,FALSE),0)</f>
        <v>0.2</v>
      </c>
      <c r="J76" s="73">
        <f t="shared" si="6"/>
        <v>6.8000000000000005E-2</v>
      </c>
      <c r="K76" s="77">
        <v>38</v>
      </c>
      <c r="L76" s="77">
        <f>IFERROR(VLOOKUP(F76,Inputs!$D$4:$F$11,3,FALSE),0)</f>
        <v>21</v>
      </c>
      <c r="M76" s="79" t="str">
        <f t="shared" si="7"/>
        <v>Aged</v>
      </c>
      <c r="N76" s="69" t="str">
        <f>IF(AND(G76&gt;=Inputs!$B$4,G76&lt;=Inputs!$B$5),"In Quarter","Out Quarter")</f>
        <v>In Quarter</v>
      </c>
      <c r="O76" s="69" t="s">
        <v>151</v>
      </c>
      <c r="P76" s="69" t="s">
        <v>125</v>
      </c>
      <c r="Q76" s="79" t="str">
        <f t="shared" si="8"/>
        <v>High</v>
      </c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66" t="s">
        <v>209</v>
      </c>
      <c r="B77" s="66" t="s">
        <v>169</v>
      </c>
      <c r="C77" s="66" t="s">
        <v>130</v>
      </c>
      <c r="D77" s="66" t="s">
        <v>82</v>
      </c>
      <c r="E77" s="66" t="s">
        <v>81</v>
      </c>
      <c r="F77" s="66" t="s">
        <v>71</v>
      </c>
      <c r="G77" s="70">
        <v>46043</v>
      </c>
      <c r="H77" s="72">
        <v>0.21</v>
      </c>
      <c r="I77" s="74">
        <f>IFERROR(VLOOKUP(F77,Inputs!$D$4:$E$11,2,FALSE),0)</f>
        <v>0.45</v>
      </c>
      <c r="J77" s="72">
        <f t="shared" si="6"/>
        <v>9.4500000000000001E-2</v>
      </c>
      <c r="K77" s="76">
        <v>31</v>
      </c>
      <c r="L77" s="76">
        <f>IFERROR(VLOOKUP(F77,Inputs!$D$4:$F$11,3,FALSE),0)</f>
        <v>30</v>
      </c>
      <c r="M77" s="78" t="str">
        <f t="shared" si="7"/>
        <v>Aged</v>
      </c>
      <c r="N77" s="68" t="str">
        <f>IF(AND(G77&gt;=Inputs!$B$4,G77&lt;=Inputs!$B$5),"In Quarter","Out Quarter")</f>
        <v>In Quarter</v>
      </c>
      <c r="O77" s="68" t="s">
        <v>110</v>
      </c>
      <c r="P77" s="68" t="s">
        <v>111</v>
      </c>
      <c r="Q77" s="78" t="str">
        <f t="shared" si="8"/>
        <v>High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67" t="s">
        <v>210</v>
      </c>
      <c r="B78" s="67" t="s">
        <v>113</v>
      </c>
      <c r="C78" s="67" t="s">
        <v>109</v>
      </c>
      <c r="D78" s="67" t="s">
        <v>69</v>
      </c>
      <c r="E78" s="67" t="s">
        <v>78</v>
      </c>
      <c r="F78" s="67" t="s">
        <v>71</v>
      </c>
      <c r="G78" s="71">
        <v>46125</v>
      </c>
      <c r="H78" s="73">
        <v>0.43</v>
      </c>
      <c r="I78" s="75">
        <f>IFERROR(VLOOKUP(F78,Inputs!$D$4:$E$11,2,FALSE),0)</f>
        <v>0.45</v>
      </c>
      <c r="J78" s="73">
        <f t="shared" si="6"/>
        <v>0.19350000000000001</v>
      </c>
      <c r="K78" s="77">
        <v>29</v>
      </c>
      <c r="L78" s="77">
        <f>IFERROR(VLOOKUP(F78,Inputs!$D$4:$F$11,3,FALSE),0)</f>
        <v>30</v>
      </c>
      <c r="M78" s="69" t="str">
        <f t="shared" si="7"/>
        <v>Healthy</v>
      </c>
      <c r="N78" s="69" t="str">
        <f>IF(AND(G78&gt;=Inputs!$B$4,G78&lt;=Inputs!$B$5),"In Quarter","Out Quarter")</f>
        <v>Out Quarter</v>
      </c>
      <c r="O78" s="69" t="s">
        <v>151</v>
      </c>
      <c r="P78" s="69" t="s">
        <v>125</v>
      </c>
      <c r="Q78" s="69" t="str">
        <f t="shared" si="8"/>
        <v>Low</v>
      </c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66" t="s">
        <v>211</v>
      </c>
      <c r="B79" s="66" t="s">
        <v>135</v>
      </c>
      <c r="C79" s="66" t="s">
        <v>114</v>
      </c>
      <c r="D79" s="66" t="s">
        <v>69</v>
      </c>
      <c r="E79" s="66" t="s">
        <v>78</v>
      </c>
      <c r="F79" s="66" t="s">
        <v>71</v>
      </c>
      <c r="G79" s="70">
        <v>46058</v>
      </c>
      <c r="H79" s="72">
        <v>0.36</v>
      </c>
      <c r="I79" s="74">
        <f>IFERROR(VLOOKUP(F79,Inputs!$D$4:$E$11,2,FALSE),0)</f>
        <v>0.45</v>
      </c>
      <c r="J79" s="72">
        <f t="shared" si="6"/>
        <v>0.16200000000000001</v>
      </c>
      <c r="K79" s="76">
        <v>30</v>
      </c>
      <c r="L79" s="76">
        <f>IFERROR(VLOOKUP(F79,Inputs!$D$4:$F$11,3,FALSE),0)</f>
        <v>30</v>
      </c>
      <c r="M79" s="68" t="str">
        <f t="shared" si="7"/>
        <v>Healthy</v>
      </c>
      <c r="N79" s="68" t="str">
        <f>IF(AND(G79&gt;=Inputs!$B$4,G79&lt;=Inputs!$B$5),"In Quarter","Out Quarter")</f>
        <v>In Quarter</v>
      </c>
      <c r="O79" s="68" t="s">
        <v>124</v>
      </c>
      <c r="P79" s="68" t="s">
        <v>140</v>
      </c>
      <c r="Q79" s="68" t="str">
        <f t="shared" si="8"/>
        <v>Low</v>
      </c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67" t="s">
        <v>212</v>
      </c>
      <c r="B80" s="67" t="s">
        <v>213</v>
      </c>
      <c r="C80" s="67" t="s">
        <v>114</v>
      </c>
      <c r="D80" s="67" t="s">
        <v>61</v>
      </c>
      <c r="E80" s="67" t="s">
        <v>72</v>
      </c>
      <c r="F80" s="67" t="s">
        <v>67</v>
      </c>
      <c r="G80" s="71">
        <v>46076</v>
      </c>
      <c r="H80" s="73">
        <v>0.28999999999999998</v>
      </c>
      <c r="I80" s="75">
        <f>IFERROR(VLOOKUP(F80,Inputs!$D$4:$E$11,2,FALSE),0)</f>
        <v>0.3</v>
      </c>
      <c r="J80" s="73">
        <f t="shared" si="6"/>
        <v>8.6999999999999994E-2</v>
      </c>
      <c r="K80" s="77">
        <v>68</v>
      </c>
      <c r="L80" s="77">
        <f>IFERROR(VLOOKUP(F80,Inputs!$D$4:$F$11,3,FALSE),0)</f>
        <v>28</v>
      </c>
      <c r="M80" s="79" t="str">
        <f t="shared" si="7"/>
        <v>Aged</v>
      </c>
      <c r="N80" s="69" t="str">
        <f>IF(AND(G80&gt;=Inputs!$B$4,G80&lt;=Inputs!$B$5),"In Quarter","Out Quarter")</f>
        <v>In Quarter</v>
      </c>
      <c r="O80" s="69" t="s">
        <v>124</v>
      </c>
      <c r="P80" s="69" t="s">
        <v>111</v>
      </c>
      <c r="Q80" s="79" t="str">
        <f t="shared" si="8"/>
        <v>High</v>
      </c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66" t="s">
        <v>214</v>
      </c>
      <c r="B81" s="66" t="s">
        <v>123</v>
      </c>
      <c r="C81" s="66" t="s">
        <v>130</v>
      </c>
      <c r="D81" s="66" t="s">
        <v>61</v>
      </c>
      <c r="E81" s="66" t="s">
        <v>72</v>
      </c>
      <c r="F81" s="66" t="s">
        <v>74</v>
      </c>
      <c r="G81" s="70">
        <v>46039</v>
      </c>
      <c r="H81" s="72">
        <v>0.28999999999999998</v>
      </c>
      <c r="I81" s="74">
        <f>IFERROR(VLOOKUP(F81,Inputs!$D$4:$E$11,2,FALSE),0)</f>
        <v>0.65</v>
      </c>
      <c r="J81" s="72">
        <f t="shared" si="6"/>
        <v>0.1885</v>
      </c>
      <c r="K81" s="76">
        <v>56</v>
      </c>
      <c r="L81" s="76">
        <f>IFERROR(VLOOKUP(F81,Inputs!$D$4:$F$11,3,FALSE),0)</f>
        <v>21</v>
      </c>
      <c r="M81" s="78" t="str">
        <f t="shared" si="7"/>
        <v>Aged</v>
      </c>
      <c r="N81" s="68" t="str">
        <f>IF(AND(G81&gt;=Inputs!$B$4,G81&lt;=Inputs!$B$5),"In Quarter","Out Quarter")</f>
        <v>In Quarter</v>
      </c>
      <c r="O81" s="68" t="s">
        <v>124</v>
      </c>
      <c r="P81" s="68" t="s">
        <v>121</v>
      </c>
      <c r="Q81" s="78" t="str">
        <f t="shared" si="8"/>
        <v>High</v>
      </c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67" t="s">
        <v>215</v>
      </c>
      <c r="B82" s="67" t="s">
        <v>135</v>
      </c>
      <c r="C82" s="67" t="s">
        <v>109</v>
      </c>
      <c r="D82" s="67" t="s">
        <v>82</v>
      </c>
      <c r="E82" s="67" t="s">
        <v>81</v>
      </c>
      <c r="F82" s="67" t="s">
        <v>63</v>
      </c>
      <c r="G82" s="71">
        <v>46118</v>
      </c>
      <c r="H82" s="73">
        <v>0.67</v>
      </c>
      <c r="I82" s="75">
        <f>IFERROR(VLOOKUP(F82,Inputs!$D$4:$E$11,2,FALSE),0)</f>
        <v>0.2</v>
      </c>
      <c r="J82" s="73">
        <f t="shared" si="6"/>
        <v>0.13400000000000001</v>
      </c>
      <c r="K82" s="77">
        <v>67</v>
      </c>
      <c r="L82" s="77">
        <f>IFERROR(VLOOKUP(F82,Inputs!$D$4:$F$11,3,FALSE),0)</f>
        <v>21</v>
      </c>
      <c r="M82" s="79" t="str">
        <f t="shared" si="7"/>
        <v>Aged</v>
      </c>
      <c r="N82" s="69" t="str">
        <f>IF(AND(G82&gt;=Inputs!$B$4,G82&lt;=Inputs!$B$5),"In Quarter","Out Quarter")</f>
        <v>Out Quarter</v>
      </c>
      <c r="O82" s="69" t="s">
        <v>124</v>
      </c>
      <c r="P82" s="69" t="s">
        <v>115</v>
      </c>
      <c r="Q82" s="79" t="str">
        <f t="shared" si="8"/>
        <v>High</v>
      </c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66" t="s">
        <v>216</v>
      </c>
      <c r="B83" s="66" t="s">
        <v>169</v>
      </c>
      <c r="C83" s="66" t="s">
        <v>114</v>
      </c>
      <c r="D83" s="66" t="s">
        <v>82</v>
      </c>
      <c r="E83" s="66" t="s">
        <v>85</v>
      </c>
      <c r="F83" s="66" t="s">
        <v>80</v>
      </c>
      <c r="G83" s="70">
        <v>46059</v>
      </c>
      <c r="H83" s="72">
        <v>0.68</v>
      </c>
      <c r="I83" s="74">
        <f>IFERROR(VLOOKUP(F83,Inputs!$D$4:$E$11,2,FALSE),0)</f>
        <v>1</v>
      </c>
      <c r="J83" s="72">
        <f t="shared" si="6"/>
        <v>0.68</v>
      </c>
      <c r="K83" s="76">
        <v>24</v>
      </c>
      <c r="L83" s="76">
        <f>IFERROR(VLOOKUP(F83,Inputs!$D$4:$F$11,3,FALSE),0)</f>
        <v>999</v>
      </c>
      <c r="M83" s="68" t="str">
        <f t="shared" si="7"/>
        <v>Healthy</v>
      </c>
      <c r="N83" s="68" t="str">
        <f>IF(AND(G83&gt;=Inputs!$B$4,G83&lt;=Inputs!$B$5),"In Quarter","Out Quarter")</f>
        <v>In Quarter</v>
      </c>
      <c r="O83" s="68" t="s">
        <v>118</v>
      </c>
      <c r="P83" s="68" t="s">
        <v>121</v>
      </c>
      <c r="Q83" s="78" t="str">
        <f t="shared" si="8"/>
        <v>High</v>
      </c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67" t="s">
        <v>217</v>
      </c>
      <c r="B84" s="67" t="s">
        <v>108</v>
      </c>
      <c r="C84" s="67" t="s">
        <v>109</v>
      </c>
      <c r="D84" s="67" t="s">
        <v>82</v>
      </c>
      <c r="E84" s="67" t="s">
        <v>85</v>
      </c>
      <c r="F84" s="67" t="s">
        <v>84</v>
      </c>
      <c r="G84" s="71">
        <v>46038</v>
      </c>
      <c r="H84" s="73">
        <v>1.6</v>
      </c>
      <c r="I84" s="75">
        <f>IFERROR(VLOOKUP(F84,Inputs!$D$4:$E$11,2,FALSE),0)</f>
        <v>0</v>
      </c>
      <c r="J84" s="73">
        <f t="shared" si="6"/>
        <v>0</v>
      </c>
      <c r="K84" s="77">
        <v>34</v>
      </c>
      <c r="L84" s="77">
        <f>IFERROR(VLOOKUP(F84,Inputs!$D$4:$F$11,3,FALSE),0)</f>
        <v>999</v>
      </c>
      <c r="M84" s="69" t="str">
        <f t="shared" si="7"/>
        <v>Healthy</v>
      </c>
      <c r="N84" s="69" t="str">
        <f>IF(AND(G84&gt;=Inputs!$B$4,G84&lt;=Inputs!$B$5),"In Quarter","Out Quarter")</f>
        <v>In Quarter</v>
      </c>
      <c r="O84" s="69" t="s">
        <v>118</v>
      </c>
      <c r="P84" s="69" t="s">
        <v>125</v>
      </c>
      <c r="Q84" s="69" t="str">
        <f t="shared" si="8"/>
        <v>Low</v>
      </c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66" t="s">
        <v>218</v>
      </c>
      <c r="B85" s="66" t="s">
        <v>162</v>
      </c>
      <c r="C85" s="66" t="s">
        <v>109</v>
      </c>
      <c r="D85" s="66" t="s">
        <v>65</v>
      </c>
      <c r="E85" s="66" t="s">
        <v>75</v>
      </c>
      <c r="F85" s="66" t="s">
        <v>84</v>
      </c>
      <c r="G85" s="70">
        <v>46095</v>
      </c>
      <c r="H85" s="72">
        <v>0.56999999999999995</v>
      </c>
      <c r="I85" s="74">
        <f>IFERROR(VLOOKUP(F85,Inputs!$D$4:$E$11,2,FALSE),0)</f>
        <v>0</v>
      </c>
      <c r="J85" s="72">
        <f t="shared" si="6"/>
        <v>0</v>
      </c>
      <c r="K85" s="76">
        <v>19</v>
      </c>
      <c r="L85" s="76">
        <f>IFERROR(VLOOKUP(F85,Inputs!$D$4:$F$11,3,FALSE),0)</f>
        <v>999</v>
      </c>
      <c r="M85" s="68" t="str">
        <f t="shared" si="7"/>
        <v>Healthy</v>
      </c>
      <c r="N85" s="68" t="str">
        <f>IF(AND(G85&gt;=Inputs!$B$4,G85&lt;=Inputs!$B$5),"In Quarter","Out Quarter")</f>
        <v>In Quarter</v>
      </c>
      <c r="O85" s="68" t="s">
        <v>118</v>
      </c>
      <c r="P85" s="68" t="s">
        <v>125</v>
      </c>
      <c r="Q85" s="68" t="str">
        <f t="shared" si="8"/>
        <v>Low</v>
      </c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67" t="s">
        <v>219</v>
      </c>
      <c r="B86" s="67" t="s">
        <v>135</v>
      </c>
      <c r="C86" s="67" t="s">
        <v>114</v>
      </c>
      <c r="D86" s="67" t="s">
        <v>61</v>
      </c>
      <c r="E86" s="67" t="s">
        <v>72</v>
      </c>
      <c r="F86" s="67" t="s">
        <v>71</v>
      </c>
      <c r="G86" s="71">
        <v>46077</v>
      </c>
      <c r="H86" s="73">
        <v>0.28000000000000003</v>
      </c>
      <c r="I86" s="75">
        <f>IFERROR(VLOOKUP(F86,Inputs!$D$4:$E$11,2,FALSE),0)</f>
        <v>0.45</v>
      </c>
      <c r="J86" s="73">
        <f t="shared" si="6"/>
        <v>0.12600000000000003</v>
      </c>
      <c r="K86" s="77">
        <v>5</v>
      </c>
      <c r="L86" s="77">
        <f>IFERROR(VLOOKUP(F86,Inputs!$D$4:$F$11,3,FALSE),0)</f>
        <v>30</v>
      </c>
      <c r="M86" s="69" t="str">
        <f t="shared" si="7"/>
        <v>Healthy</v>
      </c>
      <c r="N86" s="69" t="str">
        <f>IF(AND(G86&gt;=Inputs!$B$4,G86&lt;=Inputs!$B$5),"In Quarter","Out Quarter")</f>
        <v>In Quarter</v>
      </c>
      <c r="O86" s="69" t="s">
        <v>124</v>
      </c>
      <c r="P86" s="69" t="s">
        <v>140</v>
      </c>
      <c r="Q86" s="69" t="str">
        <f t="shared" si="8"/>
        <v>Low</v>
      </c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66" t="s">
        <v>220</v>
      </c>
      <c r="B87" s="66" t="s">
        <v>139</v>
      </c>
      <c r="C87" s="66" t="s">
        <v>109</v>
      </c>
      <c r="D87" s="66" t="s">
        <v>69</v>
      </c>
      <c r="E87" s="66" t="s">
        <v>78</v>
      </c>
      <c r="F87" s="66" t="s">
        <v>63</v>
      </c>
      <c r="G87" s="70">
        <v>46110</v>
      </c>
      <c r="H87" s="72">
        <v>0.73</v>
      </c>
      <c r="I87" s="74">
        <f>IFERROR(VLOOKUP(F87,Inputs!$D$4:$E$11,2,FALSE),0)</f>
        <v>0.2</v>
      </c>
      <c r="J87" s="72">
        <f t="shared" si="6"/>
        <v>0.14599999999999999</v>
      </c>
      <c r="K87" s="76">
        <v>35</v>
      </c>
      <c r="L87" s="76">
        <f>IFERROR(VLOOKUP(F87,Inputs!$D$4:$F$11,3,FALSE),0)</f>
        <v>21</v>
      </c>
      <c r="M87" s="78" t="str">
        <f t="shared" si="7"/>
        <v>Aged</v>
      </c>
      <c r="N87" s="68" t="str">
        <f>IF(AND(G87&gt;=Inputs!$B$4,G87&lt;=Inputs!$B$5),"In Quarter","Out Quarter")</f>
        <v>In Quarter</v>
      </c>
      <c r="O87" s="68" t="s">
        <v>151</v>
      </c>
      <c r="P87" s="68" t="s">
        <v>140</v>
      </c>
      <c r="Q87" s="78" t="str">
        <f t="shared" si="8"/>
        <v>High</v>
      </c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67" t="s">
        <v>221</v>
      </c>
      <c r="B88" s="67" t="s">
        <v>133</v>
      </c>
      <c r="C88" s="67" t="s">
        <v>130</v>
      </c>
      <c r="D88" s="67" t="s">
        <v>65</v>
      </c>
      <c r="E88" s="67" t="s">
        <v>75</v>
      </c>
      <c r="F88" s="67" t="s">
        <v>74</v>
      </c>
      <c r="G88" s="71">
        <v>46035</v>
      </c>
      <c r="H88" s="73">
        <v>0.1</v>
      </c>
      <c r="I88" s="75">
        <f>IFERROR(VLOOKUP(F88,Inputs!$D$4:$E$11,2,FALSE),0)</f>
        <v>0.65</v>
      </c>
      <c r="J88" s="73">
        <f t="shared" si="6"/>
        <v>6.5000000000000002E-2</v>
      </c>
      <c r="K88" s="77">
        <v>58</v>
      </c>
      <c r="L88" s="77">
        <f>IFERROR(VLOOKUP(F88,Inputs!$D$4:$F$11,3,FALSE),0)</f>
        <v>21</v>
      </c>
      <c r="M88" s="79" t="str">
        <f t="shared" si="7"/>
        <v>Aged</v>
      </c>
      <c r="N88" s="69" t="str">
        <f>IF(AND(G88&gt;=Inputs!$B$4,G88&lt;=Inputs!$B$5),"In Quarter","Out Quarter")</f>
        <v>In Quarter</v>
      </c>
      <c r="O88" s="69" t="s">
        <v>151</v>
      </c>
      <c r="P88" s="69" t="s">
        <v>140</v>
      </c>
      <c r="Q88" s="79" t="str">
        <f t="shared" si="8"/>
        <v>High</v>
      </c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66" t="s">
        <v>222</v>
      </c>
      <c r="B89" s="66" t="s">
        <v>120</v>
      </c>
      <c r="C89" s="66" t="s">
        <v>114</v>
      </c>
      <c r="D89" s="66" t="s">
        <v>61</v>
      </c>
      <c r="E89" s="66" t="s">
        <v>72</v>
      </c>
      <c r="F89" s="66" t="s">
        <v>84</v>
      </c>
      <c r="G89" s="70">
        <v>46091</v>
      </c>
      <c r="H89" s="72">
        <v>0.11</v>
      </c>
      <c r="I89" s="74">
        <f>IFERROR(VLOOKUP(F89,Inputs!$D$4:$E$11,2,FALSE),0)</f>
        <v>0</v>
      </c>
      <c r="J89" s="72">
        <f t="shared" si="6"/>
        <v>0</v>
      </c>
      <c r="K89" s="76">
        <v>58</v>
      </c>
      <c r="L89" s="76">
        <f>IFERROR(VLOOKUP(F89,Inputs!$D$4:$F$11,3,FALSE),0)</f>
        <v>999</v>
      </c>
      <c r="M89" s="68" t="str">
        <f t="shared" si="7"/>
        <v>Healthy</v>
      </c>
      <c r="N89" s="68" t="str">
        <f>IF(AND(G89&gt;=Inputs!$B$4,G89&lt;=Inputs!$B$5),"In Quarter","Out Quarter")</f>
        <v>In Quarter</v>
      </c>
      <c r="O89" s="68" t="s">
        <v>118</v>
      </c>
      <c r="P89" s="68" t="s">
        <v>140</v>
      </c>
      <c r="Q89" s="68" t="str">
        <f t="shared" si="8"/>
        <v>Low</v>
      </c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</sheetData>
  <conditionalFormatting sqref="M5:M89">
    <cfRule type="expression" dxfId="18" priority="1">
      <formula>M5="Aged"</formula>
    </cfRule>
  </conditionalFormatting>
  <conditionalFormatting sqref="Q5:Q89">
    <cfRule type="expression" dxfId="17" priority="2">
      <formula>Q5="High"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8B7E"/>
  </sheetPr>
  <dimension ref="A1:Z203"/>
  <sheetViews>
    <sheetView showGridLines="0" showRowColHeader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8.33203125" customWidth="1"/>
    <col min="2" max="2" width="12.5" customWidth="1"/>
    <col min="3" max="5" width="16.6640625" customWidth="1"/>
    <col min="6" max="6" width="18.33203125" customWidth="1"/>
    <col min="7" max="7" width="12.5" customWidth="1"/>
    <col min="8" max="8" width="15.83203125" customWidth="1"/>
    <col min="9" max="9" width="18.33203125" customWidth="1"/>
    <col min="10" max="10" width="17.5" customWidth="1"/>
    <col min="11" max="11" width="16.6640625" customWidth="1"/>
    <col min="12" max="13" width="12.5" customWidth="1"/>
    <col min="14" max="14" width="13.33203125" customWidth="1"/>
    <col min="15" max="15" width="20" customWidth="1"/>
    <col min="16" max="17" width="0.5" customWidth="1"/>
  </cols>
  <sheetData>
    <row r="1" spans="1:26" ht="26">
      <c r="A1" s="58" t="s">
        <v>319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6" ht="15">
      <c r="A2" s="59" t="s">
        <v>320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26" ht="6" customHeight="1" thickBo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26" ht="30">
      <c r="A4" s="82" t="s">
        <v>8</v>
      </c>
      <c r="B4" s="82" t="s">
        <v>57</v>
      </c>
      <c r="C4" s="83" t="s">
        <v>56</v>
      </c>
      <c r="D4" s="83" t="s">
        <v>223</v>
      </c>
      <c r="E4" s="83" t="s">
        <v>10</v>
      </c>
      <c r="F4" s="83" t="s">
        <v>3</v>
      </c>
      <c r="G4" s="83" t="s">
        <v>224</v>
      </c>
      <c r="H4" s="83" t="s">
        <v>225</v>
      </c>
      <c r="I4" s="83" t="s">
        <v>226</v>
      </c>
      <c r="J4" s="83" t="s">
        <v>227</v>
      </c>
      <c r="K4" s="84" t="s">
        <v>228</v>
      </c>
      <c r="L4" s="83" t="s">
        <v>229</v>
      </c>
      <c r="M4" s="83" t="s">
        <v>230</v>
      </c>
      <c r="N4" s="84" t="s">
        <v>231</v>
      </c>
      <c r="O4" s="85" t="s">
        <v>232</v>
      </c>
      <c r="P4" s="86"/>
      <c r="Q4" s="86" t="s">
        <v>233</v>
      </c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25" t="s">
        <v>60</v>
      </c>
      <c r="B5" s="25" t="str">
        <f>VLOOKUP(A5,Inputs!$H$4:$J$11,3,FALSE)</f>
        <v>East</v>
      </c>
      <c r="C5" s="26">
        <f>VLOOKUP(A5,Inputs!$H$4:$I$11,2,FALSE)</f>
        <v>2</v>
      </c>
      <c r="D5" s="26">
        <f>SUMIFS(Pipeline_Data!$H:$H,Pipeline_Data!$E:$E,A5,Pipeline_Data!$F:$F,"Closed Won",Pipeline_Data!$N:$N,"In Quarter")</f>
        <v>1.2200000000000002</v>
      </c>
      <c r="E5" s="26">
        <f>SUMIFS(Pipeline_Data!$H:$H,Pipeline_Data!$E:$E,A5,Pipeline_Data!$F:$F,"&lt;&gt;Closed Won",Pipeline_Data!$F:$F,"&lt;&gt;Closed Lost",Pipeline_Data!$N:$N,"In Quarter")</f>
        <v>2.96</v>
      </c>
      <c r="F5" s="26">
        <f>SUMIFS(Pipeline_Data!$J:$J,Pipeline_Data!$E:$E,A5,Pipeline_Data!$F:$F,"&lt;&gt;Closed Won",Pipeline_Data!$F:$F,"&lt;&gt;Closed Lost",Pipeline_Data!$N:$N,"In Quarter")</f>
        <v>0.50600000000000001</v>
      </c>
      <c r="G5" s="92">
        <f>COUNTIFS(Pipeline_Data!$E:$E,A5,Pipeline_Data!$F:$F,"&lt;&gt;Closed Won",Pipeline_Data!$F:$F,"&lt;&gt;Closed Lost")</f>
        <v>7</v>
      </c>
      <c r="H5" s="26">
        <f t="shared" ref="H5:H12" si="0">IF(G5=0,0,E5/G5)</f>
        <v>0.42285714285714288</v>
      </c>
      <c r="I5" s="27">
        <f t="shared" ref="I5:I12" si="1">IF(C5=0,0,E5/C5)</f>
        <v>1.48</v>
      </c>
      <c r="J5" s="27">
        <f t="shared" ref="J5:J12" si="2">IF(C5=0,0,F5/C5)</f>
        <v>0.253</v>
      </c>
      <c r="K5" s="28">
        <f t="shared" ref="K5:K12" si="3">IF(C5=0,0,D5/C5)</f>
        <v>0.6100000000000001</v>
      </c>
      <c r="L5" s="92">
        <f>COUNTIFS(Pipeline_Data!$E:$E,A5,Pipeline_Data!$F:$F,"Closed Won")</f>
        <v>2</v>
      </c>
      <c r="M5" s="92">
        <f>COUNTIFS(Pipeline_Data!$E:$E,A5,Pipeline_Data!$F:$F,"Closed Lost")</f>
        <v>1</v>
      </c>
      <c r="N5" s="28">
        <f t="shared" ref="N5:N12" si="4">IF((L5+M5)=0,0,L5/(L5+M5))</f>
        <v>0.66666666666666663</v>
      </c>
      <c r="O5" s="29" t="str">
        <f>IF(I5&lt;Inputs!$B$7,"Coverage Gap",IF(N5&lt;Inputs!$B$11,"Win Rate Gap",IF(K5&lt;0.5,"Quota Gap","On Track")))</f>
        <v>Coverage Gap</v>
      </c>
      <c r="P5" s="87"/>
      <c r="Q5" s="88">
        <f>Inputs!$B$7</f>
        <v>3</v>
      </c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31" t="s">
        <v>64</v>
      </c>
      <c r="B6" s="31" t="str">
        <f>VLOOKUP(A6,Inputs!$H$4:$J$11,3,FALSE)</f>
        <v>West</v>
      </c>
      <c r="C6" s="32">
        <f>VLOOKUP(A6,Inputs!$H$4:$I$11,2,FALSE)</f>
        <v>2.2000000000000002</v>
      </c>
      <c r="D6" s="32">
        <f>SUMIFS(Pipeline_Data!$H:$H,Pipeline_Data!$E:$E,A6,Pipeline_Data!$F:$F,"Closed Won",Pipeline_Data!$N:$N,"In Quarter")</f>
        <v>0</v>
      </c>
      <c r="E6" s="32">
        <f>SUMIFS(Pipeline_Data!$H:$H,Pipeline_Data!$E:$E,A6,Pipeline_Data!$F:$F,"&lt;&gt;Closed Won",Pipeline_Data!$F:$F,"&lt;&gt;Closed Lost",Pipeline_Data!$N:$N,"In Quarter")</f>
        <v>2.6799999999999997</v>
      </c>
      <c r="F6" s="32">
        <f>SUMIFS(Pipeline_Data!$J:$J,Pipeline_Data!$E:$E,A6,Pipeline_Data!$F:$F,"&lt;&gt;Closed Won",Pipeline_Data!$F:$F,"&lt;&gt;Closed Lost",Pipeline_Data!$N:$N,"In Quarter")</f>
        <v>0.84150000000000003</v>
      </c>
      <c r="G6" s="93">
        <f>COUNTIFS(Pipeline_Data!$E:$E,A6,Pipeline_Data!$F:$F,"&lt;&gt;Closed Won",Pipeline_Data!$F:$F,"&lt;&gt;Closed Lost")</f>
        <v>7</v>
      </c>
      <c r="H6" s="32">
        <f t="shared" si="0"/>
        <v>0.38285714285714284</v>
      </c>
      <c r="I6" s="33">
        <f t="shared" si="1"/>
        <v>1.218181818181818</v>
      </c>
      <c r="J6" s="33">
        <f t="shared" si="2"/>
        <v>0.38250000000000001</v>
      </c>
      <c r="K6" s="34">
        <f t="shared" si="3"/>
        <v>0</v>
      </c>
      <c r="L6" s="93">
        <f>COUNTIFS(Pipeline_Data!$E:$E,A6,Pipeline_Data!$F:$F,"Closed Won")</f>
        <v>0</v>
      </c>
      <c r="M6" s="93">
        <f>COUNTIFS(Pipeline_Data!$E:$E,A6,Pipeline_Data!$F:$F,"Closed Lost")</f>
        <v>2</v>
      </c>
      <c r="N6" s="34">
        <f t="shared" si="4"/>
        <v>0</v>
      </c>
      <c r="O6" s="35" t="str">
        <f>IF(I6&lt;Inputs!$B$7,"Coverage Gap",IF(N6&lt;Inputs!$B$11,"Win Rate Gap",IF(K6&lt;0.5,"Quota Gap","On Track")))</f>
        <v>Coverage Gap</v>
      </c>
      <c r="P6" s="89"/>
      <c r="Q6" s="90">
        <f>Inputs!$B$7</f>
        <v>3</v>
      </c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5" t="s">
        <v>68</v>
      </c>
      <c r="B7" s="25" t="str">
        <f>VLOOKUP(A7,Inputs!$H$4:$J$11,3,FALSE)</f>
        <v>Central</v>
      </c>
      <c r="C7" s="26">
        <f>VLOOKUP(A7,Inputs!$H$4:$I$11,2,FALSE)</f>
        <v>1.8</v>
      </c>
      <c r="D7" s="26">
        <f>SUMIFS(Pipeline_Data!$H:$H,Pipeline_Data!$E:$E,A7,Pipeline_Data!$F:$F,"Closed Won",Pipeline_Data!$N:$N,"In Quarter")</f>
        <v>1.07</v>
      </c>
      <c r="E7" s="26">
        <f>SUMIFS(Pipeline_Data!$H:$H,Pipeline_Data!$E:$E,A7,Pipeline_Data!$F:$F,"&lt;&gt;Closed Won",Pipeline_Data!$F:$F,"&lt;&gt;Closed Lost",Pipeline_Data!$N:$N,"In Quarter")</f>
        <v>6</v>
      </c>
      <c r="F7" s="26">
        <f>SUMIFS(Pipeline_Data!$J:$J,Pipeline_Data!$E:$E,A7,Pipeline_Data!$F:$F,"&lt;&gt;Closed Won",Pipeline_Data!$F:$F,"&lt;&gt;Closed Lost",Pipeline_Data!$N:$N,"In Quarter")</f>
        <v>1.956</v>
      </c>
      <c r="G7" s="92">
        <f>COUNTIFS(Pipeline_Data!$E:$E,A7,Pipeline_Data!$F:$F,"&lt;&gt;Closed Won",Pipeline_Data!$F:$F,"&lt;&gt;Closed Lost")</f>
        <v>12</v>
      </c>
      <c r="H7" s="26">
        <f t="shared" si="0"/>
        <v>0.5</v>
      </c>
      <c r="I7" s="27">
        <f t="shared" si="1"/>
        <v>3.333333333333333</v>
      </c>
      <c r="J7" s="27">
        <f t="shared" si="2"/>
        <v>1.0866666666666667</v>
      </c>
      <c r="K7" s="28">
        <f t="shared" si="3"/>
        <v>0.59444444444444444</v>
      </c>
      <c r="L7" s="92">
        <f>COUNTIFS(Pipeline_Data!$E:$E,A7,Pipeline_Data!$F:$F,"Closed Won")</f>
        <v>2</v>
      </c>
      <c r="M7" s="92">
        <f>COUNTIFS(Pipeline_Data!$E:$E,A7,Pipeline_Data!$F:$F,"Closed Lost")</f>
        <v>0</v>
      </c>
      <c r="N7" s="28">
        <f t="shared" si="4"/>
        <v>1</v>
      </c>
      <c r="O7" s="37" t="str">
        <f>IF(I7&lt;Inputs!$B$7,"Coverage Gap",IF(N7&lt;Inputs!$B$11,"Win Rate Gap",IF(K7&lt;0.5,"Quota Gap","On Track")))</f>
        <v>On Track</v>
      </c>
      <c r="P7" s="87"/>
      <c r="Q7" s="88">
        <f>Inputs!$B$7</f>
        <v>3</v>
      </c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31" t="s">
        <v>72</v>
      </c>
      <c r="B8" s="31" t="str">
        <f>VLOOKUP(A8,Inputs!$H$4:$J$11,3,FALSE)</f>
        <v>East</v>
      </c>
      <c r="C8" s="32">
        <f>VLOOKUP(A8,Inputs!$H$4:$I$11,2,FALSE)</f>
        <v>2.1</v>
      </c>
      <c r="D8" s="32">
        <f>SUMIFS(Pipeline_Data!$H:$H,Pipeline_Data!$E:$E,A8,Pipeline_Data!$F:$F,"Closed Won",Pipeline_Data!$N:$N,"In Quarter")</f>
        <v>0</v>
      </c>
      <c r="E8" s="32">
        <f>SUMIFS(Pipeline_Data!$H:$H,Pipeline_Data!$E:$E,A8,Pipeline_Data!$F:$F,"&lt;&gt;Closed Won",Pipeline_Data!$F:$F,"&lt;&gt;Closed Lost",Pipeline_Data!$N:$N,"In Quarter")</f>
        <v>1.46</v>
      </c>
      <c r="F8" s="32">
        <f>SUMIFS(Pipeline_Data!$J:$J,Pipeline_Data!$E:$E,A8,Pipeline_Data!$F:$F,"&lt;&gt;Closed Won",Pipeline_Data!$F:$F,"&lt;&gt;Closed Lost",Pipeline_Data!$N:$N,"In Quarter")</f>
        <v>0.67149999999999999</v>
      </c>
      <c r="G8" s="93">
        <f>COUNTIFS(Pipeline_Data!$E:$E,A8,Pipeline_Data!$F:$F,"&lt;&gt;Closed Won",Pipeline_Data!$F:$F,"&lt;&gt;Closed Lost")</f>
        <v>7</v>
      </c>
      <c r="H8" s="32">
        <f t="shared" si="0"/>
        <v>0.20857142857142857</v>
      </c>
      <c r="I8" s="33">
        <f t="shared" si="1"/>
        <v>0.69523809523809521</v>
      </c>
      <c r="J8" s="33">
        <f t="shared" si="2"/>
        <v>0.31976190476190475</v>
      </c>
      <c r="K8" s="34">
        <f t="shared" si="3"/>
        <v>0</v>
      </c>
      <c r="L8" s="93">
        <f>COUNTIFS(Pipeline_Data!$E:$E,A8,Pipeline_Data!$F:$F,"Closed Won")</f>
        <v>0</v>
      </c>
      <c r="M8" s="93">
        <f>COUNTIFS(Pipeline_Data!$E:$E,A8,Pipeline_Data!$F:$F,"Closed Lost")</f>
        <v>2</v>
      </c>
      <c r="N8" s="34">
        <f t="shared" si="4"/>
        <v>0</v>
      </c>
      <c r="O8" s="35" t="str">
        <f>IF(I8&lt;Inputs!$B$7,"Coverage Gap",IF(N8&lt;Inputs!$B$11,"Win Rate Gap",IF(K8&lt;0.5,"Quota Gap","On Track")))</f>
        <v>Coverage Gap</v>
      </c>
      <c r="P8" s="89"/>
      <c r="Q8" s="90">
        <f>Inputs!$B$7</f>
        <v>3</v>
      </c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5" t="s">
        <v>75</v>
      </c>
      <c r="B9" s="25" t="str">
        <f>VLOOKUP(A9,Inputs!$H$4:$J$11,3,FALSE)</f>
        <v>West</v>
      </c>
      <c r="C9" s="26">
        <f>VLOOKUP(A9,Inputs!$H$4:$I$11,2,FALSE)</f>
        <v>1.7</v>
      </c>
      <c r="D9" s="26">
        <f>SUMIFS(Pipeline_Data!$H:$H,Pipeline_Data!$E:$E,A9,Pipeline_Data!$F:$F,"Closed Won",Pipeline_Data!$N:$N,"In Quarter")</f>
        <v>0.89</v>
      </c>
      <c r="E9" s="26">
        <f>SUMIFS(Pipeline_Data!$H:$H,Pipeline_Data!$E:$E,A9,Pipeline_Data!$F:$F,"&lt;&gt;Closed Won",Pipeline_Data!$F:$F,"&lt;&gt;Closed Lost",Pipeline_Data!$N:$N,"In Quarter")</f>
        <v>2.21</v>
      </c>
      <c r="F9" s="26">
        <f>SUMIFS(Pipeline_Data!$J:$J,Pipeline_Data!$E:$E,A9,Pipeline_Data!$F:$F,"&lt;&gt;Closed Won",Pipeline_Data!$F:$F,"&lt;&gt;Closed Lost",Pipeline_Data!$N:$N,"In Quarter")</f>
        <v>0.66349999999999998</v>
      </c>
      <c r="G9" s="92">
        <f>COUNTIFS(Pipeline_Data!$E:$E,A9,Pipeline_Data!$F:$F,"&lt;&gt;Closed Won",Pipeline_Data!$F:$F,"&lt;&gt;Closed Lost")</f>
        <v>5</v>
      </c>
      <c r="H9" s="26">
        <f t="shared" si="0"/>
        <v>0.442</v>
      </c>
      <c r="I9" s="27">
        <f t="shared" si="1"/>
        <v>1.3</v>
      </c>
      <c r="J9" s="27">
        <f t="shared" si="2"/>
        <v>0.39029411764705885</v>
      </c>
      <c r="K9" s="28">
        <f t="shared" si="3"/>
        <v>0.52352941176470591</v>
      </c>
      <c r="L9" s="92">
        <f>COUNTIFS(Pipeline_Data!$E:$E,A9,Pipeline_Data!$F:$F,"Closed Won")</f>
        <v>2</v>
      </c>
      <c r="M9" s="92">
        <f>COUNTIFS(Pipeline_Data!$E:$E,A9,Pipeline_Data!$F:$F,"Closed Lost")</f>
        <v>2</v>
      </c>
      <c r="N9" s="28">
        <f t="shared" si="4"/>
        <v>0.5</v>
      </c>
      <c r="O9" s="29" t="str">
        <f>IF(I9&lt;Inputs!$B$7,"Coverage Gap",IF(N9&lt;Inputs!$B$11,"Win Rate Gap",IF(K9&lt;0.5,"Quota Gap","On Track")))</f>
        <v>Coverage Gap</v>
      </c>
      <c r="P9" s="87"/>
      <c r="Q9" s="88">
        <f>Inputs!$B$7</f>
        <v>3</v>
      </c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31" t="s">
        <v>78</v>
      </c>
      <c r="B10" s="31" t="str">
        <f>VLOOKUP(A10,Inputs!$H$4:$J$11,3,FALSE)</f>
        <v>Central</v>
      </c>
      <c r="C10" s="32">
        <f>VLOOKUP(A10,Inputs!$H$4:$I$11,2,FALSE)</f>
        <v>2.2999999999999998</v>
      </c>
      <c r="D10" s="32">
        <f>SUMIFS(Pipeline_Data!$H:$H,Pipeline_Data!$E:$E,A10,Pipeline_Data!$F:$F,"Closed Won",Pipeline_Data!$N:$N,"In Quarter")</f>
        <v>0.46</v>
      </c>
      <c r="E10" s="32">
        <f>SUMIFS(Pipeline_Data!$H:$H,Pipeline_Data!$E:$E,A10,Pipeline_Data!$F:$F,"&lt;&gt;Closed Won",Pipeline_Data!$F:$F,"&lt;&gt;Closed Lost",Pipeline_Data!$N:$N,"In Quarter")</f>
        <v>2.19</v>
      </c>
      <c r="F10" s="32">
        <f>SUMIFS(Pipeline_Data!$J:$J,Pipeline_Data!$E:$E,A10,Pipeline_Data!$F:$F,"&lt;&gt;Closed Won",Pipeline_Data!$F:$F,"&lt;&gt;Closed Lost",Pipeline_Data!$N:$N,"In Quarter")</f>
        <v>0.81300000000000006</v>
      </c>
      <c r="G10" s="93">
        <f>COUNTIFS(Pipeline_Data!$E:$E,A10,Pipeline_Data!$F:$F,"&lt;&gt;Closed Won",Pipeline_Data!$F:$F,"&lt;&gt;Closed Lost")</f>
        <v>5</v>
      </c>
      <c r="H10" s="32">
        <f t="shared" si="0"/>
        <v>0.438</v>
      </c>
      <c r="I10" s="33">
        <f t="shared" si="1"/>
        <v>0.95217391304347831</v>
      </c>
      <c r="J10" s="33">
        <f t="shared" si="2"/>
        <v>0.35347826086956524</v>
      </c>
      <c r="K10" s="34">
        <f t="shared" si="3"/>
        <v>0.2</v>
      </c>
      <c r="L10" s="93">
        <f>COUNTIFS(Pipeline_Data!$E:$E,A10,Pipeline_Data!$F:$F,"Closed Won")</f>
        <v>1</v>
      </c>
      <c r="M10" s="93">
        <f>COUNTIFS(Pipeline_Data!$E:$E,A10,Pipeline_Data!$F:$F,"Closed Lost")</f>
        <v>3</v>
      </c>
      <c r="N10" s="34">
        <f t="shared" si="4"/>
        <v>0.25</v>
      </c>
      <c r="O10" s="35" t="str">
        <f>IF(I10&lt;Inputs!$B$7,"Coverage Gap",IF(N10&lt;Inputs!$B$11,"Win Rate Gap",IF(K10&lt;0.5,"Quota Gap","On Track")))</f>
        <v>Coverage Gap</v>
      </c>
      <c r="P10" s="89"/>
      <c r="Q10" s="90">
        <f>Inputs!$B$7</f>
        <v>3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25" t="s">
        <v>81</v>
      </c>
      <c r="B11" s="25" t="str">
        <f>VLOOKUP(A11,Inputs!$H$4:$J$11,3,FALSE)</f>
        <v>National</v>
      </c>
      <c r="C11" s="26">
        <f>VLOOKUP(A11,Inputs!$H$4:$I$11,2,FALSE)</f>
        <v>1.9</v>
      </c>
      <c r="D11" s="26">
        <f>SUMIFS(Pipeline_Data!$H:$H,Pipeline_Data!$E:$E,A11,Pipeline_Data!$F:$F,"Closed Won",Pipeline_Data!$N:$N,"In Quarter")</f>
        <v>0</v>
      </c>
      <c r="E11" s="26">
        <f>SUMIFS(Pipeline_Data!$H:$H,Pipeline_Data!$E:$E,A11,Pipeline_Data!$F:$F,"&lt;&gt;Closed Won",Pipeline_Data!$F:$F,"&lt;&gt;Closed Lost",Pipeline_Data!$N:$N,"In Quarter")</f>
        <v>3.91</v>
      </c>
      <c r="F11" s="26">
        <f>SUMIFS(Pipeline_Data!$J:$J,Pipeline_Data!$E:$E,A11,Pipeline_Data!$F:$F,"&lt;&gt;Closed Won",Pipeline_Data!$F:$F,"&lt;&gt;Closed Lost",Pipeline_Data!$N:$N,"In Quarter")</f>
        <v>1.02</v>
      </c>
      <c r="G11" s="92">
        <f>COUNTIFS(Pipeline_Data!$E:$E,A11,Pipeline_Data!$F:$F,"&lt;&gt;Closed Won",Pipeline_Data!$F:$F,"&lt;&gt;Closed Lost")</f>
        <v>9</v>
      </c>
      <c r="H11" s="26">
        <f t="shared" si="0"/>
        <v>0.43444444444444447</v>
      </c>
      <c r="I11" s="27">
        <f t="shared" si="1"/>
        <v>2.0578947368421052</v>
      </c>
      <c r="J11" s="27">
        <f t="shared" si="2"/>
        <v>0.5368421052631579</v>
      </c>
      <c r="K11" s="28">
        <f t="shared" si="3"/>
        <v>0</v>
      </c>
      <c r="L11" s="92">
        <f>COUNTIFS(Pipeline_Data!$E:$E,A11,Pipeline_Data!$F:$F,"Closed Won")</f>
        <v>0</v>
      </c>
      <c r="M11" s="92">
        <f>COUNTIFS(Pipeline_Data!$E:$E,A11,Pipeline_Data!$F:$F,"Closed Lost")</f>
        <v>3</v>
      </c>
      <c r="N11" s="28">
        <f t="shared" si="4"/>
        <v>0</v>
      </c>
      <c r="O11" s="29" t="str">
        <f>IF(I11&lt;Inputs!$B$7,"Coverage Gap",IF(N11&lt;Inputs!$B$11,"Win Rate Gap",IF(K11&lt;0.5,"Quota Gap","On Track")))</f>
        <v>Coverage Gap</v>
      </c>
      <c r="P11" s="87"/>
      <c r="Q11" s="88">
        <f>Inputs!$B$7</f>
        <v>3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31" t="s">
        <v>85</v>
      </c>
      <c r="B12" s="31" t="str">
        <f>VLOOKUP(A12,Inputs!$H$4:$J$11,3,FALSE)</f>
        <v>National</v>
      </c>
      <c r="C12" s="32">
        <f>VLOOKUP(A12,Inputs!$H$4:$I$11,2,FALSE)</f>
        <v>2</v>
      </c>
      <c r="D12" s="32">
        <f>SUMIFS(Pipeline_Data!$H:$H,Pipeline_Data!$E:$E,A12,Pipeline_Data!$F:$F,"Closed Won",Pipeline_Data!$N:$N,"In Quarter")</f>
        <v>0.68</v>
      </c>
      <c r="E12" s="32">
        <f>SUMIFS(Pipeline_Data!$H:$H,Pipeline_Data!$E:$E,A12,Pipeline_Data!$F:$F,"&lt;&gt;Closed Won",Pipeline_Data!$F:$F,"&lt;&gt;Closed Lost",Pipeline_Data!$N:$N,"In Quarter")</f>
        <v>3.9499999999999997</v>
      </c>
      <c r="F12" s="32">
        <f>SUMIFS(Pipeline_Data!$J:$J,Pipeline_Data!$E:$E,A12,Pipeline_Data!$F:$F,"&lt;&gt;Closed Won",Pipeline_Data!$F:$F,"&lt;&gt;Closed Lost",Pipeline_Data!$N:$N,"In Quarter")</f>
        <v>1.5815000000000001</v>
      </c>
      <c r="G12" s="93">
        <f>COUNTIFS(Pipeline_Data!$E:$E,A12,Pipeline_Data!$F:$F,"&lt;&gt;Closed Won",Pipeline_Data!$F:$F,"&lt;&gt;Closed Lost")</f>
        <v>10</v>
      </c>
      <c r="H12" s="32">
        <f t="shared" si="0"/>
        <v>0.39499999999999996</v>
      </c>
      <c r="I12" s="33">
        <f t="shared" si="1"/>
        <v>1.9749999999999999</v>
      </c>
      <c r="J12" s="33">
        <f t="shared" si="2"/>
        <v>0.79075000000000006</v>
      </c>
      <c r="K12" s="34">
        <f t="shared" si="3"/>
        <v>0.34</v>
      </c>
      <c r="L12" s="93">
        <f>COUNTIFS(Pipeline_Data!$E:$E,A12,Pipeline_Data!$F:$F,"Closed Won")</f>
        <v>1</v>
      </c>
      <c r="M12" s="93">
        <f>COUNTIFS(Pipeline_Data!$E:$E,A12,Pipeline_Data!$F:$F,"Closed Lost")</f>
        <v>2</v>
      </c>
      <c r="N12" s="34">
        <f t="shared" si="4"/>
        <v>0.33333333333333331</v>
      </c>
      <c r="O12" s="35" t="str">
        <f>IF(I12&lt;Inputs!$B$7,"Coverage Gap",IF(N12&lt;Inputs!$B$11,"Win Rate Gap",IF(K12&lt;0.5,"Quota Gap","On Track")))</f>
        <v>Coverage Gap</v>
      </c>
      <c r="P12" s="89"/>
      <c r="Q12" s="90">
        <f>Inputs!$B$7</f>
        <v>3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400-000001000000}">
            <xm:f>Inputs!$B$7</xm:f>
            <x14:dxf>
              <font>
                <color rgb="FF7A2E1F"/>
              </font>
              <fill>
                <patternFill patternType="solid">
                  <bgColor rgb="FFF1E4DC"/>
                </patternFill>
              </fill>
            </x14:dxf>
          </x14:cfRule>
          <xm:sqref>I5:I12</xm:sqref>
        </x14:conditionalFormatting>
        <x14:conditionalFormatting xmlns:xm="http://schemas.microsoft.com/office/excel/2006/main">
          <x14:cfRule type="cellIs" priority="2" operator="lessThan" id="{00000000-000E-0000-0400-000002000000}">
            <xm:f>Inputs!$B$11</xm:f>
            <x14:dxf>
              <font>
                <color rgb="FF7A2E1F"/>
              </font>
              <fill>
                <patternFill patternType="solid">
                  <bgColor rgb="FFF1E4DC"/>
                </patternFill>
              </fill>
            </x14:dxf>
          </x14:cfRule>
          <xm:sqref>N5:N12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8B7E"/>
  </sheetPr>
  <dimension ref="A1:Z203"/>
  <sheetViews>
    <sheetView showGridLines="0" showRowColHeaders="0" topLeftCell="K1" workbookViewId="0">
      <pane ySplit="4" topLeftCell="A5" activePane="bottomLeft" state="frozen"/>
      <selection pane="bottomLeft" activeCell="E6" sqref="E6"/>
    </sheetView>
  </sheetViews>
  <sheetFormatPr baseColWidth="10" defaultColWidth="8.83203125" defaultRowHeight="14"/>
  <cols>
    <col min="1" max="1" width="20" customWidth="1"/>
    <col min="2" max="2" width="13.33203125" customWidth="1"/>
    <col min="3" max="3" width="16.6640625" customWidth="1"/>
    <col min="4" max="4" width="13.33203125" customWidth="1"/>
    <col min="5" max="5" width="21.6640625" customWidth="1"/>
    <col min="6" max="6" width="20" customWidth="1"/>
    <col min="7" max="7" width="16.6640625" customWidth="1"/>
    <col min="8" max="8" width="13.33203125" customWidth="1"/>
    <col min="9" max="10" width="16.6640625" customWidth="1"/>
    <col min="11" max="11" width="41.6640625" customWidth="1"/>
  </cols>
  <sheetData>
    <row r="1" spans="1:26" ht="26">
      <c r="A1" s="58" t="s">
        <v>321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26" ht="15">
      <c r="A2" s="59" t="s">
        <v>322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26" ht="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26">
      <c r="A4" s="60" t="s">
        <v>53</v>
      </c>
      <c r="B4" s="63" t="s">
        <v>54</v>
      </c>
      <c r="C4" s="62" t="s">
        <v>55</v>
      </c>
      <c r="D4" s="62" t="s">
        <v>224</v>
      </c>
      <c r="E4" s="62" t="s">
        <v>234</v>
      </c>
      <c r="F4" s="62" t="s">
        <v>3</v>
      </c>
      <c r="G4" s="62" t="s">
        <v>235</v>
      </c>
      <c r="H4" s="62" t="s">
        <v>236</v>
      </c>
      <c r="I4" s="62" t="s">
        <v>237</v>
      </c>
      <c r="J4" s="64" t="s">
        <v>238</v>
      </c>
      <c r="K4" s="60" t="s">
        <v>239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25" t="s">
        <v>59</v>
      </c>
      <c r="B5" s="28">
        <f>IFERROR(VLOOKUP(A5,Inputs!$D$4:$F$11,2,FALSE),0)</f>
        <v>0.1</v>
      </c>
      <c r="C5" s="92">
        <f>IFERROR(VLOOKUP(A5,Inputs!$D$4:$F$11,3,FALSE),0)</f>
        <v>21</v>
      </c>
      <c r="D5" s="92">
        <f>COUNTIF(Pipeline_Data!$F:$F,A5)</f>
        <v>9</v>
      </c>
      <c r="E5" s="26">
        <f>SUMIF(Pipeline_Data!$F:$F,A5,Pipeline_Data!$H:$H)</f>
        <v>6.17</v>
      </c>
      <c r="F5" s="26">
        <f>SUMIF(Pipeline_Data!$F:$F,A5,Pipeline_Data!$J:$J)</f>
        <v>0.61699999999999999</v>
      </c>
      <c r="G5" s="94">
        <f>IFERROR(SUMIF(Pipeline_Data!$F:$F,A5,Pipeline_Data!$K:$K)/D5,0)</f>
        <v>40.777777777777779</v>
      </c>
      <c r="H5" s="92">
        <f>COUNTIFS(Pipeline_Data!$F:$F,A5,Pipeline_Data!$M:$M,"Aged")</f>
        <v>7</v>
      </c>
      <c r="I5" s="26">
        <f>SUMIFS(Pipeline_Data!$H:$H,Pipeline_Data!$F:$F,A5,Pipeline_Data!$M:$M,"Aged")</f>
        <v>3.66</v>
      </c>
      <c r="J5" s="37" t="str">
        <f t="shared" ref="J5:J12" si="0">IF(AND(D5&gt;0,G5&gt;C5),"Velocity Bottleneck",IF(H5&gt;2,"Aging Risk","Normal"))</f>
        <v>Velocity Bottleneck</v>
      </c>
      <c r="K5" s="25" t="str">
        <f t="shared" ref="K5:K12" si="1">IF(J5="Velocity Bottleneck","Run stage exit review",IF(J5="Aging Risk","Clean stale opportunities","Maintain cadence"))</f>
        <v>Run stage exit review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31" t="s">
        <v>63</v>
      </c>
      <c r="B6" s="34">
        <f>IFERROR(VLOOKUP(A6,Inputs!$D$4:$F$11,2,FALSE),0)</f>
        <v>0.2</v>
      </c>
      <c r="C6" s="93">
        <f>IFERROR(VLOOKUP(A6,Inputs!$D$4:$F$11,3,FALSE),0)</f>
        <v>21</v>
      </c>
      <c r="D6" s="93">
        <f>COUNTIF(Pipeline_Data!$F:$F,A6)</f>
        <v>17</v>
      </c>
      <c r="E6" s="32">
        <f>SUMIF(Pipeline_Data!$F:$F,A6,Pipeline_Data!$H:$H)</f>
        <v>7.66</v>
      </c>
      <c r="F6" s="32">
        <f>SUMIF(Pipeline_Data!$F:$F,A6,Pipeline_Data!$J:$J)</f>
        <v>1.532</v>
      </c>
      <c r="G6" s="95">
        <f>IFERROR(SUMIF(Pipeline_Data!$F:$F,A6,Pipeline_Data!$K:$K)/D6,0)</f>
        <v>40.823529411764703</v>
      </c>
      <c r="H6" s="93">
        <f>COUNTIFS(Pipeline_Data!$F:$F,A6,Pipeline_Data!$M:$M,"Aged")</f>
        <v>14</v>
      </c>
      <c r="I6" s="32">
        <f>SUMIFS(Pipeline_Data!$H:$H,Pipeline_Data!$F:$F,A6,Pipeline_Data!$M:$M,"Aged")</f>
        <v>6.83</v>
      </c>
      <c r="J6" s="91" t="str">
        <f t="shared" si="0"/>
        <v>Velocity Bottleneck</v>
      </c>
      <c r="K6" s="31" t="str">
        <f t="shared" si="1"/>
        <v>Run stage exit review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5" t="s">
        <v>67</v>
      </c>
      <c r="B7" s="28">
        <f>IFERROR(VLOOKUP(A7,Inputs!$D$4:$F$11,2,FALSE),0)</f>
        <v>0.3</v>
      </c>
      <c r="C7" s="92">
        <f>IFERROR(VLOOKUP(A7,Inputs!$D$4:$F$11,3,FALSE),0)</f>
        <v>28</v>
      </c>
      <c r="D7" s="92">
        <f>COUNTIF(Pipeline_Data!$F:$F,A7)</f>
        <v>9</v>
      </c>
      <c r="E7" s="26">
        <f>SUMIF(Pipeline_Data!$F:$F,A7,Pipeline_Data!$H:$H)</f>
        <v>6.3599999999999994</v>
      </c>
      <c r="F7" s="26">
        <f>SUMIF(Pipeline_Data!$F:$F,A7,Pipeline_Data!$J:$J)</f>
        <v>1.9079999999999997</v>
      </c>
      <c r="G7" s="94">
        <f>IFERROR(SUMIF(Pipeline_Data!$F:$F,A7,Pipeline_Data!$K:$K)/D7,0)</f>
        <v>54.444444444444443</v>
      </c>
      <c r="H7" s="92">
        <f>COUNTIFS(Pipeline_Data!$F:$F,A7,Pipeline_Data!$M:$M,"Aged")</f>
        <v>8</v>
      </c>
      <c r="I7" s="26">
        <f>SUMIFS(Pipeline_Data!$H:$H,Pipeline_Data!$F:$F,A7,Pipeline_Data!$M:$M,"Aged")</f>
        <v>6.0299999999999994</v>
      </c>
      <c r="J7" s="37" t="str">
        <f t="shared" si="0"/>
        <v>Velocity Bottleneck</v>
      </c>
      <c r="K7" s="25" t="str">
        <f t="shared" si="1"/>
        <v>Run stage exit review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31" t="s">
        <v>71</v>
      </c>
      <c r="B8" s="34">
        <f>IFERROR(VLOOKUP(A8,Inputs!$D$4:$F$11,2,FALSE),0)</f>
        <v>0.45</v>
      </c>
      <c r="C8" s="93">
        <f>IFERROR(VLOOKUP(A8,Inputs!$D$4:$F$11,3,FALSE),0)</f>
        <v>30</v>
      </c>
      <c r="D8" s="93">
        <f>COUNTIF(Pipeline_Data!$F:$F,A8)</f>
        <v>15</v>
      </c>
      <c r="E8" s="32">
        <f>SUMIF(Pipeline_Data!$F:$F,A8,Pipeline_Data!$H:$H)</f>
        <v>7.7900000000000009</v>
      </c>
      <c r="F8" s="32">
        <f>SUMIF(Pipeline_Data!$F:$F,A8,Pipeline_Data!$J:$J)</f>
        <v>3.5055000000000009</v>
      </c>
      <c r="G8" s="95">
        <f>IFERROR(SUMIF(Pipeline_Data!$F:$F,A8,Pipeline_Data!$K:$K)/D8,0)</f>
        <v>38.4</v>
      </c>
      <c r="H8" s="93">
        <f>COUNTIFS(Pipeline_Data!$F:$F,A8,Pipeline_Data!$M:$M,"Aged")</f>
        <v>8</v>
      </c>
      <c r="I8" s="32">
        <f>SUMIFS(Pipeline_Data!$H:$H,Pipeline_Data!$F:$F,A8,Pipeline_Data!$M:$M,"Aged")</f>
        <v>5.2499999999999991</v>
      </c>
      <c r="J8" s="91" t="str">
        <f t="shared" si="0"/>
        <v>Velocity Bottleneck</v>
      </c>
      <c r="K8" s="31" t="str">
        <f t="shared" si="1"/>
        <v>Run stage exit review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5" t="s">
        <v>74</v>
      </c>
      <c r="B9" s="28">
        <f>IFERROR(VLOOKUP(A9,Inputs!$D$4:$F$11,2,FALSE),0)</f>
        <v>0.65</v>
      </c>
      <c r="C9" s="92">
        <f>IFERROR(VLOOKUP(A9,Inputs!$D$4:$F$11,3,FALSE),0)</f>
        <v>21</v>
      </c>
      <c r="D9" s="92">
        <f>COUNTIF(Pipeline_Data!$F:$F,A9)</f>
        <v>11</v>
      </c>
      <c r="E9" s="26">
        <f>SUMIF(Pipeline_Data!$F:$F,A9,Pipeline_Data!$H:$H)</f>
        <v>4.4400000000000004</v>
      </c>
      <c r="F9" s="26">
        <f>SUMIF(Pipeline_Data!$F:$F,A9,Pipeline_Data!$J:$J)</f>
        <v>2.8860000000000001</v>
      </c>
      <c r="G9" s="94">
        <f>IFERROR(SUMIF(Pipeline_Data!$F:$F,A9,Pipeline_Data!$K:$K)/D9,0)</f>
        <v>38.272727272727273</v>
      </c>
      <c r="H9" s="92">
        <f>COUNTIFS(Pipeline_Data!$F:$F,A9,Pipeline_Data!$M:$M,"Aged")</f>
        <v>9</v>
      </c>
      <c r="I9" s="26">
        <f>SUMIFS(Pipeline_Data!$H:$H,Pipeline_Data!$F:$F,A9,Pipeline_Data!$M:$M,"Aged")</f>
        <v>3.22</v>
      </c>
      <c r="J9" s="37" t="str">
        <f t="shared" si="0"/>
        <v>Velocity Bottleneck</v>
      </c>
      <c r="K9" s="25" t="str">
        <f t="shared" si="1"/>
        <v>Run stage exit review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31" t="s">
        <v>77</v>
      </c>
      <c r="B10" s="34">
        <f>IFERROR(VLOOKUP(A10,Inputs!$D$4:$F$11,2,FALSE),0)</f>
        <v>0.85</v>
      </c>
      <c r="C10" s="93">
        <f>IFERROR(VLOOKUP(A10,Inputs!$D$4:$F$11,3,FALSE),0)</f>
        <v>14</v>
      </c>
      <c r="D10" s="93">
        <f>COUNTIF(Pipeline_Data!$F:$F,A10)</f>
        <v>1</v>
      </c>
      <c r="E10" s="32">
        <f>SUMIF(Pipeline_Data!$F:$F,A10,Pipeline_Data!$H:$H)</f>
        <v>0.26</v>
      </c>
      <c r="F10" s="32">
        <f>SUMIF(Pipeline_Data!$F:$F,A10,Pipeline_Data!$J:$J)</f>
        <v>0.221</v>
      </c>
      <c r="G10" s="95">
        <f>IFERROR(SUMIF(Pipeline_Data!$F:$F,A10,Pipeline_Data!$K:$K)/D10,0)</f>
        <v>34</v>
      </c>
      <c r="H10" s="93">
        <f>COUNTIFS(Pipeline_Data!$F:$F,A10,Pipeline_Data!$M:$M,"Aged")</f>
        <v>1</v>
      </c>
      <c r="I10" s="32">
        <f>SUMIFS(Pipeline_Data!$H:$H,Pipeline_Data!$F:$F,A10,Pipeline_Data!$M:$M,"Aged")</f>
        <v>0.26</v>
      </c>
      <c r="J10" s="91" t="str">
        <f t="shared" si="0"/>
        <v>Velocity Bottleneck</v>
      </c>
      <c r="K10" s="31" t="str">
        <f t="shared" si="1"/>
        <v>Run stage exit review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25" t="s">
        <v>80</v>
      </c>
      <c r="B11" s="28">
        <f>IFERROR(VLOOKUP(A11,Inputs!$D$4:$F$11,2,FALSE),0)</f>
        <v>1</v>
      </c>
      <c r="C11" s="92">
        <f>IFERROR(VLOOKUP(A11,Inputs!$D$4:$F$11,3,FALSE),0)</f>
        <v>999</v>
      </c>
      <c r="D11" s="92">
        <f>COUNTIF(Pipeline_Data!$F:$F,A11)</f>
        <v>8</v>
      </c>
      <c r="E11" s="26">
        <f>SUMIF(Pipeline_Data!$F:$F,A11,Pipeline_Data!$H:$H)</f>
        <v>4.32</v>
      </c>
      <c r="F11" s="26">
        <f>SUMIF(Pipeline_Data!$F:$F,A11,Pipeline_Data!$J:$J)</f>
        <v>4.32</v>
      </c>
      <c r="G11" s="94">
        <f>IFERROR(SUMIF(Pipeline_Data!$F:$F,A11,Pipeline_Data!$K:$K)/D11,0)</f>
        <v>43.875</v>
      </c>
      <c r="H11" s="92">
        <f>COUNTIFS(Pipeline_Data!$F:$F,A11,Pipeline_Data!$M:$M,"Aged")</f>
        <v>0</v>
      </c>
      <c r="I11" s="26">
        <f>SUMIFS(Pipeline_Data!$H:$H,Pipeline_Data!$F:$F,A11,Pipeline_Data!$M:$M,"Aged")</f>
        <v>0</v>
      </c>
      <c r="J11" s="37" t="str">
        <f t="shared" si="0"/>
        <v>Normal</v>
      </c>
      <c r="K11" s="25" t="str">
        <f t="shared" si="1"/>
        <v>Maintain cadence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31" t="s">
        <v>84</v>
      </c>
      <c r="B12" s="34">
        <f>IFERROR(VLOOKUP(A12,Inputs!$D$4:$F$11,2,FALSE),0)</f>
        <v>0</v>
      </c>
      <c r="C12" s="93">
        <f>IFERROR(VLOOKUP(A12,Inputs!$D$4:$F$11,3,FALSE),0)</f>
        <v>999</v>
      </c>
      <c r="D12" s="93">
        <f>COUNTIF(Pipeline_Data!$F:$F,A12)</f>
        <v>15</v>
      </c>
      <c r="E12" s="32">
        <f>SUMIF(Pipeline_Data!$F:$F,A12,Pipeline_Data!$H:$H)</f>
        <v>11.45</v>
      </c>
      <c r="F12" s="32">
        <f>SUMIF(Pipeline_Data!$F:$F,A12,Pipeline_Data!$J:$J)</f>
        <v>0</v>
      </c>
      <c r="G12" s="95">
        <f>IFERROR(SUMIF(Pipeline_Data!$F:$F,A12,Pipeline_Data!$K:$K)/D12,0)</f>
        <v>37.266666666666666</v>
      </c>
      <c r="H12" s="93">
        <f>COUNTIFS(Pipeline_Data!$F:$F,A12,Pipeline_Data!$M:$M,"Aged")</f>
        <v>0</v>
      </c>
      <c r="I12" s="32">
        <f>SUMIFS(Pipeline_Data!$H:$H,Pipeline_Data!$F:$F,A12,Pipeline_Data!$M:$M,"Aged")</f>
        <v>0</v>
      </c>
      <c r="J12" s="91" t="str">
        <f t="shared" si="0"/>
        <v>Normal</v>
      </c>
      <c r="K12" s="31" t="str">
        <f t="shared" si="1"/>
        <v>Maintain cadence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8B7E"/>
  </sheetPr>
  <dimension ref="A1:Z203"/>
  <sheetViews>
    <sheetView showGridLines="0" showRowColHeader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8.33203125" customWidth="1"/>
    <col min="2" max="2" width="12.5" customWidth="1"/>
    <col min="3" max="3" width="8.33203125" customWidth="1"/>
    <col min="4" max="5" width="16.6640625" customWidth="1"/>
    <col min="6" max="6" width="20" customWidth="1"/>
    <col min="7" max="7" width="16.6640625" customWidth="1"/>
    <col min="8" max="8" width="18.33203125" customWidth="1"/>
    <col min="9" max="9" width="15" customWidth="1"/>
    <col min="10" max="10" width="20" customWidth="1"/>
    <col min="11" max="11" width="16.6640625" customWidth="1"/>
    <col min="12" max="12" width="23.33203125" customWidth="1"/>
    <col min="13" max="13" width="21.6640625" customWidth="1"/>
  </cols>
  <sheetData>
    <row r="1" spans="1:26" ht="26">
      <c r="A1" s="58" t="s">
        <v>323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26" ht="15">
      <c r="A2" s="59" t="s">
        <v>324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26" ht="6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26">
      <c r="A4" s="60" t="s">
        <v>8</v>
      </c>
      <c r="B4" s="60" t="s">
        <v>57</v>
      </c>
      <c r="C4" s="62" t="s">
        <v>240</v>
      </c>
      <c r="D4" s="62" t="s">
        <v>241</v>
      </c>
      <c r="E4" s="62" t="s">
        <v>242</v>
      </c>
      <c r="F4" s="62" t="s">
        <v>243</v>
      </c>
      <c r="G4" s="62" t="s">
        <v>244</v>
      </c>
      <c r="H4" s="62" t="s">
        <v>245</v>
      </c>
      <c r="I4" s="62" t="s">
        <v>246</v>
      </c>
      <c r="J4" s="62" t="s">
        <v>247</v>
      </c>
      <c r="K4" s="62" t="s">
        <v>225</v>
      </c>
      <c r="L4" s="62" t="s">
        <v>248</v>
      </c>
      <c r="M4" s="64" t="s">
        <v>249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25" t="s">
        <v>60</v>
      </c>
      <c r="B5" s="25" t="str">
        <f>VLOOKUP(A5,Inputs!$H$4:$J$11,3,FALSE)</f>
        <v>East</v>
      </c>
      <c r="C5" s="94">
        <v>1</v>
      </c>
      <c r="D5" s="92">
        <v>21</v>
      </c>
      <c r="E5" s="92">
        <v>8</v>
      </c>
      <c r="F5" s="92">
        <f>E5*Inputs!$C$16</f>
        <v>0.8</v>
      </c>
      <c r="G5" s="92">
        <f>COUNTIFS(Pipeline_Data!$E:$E,A5,Pipeline_Data!$F:$F,"&lt;&gt;Closed Won",Pipeline_Data!$F:$F,"&lt;&gt;Closed Lost")</f>
        <v>7</v>
      </c>
      <c r="H5" s="92">
        <f t="shared" ref="H5:H12" si="0">ROUND(D5/2.5,0)</f>
        <v>8</v>
      </c>
      <c r="I5" s="92">
        <f t="shared" ref="I5:I12" si="1">H5-G5</f>
        <v>1</v>
      </c>
      <c r="J5" s="92">
        <f t="shared" ref="J5:J12" si="2">MAX(0,ROUND(F5/2.5,0))</f>
        <v>0</v>
      </c>
      <c r="K5" s="26">
        <f>IFERROR(SUMIFS(Pipeline_Data!$H:$H,Pipeline_Data!$E:$E,A5,Pipeline_Data!$F:$F,"&lt;&gt;Closed Won",Pipeline_Data!$F:$F,"&lt;&gt;Closed Lost")/G5,0)</f>
        <v>0.6328571428571429</v>
      </c>
      <c r="L5" s="26">
        <f>J5*K5*Inputs!$B$12</f>
        <v>0</v>
      </c>
      <c r="M5" s="37" t="str">
        <f t="shared" ref="M5:M12" si="3">IF(I5&lt;0,"Reduce load / rebalance territory",IF(L5&gt;0.1,"Automate admin / add pipeline","Maintain"))</f>
        <v>Maintain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>
      <c r="A6" s="31" t="s">
        <v>64</v>
      </c>
      <c r="B6" s="31" t="str">
        <f>VLOOKUP(A6,Inputs!$H$4:$J$11,3,FALSE)</f>
        <v>West</v>
      </c>
      <c r="C6" s="95">
        <v>1</v>
      </c>
      <c r="D6" s="93">
        <v>22</v>
      </c>
      <c r="E6" s="93">
        <v>16</v>
      </c>
      <c r="F6" s="93">
        <f>E6*Inputs!$C$16</f>
        <v>1.6</v>
      </c>
      <c r="G6" s="93">
        <f>COUNTIFS(Pipeline_Data!$E:$E,A6,Pipeline_Data!$F:$F,"&lt;&gt;Closed Won",Pipeline_Data!$F:$F,"&lt;&gt;Closed Lost")</f>
        <v>7</v>
      </c>
      <c r="H6" s="93">
        <f t="shared" si="0"/>
        <v>9</v>
      </c>
      <c r="I6" s="93">
        <f t="shared" si="1"/>
        <v>2</v>
      </c>
      <c r="J6" s="93">
        <f t="shared" si="2"/>
        <v>1</v>
      </c>
      <c r="K6" s="32">
        <f>IFERROR(SUMIFS(Pipeline_Data!$H:$H,Pipeline_Data!$E:$E,A6,Pipeline_Data!$F:$F,"&lt;&gt;Closed Won",Pipeline_Data!$F:$F,"&lt;&gt;Closed Lost")/G6,0)</f>
        <v>0.48999999999999994</v>
      </c>
      <c r="L6" s="32">
        <f>J6*K6*Inputs!$B$12</f>
        <v>0.13719999999999999</v>
      </c>
      <c r="M6" s="96" t="str">
        <f t="shared" si="3"/>
        <v>Automate admin / add pipeline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>
      <c r="A7" s="25" t="s">
        <v>68</v>
      </c>
      <c r="B7" s="25" t="str">
        <f>VLOOKUP(A7,Inputs!$H$4:$J$11,3,FALSE)</f>
        <v>Central</v>
      </c>
      <c r="C7" s="94">
        <v>1</v>
      </c>
      <c r="D7" s="92">
        <v>19</v>
      </c>
      <c r="E7" s="92">
        <v>11</v>
      </c>
      <c r="F7" s="92">
        <f>E7*Inputs!$C$16</f>
        <v>1.1000000000000001</v>
      </c>
      <c r="G7" s="92">
        <f>COUNTIFS(Pipeline_Data!$E:$E,A7,Pipeline_Data!$F:$F,"&lt;&gt;Closed Won",Pipeline_Data!$F:$F,"&lt;&gt;Closed Lost")</f>
        <v>12</v>
      </c>
      <c r="H7" s="92">
        <f t="shared" si="0"/>
        <v>8</v>
      </c>
      <c r="I7" s="97">
        <f t="shared" si="1"/>
        <v>-4</v>
      </c>
      <c r="J7" s="92">
        <f t="shared" si="2"/>
        <v>0</v>
      </c>
      <c r="K7" s="26">
        <f>IFERROR(SUMIFS(Pipeline_Data!$H:$H,Pipeline_Data!$E:$E,A7,Pipeline_Data!$F:$F,"&lt;&gt;Closed Won",Pipeline_Data!$F:$F,"&lt;&gt;Closed Lost")/G7,0)</f>
        <v>0.63750000000000007</v>
      </c>
      <c r="L7" s="26">
        <f>J7*K7*Inputs!$B$12</f>
        <v>0</v>
      </c>
      <c r="M7" s="37" t="str">
        <f t="shared" si="3"/>
        <v>Reduce load / rebalance territory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31" t="s">
        <v>72</v>
      </c>
      <c r="B8" s="31" t="str">
        <f>VLOOKUP(A8,Inputs!$H$4:$J$11,3,FALSE)</f>
        <v>East</v>
      </c>
      <c r="C8" s="95">
        <v>1</v>
      </c>
      <c r="D8" s="93">
        <v>25</v>
      </c>
      <c r="E8" s="93">
        <v>11</v>
      </c>
      <c r="F8" s="93">
        <f>E8*Inputs!$C$16</f>
        <v>1.1000000000000001</v>
      </c>
      <c r="G8" s="93">
        <f>COUNTIFS(Pipeline_Data!$E:$E,A8,Pipeline_Data!$F:$F,"&lt;&gt;Closed Won",Pipeline_Data!$F:$F,"&lt;&gt;Closed Lost")</f>
        <v>7</v>
      </c>
      <c r="H8" s="93">
        <f t="shared" si="0"/>
        <v>10</v>
      </c>
      <c r="I8" s="93">
        <f t="shared" si="1"/>
        <v>3</v>
      </c>
      <c r="J8" s="93">
        <f t="shared" si="2"/>
        <v>0</v>
      </c>
      <c r="K8" s="32">
        <f>IFERROR(SUMIFS(Pipeline_Data!$H:$H,Pipeline_Data!$E:$E,A8,Pipeline_Data!$F:$F,"&lt;&gt;Closed Won",Pipeline_Data!$F:$F,"&lt;&gt;Closed Lost")/G8,0)</f>
        <v>0.45428571428571435</v>
      </c>
      <c r="L8" s="32">
        <f>J8*K8*Inputs!$B$12</f>
        <v>0</v>
      </c>
      <c r="M8" s="91" t="str">
        <f t="shared" si="3"/>
        <v>Maintain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5" t="s">
        <v>75</v>
      </c>
      <c r="B9" s="25" t="str">
        <f>VLOOKUP(A9,Inputs!$H$4:$J$11,3,FALSE)</f>
        <v>West</v>
      </c>
      <c r="C9" s="94">
        <v>1</v>
      </c>
      <c r="D9" s="92">
        <v>22</v>
      </c>
      <c r="E9" s="92">
        <v>11</v>
      </c>
      <c r="F9" s="92">
        <f>E9*Inputs!$C$16</f>
        <v>1.1000000000000001</v>
      </c>
      <c r="G9" s="92">
        <f>COUNTIFS(Pipeline_Data!$E:$E,A9,Pipeline_Data!$F:$F,"&lt;&gt;Closed Won",Pipeline_Data!$F:$F,"&lt;&gt;Closed Lost")</f>
        <v>5</v>
      </c>
      <c r="H9" s="92">
        <f t="shared" si="0"/>
        <v>9</v>
      </c>
      <c r="I9" s="92">
        <f t="shared" si="1"/>
        <v>4</v>
      </c>
      <c r="J9" s="92">
        <f t="shared" si="2"/>
        <v>0</v>
      </c>
      <c r="K9" s="26">
        <f>IFERROR(SUMIFS(Pipeline_Data!$H:$H,Pipeline_Data!$E:$E,A9,Pipeline_Data!$F:$F,"&lt;&gt;Closed Won",Pipeline_Data!$F:$F,"&lt;&gt;Closed Lost")/G9,0)</f>
        <v>0.442</v>
      </c>
      <c r="L9" s="26">
        <f>J9*K9*Inputs!$B$12</f>
        <v>0</v>
      </c>
      <c r="M9" s="37" t="str">
        <f t="shared" si="3"/>
        <v>Maintain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31" t="s">
        <v>78</v>
      </c>
      <c r="B10" s="31" t="str">
        <f>VLOOKUP(A10,Inputs!$H$4:$J$11,3,FALSE)</f>
        <v>Central</v>
      </c>
      <c r="C10" s="95">
        <v>1</v>
      </c>
      <c r="D10" s="93">
        <v>21</v>
      </c>
      <c r="E10" s="93">
        <v>15</v>
      </c>
      <c r="F10" s="93">
        <f>E10*Inputs!$C$16</f>
        <v>1.5</v>
      </c>
      <c r="G10" s="93">
        <f>COUNTIFS(Pipeline_Data!$E:$E,A10,Pipeline_Data!$F:$F,"&lt;&gt;Closed Won",Pipeline_Data!$F:$F,"&lt;&gt;Closed Lost")</f>
        <v>5</v>
      </c>
      <c r="H10" s="93">
        <f t="shared" si="0"/>
        <v>8</v>
      </c>
      <c r="I10" s="93">
        <f t="shared" si="1"/>
        <v>3</v>
      </c>
      <c r="J10" s="93">
        <f t="shared" si="2"/>
        <v>1</v>
      </c>
      <c r="K10" s="32">
        <f>IFERROR(SUMIFS(Pipeline_Data!$H:$H,Pipeline_Data!$E:$E,A10,Pipeline_Data!$F:$F,"&lt;&gt;Closed Won",Pipeline_Data!$F:$F,"&lt;&gt;Closed Lost")/G10,0)</f>
        <v>0.52400000000000002</v>
      </c>
      <c r="L10" s="32">
        <f>J10*K10*Inputs!$B$12</f>
        <v>0.14672000000000002</v>
      </c>
      <c r="M10" s="96" t="str">
        <f t="shared" si="3"/>
        <v>Automate admin / add pipeline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>
      <c r="A11" s="25" t="s">
        <v>81</v>
      </c>
      <c r="B11" s="25" t="str">
        <f>VLOOKUP(A11,Inputs!$H$4:$J$11,3,FALSE)</f>
        <v>National</v>
      </c>
      <c r="C11" s="94">
        <v>1</v>
      </c>
      <c r="D11" s="92">
        <v>21</v>
      </c>
      <c r="E11" s="92">
        <v>12</v>
      </c>
      <c r="F11" s="92">
        <f>E11*Inputs!$C$16</f>
        <v>1.2000000000000002</v>
      </c>
      <c r="G11" s="92">
        <f>COUNTIFS(Pipeline_Data!$E:$E,A11,Pipeline_Data!$F:$F,"&lt;&gt;Closed Won",Pipeline_Data!$F:$F,"&lt;&gt;Closed Lost")</f>
        <v>9</v>
      </c>
      <c r="H11" s="92">
        <f t="shared" si="0"/>
        <v>8</v>
      </c>
      <c r="I11" s="97">
        <f t="shared" si="1"/>
        <v>-1</v>
      </c>
      <c r="J11" s="92">
        <f t="shared" si="2"/>
        <v>0</v>
      </c>
      <c r="K11" s="26">
        <f>IFERROR(SUMIFS(Pipeline_Data!$H:$H,Pipeline_Data!$E:$E,A11,Pipeline_Data!$F:$F,"&lt;&gt;Closed Won",Pipeline_Data!$F:$F,"&lt;&gt;Closed Lost")/G11,0)</f>
        <v>0.50888888888888895</v>
      </c>
      <c r="L11" s="26">
        <f>J11*K11*Inputs!$B$12</f>
        <v>0</v>
      </c>
      <c r="M11" s="37" t="str">
        <f t="shared" si="3"/>
        <v>Reduce load / rebalance territory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>
      <c r="A12" s="31" t="s">
        <v>85</v>
      </c>
      <c r="B12" s="31" t="str">
        <f>VLOOKUP(A12,Inputs!$H$4:$J$11,3,FALSE)</f>
        <v>National</v>
      </c>
      <c r="C12" s="95">
        <v>1</v>
      </c>
      <c r="D12" s="93">
        <v>22</v>
      </c>
      <c r="E12" s="93">
        <v>9</v>
      </c>
      <c r="F12" s="93">
        <f>E12*Inputs!$C$16</f>
        <v>0.9</v>
      </c>
      <c r="G12" s="93">
        <f>COUNTIFS(Pipeline_Data!$E:$E,A12,Pipeline_Data!$F:$F,"&lt;&gt;Closed Won",Pipeline_Data!$F:$F,"&lt;&gt;Closed Lost")</f>
        <v>10</v>
      </c>
      <c r="H12" s="93">
        <f t="shared" si="0"/>
        <v>9</v>
      </c>
      <c r="I12" s="98">
        <f t="shared" si="1"/>
        <v>-1</v>
      </c>
      <c r="J12" s="93">
        <f t="shared" si="2"/>
        <v>0</v>
      </c>
      <c r="K12" s="32">
        <f>IFERROR(SUMIFS(Pipeline_Data!$H:$H,Pipeline_Data!$E:$E,A12,Pipeline_Data!$F:$F,"&lt;&gt;Closed Won",Pipeline_Data!$F:$F,"&lt;&gt;Closed Lost")/G12,0)</f>
        <v>0.45800000000000002</v>
      </c>
      <c r="L12" s="32">
        <f>J12*K12*Inputs!$B$12</f>
        <v>0</v>
      </c>
      <c r="M12" s="91" t="str">
        <f t="shared" si="3"/>
        <v>Reduce load / rebalance territory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61413"/>
  </sheetPr>
  <dimension ref="A1:Z200"/>
  <sheetViews>
    <sheetView showGridLines="0" showRowColHeaders="0" workbookViewId="0">
      <pane ySplit="3" topLeftCell="A4" activePane="bottomLeft" state="frozen"/>
      <selection pane="bottomLeft" activeCell="A36" sqref="A36"/>
    </sheetView>
  </sheetViews>
  <sheetFormatPr baseColWidth="10" defaultColWidth="8.83203125" defaultRowHeight="14"/>
  <cols>
    <col min="1" max="1" width="41.6640625" customWidth="1"/>
    <col min="2" max="4" width="20" customWidth="1"/>
  </cols>
  <sheetData>
    <row r="1" spans="1:26" ht="26">
      <c r="A1" s="12" t="s">
        <v>250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 thickBot="1">
      <c r="A2" s="99"/>
      <c r="B2" s="99"/>
      <c r="C2" s="99"/>
      <c r="D2" s="9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2" t="s">
        <v>14</v>
      </c>
      <c r="B3" s="83" t="s">
        <v>15</v>
      </c>
      <c r="C3" s="83" t="s">
        <v>16</v>
      </c>
      <c r="D3" s="83" t="s">
        <v>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25" t="s">
        <v>2</v>
      </c>
      <c r="B4" s="113">
        <f>SUMIFS(Pipeline_Data!$H:$H,Pipeline_Data!$F:$F,"&lt;&gt;Closed Won",Pipeline_Data!$F:$F,"&lt;&gt;Closed Lost",Pipeline_Data!$N:$N,"In Quarter")</f>
        <v>25.360000000000007</v>
      </c>
      <c r="C4" s="101">
        <f>SUMIFS(Pipeline_Data!$H:$H,Pipeline_Data!$F:$F,"&lt;&gt;Closed Won",Pipeline_Data!$F:$F,"&lt;&gt;Closed Lost",Pipeline_Data!$N:$N,"In Quarter")</f>
        <v>25.360000000000007</v>
      </c>
      <c r="D4" s="113">
        <f>SUMIFS(Pipeline_Data!$H:$H,Pipeline_Data!$F:$F,"&lt;&gt;Closed Won",Pipeline_Data!$F:$F,"&lt;&gt;Closed Lost",Pipeline_Data!$N:$N,"In Quarter")</f>
        <v>25.360000000000007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31" t="s">
        <v>251</v>
      </c>
      <c r="B5" s="114">
        <f>SUMIFS(Pipeline_Data!$J:$J,Pipeline_Data!$F:$F,"&lt;&gt;Closed Won",Pipeline_Data!$F:$F,"&lt;&gt;Closed Lost",Pipeline_Data!$N:$N,"In Quarter")</f>
        <v>8.052999999999999</v>
      </c>
      <c r="C5" s="101">
        <f>SUMIFS(Pipeline_Data!$J:$J,Pipeline_Data!$F:$F,"&lt;&gt;Closed Won",Pipeline_Data!$F:$F,"&lt;&gt;Closed Lost",Pipeline_Data!$N:$N,"In Quarter")</f>
        <v>8.052999999999999</v>
      </c>
      <c r="D5" s="114">
        <f>SUMIFS(Pipeline_Data!$J:$J,Pipeline_Data!$F:$F,"&lt;&gt;Closed Won",Pipeline_Data!$F:$F,"&lt;&gt;Closed Lost",Pipeline_Data!$N:$N,"In Quarter")</f>
        <v>8.052999999999999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25" t="s">
        <v>252</v>
      </c>
      <c r="B6" s="113">
        <f>Inputs!$B$6</f>
        <v>12</v>
      </c>
      <c r="C6" s="101">
        <f>Inputs!$B$6</f>
        <v>12</v>
      </c>
      <c r="D6" s="113">
        <f>Inputs!$B$6</f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31" t="s">
        <v>253</v>
      </c>
      <c r="B7" s="115">
        <f>Inputs!$B$11</f>
        <v>0.24</v>
      </c>
      <c r="C7" s="103">
        <f>Inputs!$B$11</f>
        <v>0.24</v>
      </c>
      <c r="D7" s="115">
        <f>Inputs!$B$11</f>
        <v>0.24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25" t="s">
        <v>254</v>
      </c>
      <c r="B8" s="28">
        <f>Inputs!B$15/10000</f>
        <v>0.01</v>
      </c>
      <c r="C8" s="103">
        <f>Inputs!C$15/10000</f>
        <v>0.03</v>
      </c>
      <c r="D8" s="28">
        <f>Inputs!D$15/10000</f>
        <v>0.05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31" t="s">
        <v>255</v>
      </c>
      <c r="B9" s="34">
        <f>B7+B8</f>
        <v>0.25</v>
      </c>
      <c r="C9" s="103">
        <f>C7+C8</f>
        <v>0.27</v>
      </c>
      <c r="D9" s="34">
        <f>D7+D8</f>
        <v>0.28999999999999998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25" t="s">
        <v>256</v>
      </c>
      <c r="B10" s="28">
        <f>Inputs!B$18</f>
        <v>0.05</v>
      </c>
      <c r="C10" s="103">
        <f>Inputs!C$18</f>
        <v>0.08</v>
      </c>
      <c r="D10" s="28">
        <f>Inputs!D$18</f>
        <v>0.12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31" t="s">
        <v>257</v>
      </c>
      <c r="B11" s="102">
        <f>B4*(1-B10)</f>
        <v>24.092000000000006</v>
      </c>
      <c r="C11" s="101">
        <f>C4*(1-C10)</f>
        <v>23.331200000000006</v>
      </c>
      <c r="D11" s="102">
        <f>D4*(1-D10)</f>
        <v>22.316800000000004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25" t="s">
        <v>258</v>
      </c>
      <c r="B12" s="100">
        <f>B4*Inputs!B$19*Inputs!B$20</f>
        <v>0.30432000000000003</v>
      </c>
      <c r="C12" s="101">
        <f>C4*Inputs!C$19*Inputs!C$20</f>
        <v>0.95100000000000029</v>
      </c>
      <c r="D12" s="100">
        <f>D4*Inputs!D$19*Inputs!D$20</f>
        <v>1.7244800000000002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104" t="s">
        <v>19</v>
      </c>
      <c r="B13" s="105">
        <f>(B11*B9)+B12</f>
        <v>6.3273200000000012</v>
      </c>
      <c r="C13" s="106">
        <f>(C11*C9)+C12</f>
        <v>7.2504240000000024</v>
      </c>
      <c r="D13" s="105">
        <f>(D11*D9)+D12</f>
        <v>8.196352000000001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25" t="s">
        <v>259</v>
      </c>
      <c r="B14" s="107">
        <f>B13-B6</f>
        <v>-5.6726799999999988</v>
      </c>
      <c r="C14" s="108">
        <f>C13-C6</f>
        <v>-4.7495759999999976</v>
      </c>
      <c r="D14" s="107">
        <f>D13-D6</f>
        <v>-3.803647999999999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31" t="s">
        <v>260</v>
      </c>
      <c r="B15" s="112">
        <f>MAX(0,B13-(B4*B7))</f>
        <v>0.24092000000000002</v>
      </c>
      <c r="C15" s="101">
        <f>MAX(0,C13-(C4*C7))</f>
        <v>1.1640240000000013</v>
      </c>
      <c r="D15" s="112">
        <f>MAX(0,D13-(D4*D7))</f>
        <v>2.1099519999999998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 thickBot="1">
      <c r="A16" s="109" t="s">
        <v>25</v>
      </c>
      <c r="B16" s="110">
        <f>B15*Inputs!$B$8*Inputs!B$20</f>
        <v>6.0711840000000003E-2</v>
      </c>
      <c r="C16" s="111">
        <f>C15*Inputs!$B$8*Inputs!C$20</f>
        <v>0.36666756000000039</v>
      </c>
      <c r="D16" s="110">
        <f>D15*Inputs!$B$8*Inputs!D$20</f>
        <v>0.75325286399999991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Top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1413"/>
  </sheetPr>
  <dimension ref="A1:Z200"/>
  <sheetViews>
    <sheetView showGridLines="0" showRowColHeaders="0" workbookViewId="0">
      <pane ySplit="3" topLeftCell="A4" activePane="bottomLeft" state="frozen"/>
      <selection pane="bottomLeft" activeCell="A39" sqref="A39"/>
    </sheetView>
  </sheetViews>
  <sheetFormatPr baseColWidth="10" defaultColWidth="8.83203125" defaultRowHeight="14"/>
  <cols>
    <col min="1" max="1" width="35" customWidth="1"/>
    <col min="2" max="5" width="18" customWidth="1"/>
  </cols>
  <sheetData>
    <row r="1" spans="1:26" ht="19">
      <c r="A1" s="11" t="s">
        <v>261</v>
      </c>
      <c r="B1" s="11"/>
      <c r="C1" s="11"/>
      <c r="D1" s="11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>
      <c r="A3" s="3" t="s">
        <v>262</v>
      </c>
      <c r="B3" s="3" t="s">
        <v>263</v>
      </c>
      <c r="C3" s="3" t="s">
        <v>73</v>
      </c>
      <c r="D3" s="3" t="s">
        <v>264</v>
      </c>
      <c r="E3" s="3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2" t="s">
        <v>254</v>
      </c>
      <c r="B4" s="5">
        <f>Forecast_Scenarios!C15*0.45</f>
        <v>0.52381080000000058</v>
      </c>
      <c r="C4" s="4">
        <f>Inputs!$B$8</f>
        <v>0.42</v>
      </c>
      <c r="D4" s="5">
        <f t="shared" ref="D4:D9" si="0">B4*C4</f>
        <v>0.22000053600000025</v>
      </c>
      <c r="E4" s="5">
        <f>D4*Inputs!$B$9</f>
        <v>2.5300061640000027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2" t="s">
        <v>265</v>
      </c>
      <c r="B5" s="5">
        <f>SUM(Territory_Capacity!L5:L12)</f>
        <v>0.28392000000000001</v>
      </c>
      <c r="C5" s="4">
        <f>Inputs!$B$8</f>
        <v>0.42</v>
      </c>
      <c r="D5" s="5">
        <f t="shared" si="0"/>
        <v>0.1192464</v>
      </c>
      <c r="E5" s="5">
        <f>D5*Inputs!$B$9</f>
        <v>1.3713336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2" t="s">
        <v>266</v>
      </c>
      <c r="B6" s="5">
        <f>Forecast_Scenarios!C15*0.25</f>
        <v>0.29100600000000032</v>
      </c>
      <c r="C6" s="4">
        <f>Inputs!$B$8</f>
        <v>0.42</v>
      </c>
      <c r="D6" s="5">
        <f t="shared" si="0"/>
        <v>0.12222252000000013</v>
      </c>
      <c r="E6" s="5">
        <f>D6*Inputs!$B$9</f>
        <v>1.4055589800000015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" t="s">
        <v>267</v>
      </c>
      <c r="B7" s="5">
        <f>Forecast_Scenarios!C15*0.15</f>
        <v>0.17460360000000019</v>
      </c>
      <c r="C7" s="4">
        <f>Inputs!$B$8</f>
        <v>0.42</v>
      </c>
      <c r="D7" s="5">
        <f t="shared" si="0"/>
        <v>7.3333512000000073E-2</v>
      </c>
      <c r="E7" s="5">
        <f>D7*Inputs!$B$9</f>
        <v>0.84333538800000085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2" t="s">
        <v>268</v>
      </c>
      <c r="B8" s="5">
        <f>Forecast_Scenarios!C15*0.15</f>
        <v>0.17460360000000019</v>
      </c>
      <c r="C8" s="4">
        <f>Inputs!$B$8</f>
        <v>0.42</v>
      </c>
      <c r="D8" s="5">
        <f t="shared" si="0"/>
        <v>7.3333512000000073E-2</v>
      </c>
      <c r="E8" s="5">
        <f>D8*Inputs!$B$9</f>
        <v>0.84333538800000085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">
      <c r="A9" s="6" t="s">
        <v>269</v>
      </c>
      <c r="B9" s="7">
        <f>SUM(B4:B8)</f>
        <v>1.4479440000000012</v>
      </c>
      <c r="C9" s="8">
        <f>Inputs!$B$8</f>
        <v>0.42</v>
      </c>
      <c r="D9" s="7">
        <f t="shared" si="0"/>
        <v>0.60813648000000053</v>
      </c>
      <c r="E9" s="7">
        <f>D9*Inputs!$B$9</f>
        <v>6.9935695200000065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2" t="s">
        <v>270</v>
      </c>
      <c r="B10" s="5">
        <f>Inputs!$B$10/1000*1.5</f>
        <v>0.27749999999999997</v>
      </c>
      <c r="C10" s="2"/>
      <c r="D10" s="5">
        <f>B10</f>
        <v>0.27749999999999997</v>
      </c>
      <c r="E10" s="5">
        <f>D10*Inputs!$B$9</f>
        <v>3.1912499999999997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>
      <c r="A11" s="9" t="s">
        <v>271</v>
      </c>
      <c r="B11" s="10">
        <f>D9-D10</f>
        <v>0.33063648000000057</v>
      </c>
      <c r="C11" s="9"/>
      <c r="D11" s="10">
        <f>D9-D10</f>
        <v>0.33063648000000057</v>
      </c>
      <c r="E11" s="10">
        <f>D11*Inputs!$B$9</f>
        <v>3.8023195200000064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8B7E"/>
  </sheetPr>
  <dimension ref="A1:Z200"/>
  <sheetViews>
    <sheetView showGridLines="0" showRowColHeaders="0" workbookViewId="0">
      <pane ySplit="3" topLeftCell="A4" activePane="bottomLeft" state="frozen"/>
      <selection pane="bottomLeft" sqref="A1:E1"/>
    </sheetView>
  </sheetViews>
  <sheetFormatPr baseColWidth="10" defaultColWidth="8.83203125" defaultRowHeight="14"/>
  <cols>
    <col min="1" max="1" width="18" customWidth="1"/>
    <col min="2" max="2" width="36" customWidth="1"/>
    <col min="3" max="3" width="52" customWidth="1"/>
    <col min="4" max="4" width="26" customWidth="1"/>
    <col min="5" max="5" width="20" customWidth="1"/>
  </cols>
  <sheetData>
    <row r="1" spans="1:26" ht="19">
      <c r="A1" s="11" t="s">
        <v>272</v>
      </c>
      <c r="B1" s="11"/>
      <c r="C1" s="11"/>
      <c r="D1" s="11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>
      <c r="A3" s="3" t="s">
        <v>273</v>
      </c>
      <c r="B3" s="3" t="s">
        <v>274</v>
      </c>
      <c r="C3" s="3" t="s">
        <v>275</v>
      </c>
      <c r="D3" s="3" t="s">
        <v>276</v>
      </c>
      <c r="E3" s="3" t="s">
        <v>277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2" t="s">
        <v>278</v>
      </c>
      <c r="B4" s="2" t="s">
        <v>279</v>
      </c>
      <c r="C4" s="2" t="s">
        <v>280</v>
      </c>
      <c r="D4" s="2" t="s">
        <v>281</v>
      </c>
      <c r="E4" s="2" t="s">
        <v>282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2" t="s">
        <v>283</v>
      </c>
      <c r="B5" s="2" t="s">
        <v>284</v>
      </c>
      <c r="C5" s="2" t="s">
        <v>285</v>
      </c>
      <c r="D5" s="2" t="s">
        <v>286</v>
      </c>
      <c r="E5" s="2" t="s">
        <v>287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>
      <c r="A6" s="2" t="s">
        <v>288</v>
      </c>
      <c r="B6" s="2" t="s">
        <v>289</v>
      </c>
      <c r="C6" s="2" t="s">
        <v>290</v>
      </c>
      <c r="D6" s="2" t="s">
        <v>291</v>
      </c>
      <c r="E6" s="2" t="s">
        <v>292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2" t="s">
        <v>293</v>
      </c>
      <c r="B7" s="2" t="s">
        <v>294</v>
      </c>
      <c r="C7" s="2" t="s">
        <v>295</v>
      </c>
      <c r="D7" s="2" t="s">
        <v>296</v>
      </c>
      <c r="E7" s="2" t="s">
        <v>297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>
      <c r="A8" s="2" t="s">
        <v>298</v>
      </c>
      <c r="B8" s="2" t="s">
        <v>299</v>
      </c>
      <c r="C8" s="2" t="s">
        <v>300</v>
      </c>
      <c r="D8" s="2" t="s">
        <v>301</v>
      </c>
      <c r="E8" s="2" t="s">
        <v>302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>
      <c r="A9" s="2" t="s">
        <v>303</v>
      </c>
      <c r="B9" s="2" t="s">
        <v>304</v>
      </c>
      <c r="C9" s="2" t="s">
        <v>305</v>
      </c>
      <c r="D9" s="2" t="s">
        <v>306</v>
      </c>
      <c r="E9" s="2" t="s">
        <v>282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2" t="s">
        <v>307</v>
      </c>
      <c r="B10" s="2" t="s">
        <v>308</v>
      </c>
      <c r="C10" s="2" t="s">
        <v>309</v>
      </c>
      <c r="D10" s="2" t="s">
        <v>310</v>
      </c>
      <c r="E10" s="2" t="s">
        <v>311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>
      <c r="A11" s="2" t="s">
        <v>312</v>
      </c>
      <c r="B11" s="2" t="s">
        <v>313</v>
      </c>
      <c r="C11" s="2" t="s">
        <v>314</v>
      </c>
      <c r="D11" s="2" t="s">
        <v>315</v>
      </c>
      <c r="E11" s="2" t="s">
        <v>316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Instructions</vt:lpstr>
      <vt:lpstr>Inputs</vt:lpstr>
      <vt:lpstr>Pipeline_Data</vt:lpstr>
      <vt:lpstr>Rep_Productivity</vt:lpstr>
      <vt:lpstr>Stage_Conversion</vt:lpstr>
      <vt:lpstr>Territory_Capacity</vt:lpstr>
      <vt:lpstr>Forecast_Scenarios</vt:lpstr>
      <vt:lpstr>EBITDA_Impact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Blake Henkel</cp:lastModifiedBy>
  <dcterms:created xsi:type="dcterms:W3CDTF">2026-05-16T03:36:39Z</dcterms:created>
  <dcterms:modified xsi:type="dcterms:W3CDTF">2026-05-16T03:36:39Z</dcterms:modified>
</cp:coreProperties>
</file>