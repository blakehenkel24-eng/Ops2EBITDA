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blakehenkelsmacbook/Desktop/Blake's-Vault/projects/pe-ops-learning-os/Marketing/Offerings/Excel Models/Excel Models/"/>
    </mc:Choice>
  </mc:AlternateContent>
  <xr:revisionPtr revIDLastSave="0" documentId="13_ncr:1_{2DFE3097-F46B-E747-8A1C-3AC3F07F86CC}" xr6:coauthVersionLast="47" xr6:coauthVersionMax="47" xr10:uidLastSave="{00000000-0000-0000-0000-000000000000}"/>
  <bookViews>
    <workbookView xWindow="29400" yWindow="500" windowWidth="38400" windowHeight="21100" xr2:uid="{00000000-000D-0000-FFFF-FFFF00000000}"/>
  </bookViews>
  <sheets>
    <sheet name="Dashboard" sheetId="1" r:id="rId1"/>
    <sheet name="Instructions" sheetId="2" r:id="rId2"/>
    <sheet name="Inputs" sheetId="3" r:id="rId3"/>
    <sheet name="Customer_SKU_Data" sheetId="4" r:id="rId4"/>
    <sheet name="Waterfall" sheetId="5" r:id="rId5"/>
    <sheet name="Segmentation" sheetId="6" r:id="rId6"/>
    <sheet name="Scenarios" sheetId="7" r:id="rId7"/>
  </sheets>
  <definedNames>
    <definedName name="_xlchart.v1.0" hidden="1">Dashboard!$J$5:$J$11</definedName>
    <definedName name="_xlchart.v1.1" hidden="1">Dashboard!$K$5:$K$11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6" l="1"/>
  <c r="C15" i="6"/>
  <c r="D14" i="6"/>
  <c r="C14" i="6"/>
  <c r="D13" i="6"/>
  <c r="C13" i="6"/>
  <c r="D12" i="6"/>
  <c r="C12" i="6"/>
  <c r="D11" i="6"/>
  <c r="C11" i="6"/>
  <c r="D10" i="6"/>
  <c r="C10" i="6"/>
  <c r="D9" i="6"/>
  <c r="C9" i="6"/>
  <c r="D8" i="6"/>
  <c r="C8" i="6"/>
  <c r="D7" i="6"/>
  <c r="C7" i="6"/>
  <c r="D6" i="6"/>
  <c r="C6" i="6"/>
  <c r="D5" i="6"/>
  <c r="C5" i="6"/>
  <c r="D4" i="6"/>
  <c r="C4" i="6"/>
  <c r="B8" i="5"/>
  <c r="T123" i="4"/>
  <c r="S123" i="4"/>
  <c r="R123" i="4"/>
  <c r="P123" i="4"/>
  <c r="O123" i="4"/>
  <c r="N123" i="4"/>
  <c r="T122" i="4"/>
  <c r="U122" i="4" s="1"/>
  <c r="V122" i="4" s="1"/>
  <c r="S122" i="4"/>
  <c r="R122" i="4"/>
  <c r="O122" i="4"/>
  <c r="N122" i="4"/>
  <c r="T121" i="4"/>
  <c r="R121" i="4"/>
  <c r="Q121" i="4"/>
  <c r="P121" i="4"/>
  <c r="O121" i="4"/>
  <c r="N121" i="4"/>
  <c r="T120" i="4"/>
  <c r="O120" i="4"/>
  <c r="N120" i="4"/>
  <c r="T119" i="4"/>
  <c r="P119" i="4"/>
  <c r="O119" i="4"/>
  <c r="N119" i="4"/>
  <c r="T118" i="4"/>
  <c r="S118" i="4"/>
  <c r="R118" i="4"/>
  <c r="P118" i="4"/>
  <c r="O118" i="4"/>
  <c r="N118" i="4"/>
  <c r="V117" i="4"/>
  <c r="U117" i="4"/>
  <c r="T117" i="4"/>
  <c r="S117" i="4"/>
  <c r="R117" i="4"/>
  <c r="O117" i="4"/>
  <c r="N117" i="4"/>
  <c r="T116" i="4"/>
  <c r="R116" i="4"/>
  <c r="Q116" i="4"/>
  <c r="P116" i="4"/>
  <c r="O116" i="4"/>
  <c r="N116" i="4"/>
  <c r="T115" i="4"/>
  <c r="O115" i="4"/>
  <c r="N115" i="4"/>
  <c r="T114" i="4"/>
  <c r="P114" i="4"/>
  <c r="O114" i="4"/>
  <c r="N114" i="4"/>
  <c r="T113" i="4"/>
  <c r="S113" i="4"/>
  <c r="R113" i="4"/>
  <c r="P113" i="4"/>
  <c r="O113" i="4"/>
  <c r="N113" i="4"/>
  <c r="T112" i="4"/>
  <c r="S112" i="4"/>
  <c r="U112" i="4" s="1"/>
  <c r="V112" i="4" s="1"/>
  <c r="R112" i="4"/>
  <c r="O112" i="4"/>
  <c r="N112" i="4"/>
  <c r="T111" i="4"/>
  <c r="R111" i="4"/>
  <c r="Q111" i="4"/>
  <c r="P111" i="4"/>
  <c r="O111" i="4"/>
  <c r="N111" i="4"/>
  <c r="T110" i="4"/>
  <c r="O110" i="4"/>
  <c r="P110" i="4" s="1"/>
  <c r="N110" i="4"/>
  <c r="T109" i="4"/>
  <c r="O109" i="4"/>
  <c r="N109" i="4"/>
  <c r="T108" i="4"/>
  <c r="S108" i="4"/>
  <c r="R108" i="4"/>
  <c r="P108" i="4"/>
  <c r="O108" i="4"/>
  <c r="N108" i="4"/>
  <c r="T107" i="4"/>
  <c r="S107" i="4"/>
  <c r="U107" i="4" s="1"/>
  <c r="V107" i="4" s="1"/>
  <c r="R107" i="4"/>
  <c r="O107" i="4"/>
  <c r="N107" i="4"/>
  <c r="T106" i="4"/>
  <c r="R106" i="4"/>
  <c r="P106" i="4"/>
  <c r="O106" i="4"/>
  <c r="N106" i="4"/>
  <c r="T105" i="4"/>
  <c r="R105" i="4"/>
  <c r="S105" i="4" s="1"/>
  <c r="U105" i="4" s="1"/>
  <c r="V105" i="4" s="1"/>
  <c r="P105" i="4"/>
  <c r="O105" i="4"/>
  <c r="N105" i="4"/>
  <c r="T104" i="4"/>
  <c r="O104" i="4"/>
  <c r="N104" i="4"/>
  <c r="T103" i="4"/>
  <c r="S103" i="4"/>
  <c r="R103" i="4"/>
  <c r="P103" i="4"/>
  <c r="O103" i="4"/>
  <c r="N103" i="4"/>
  <c r="T102" i="4"/>
  <c r="S102" i="4"/>
  <c r="U102" i="4" s="1"/>
  <c r="V102" i="4" s="1"/>
  <c r="R102" i="4"/>
  <c r="O102" i="4"/>
  <c r="N102" i="4"/>
  <c r="T101" i="4"/>
  <c r="R101" i="4"/>
  <c r="P101" i="4"/>
  <c r="O101" i="4"/>
  <c r="N101" i="4"/>
  <c r="T100" i="4"/>
  <c r="R100" i="4"/>
  <c r="S100" i="4" s="1"/>
  <c r="U100" i="4" s="1"/>
  <c r="V100" i="4" s="1"/>
  <c r="P100" i="4"/>
  <c r="O100" i="4"/>
  <c r="N100" i="4"/>
  <c r="T99" i="4"/>
  <c r="O99" i="4"/>
  <c r="N99" i="4"/>
  <c r="T98" i="4"/>
  <c r="S98" i="4"/>
  <c r="R98" i="4"/>
  <c r="P98" i="4"/>
  <c r="O98" i="4"/>
  <c r="N98" i="4"/>
  <c r="T97" i="4"/>
  <c r="S97" i="4"/>
  <c r="U97" i="4" s="1"/>
  <c r="V97" i="4" s="1"/>
  <c r="R97" i="4"/>
  <c r="O97" i="4"/>
  <c r="N97" i="4"/>
  <c r="T96" i="4"/>
  <c r="R96" i="4"/>
  <c r="P96" i="4"/>
  <c r="O96" i="4"/>
  <c r="N96" i="4"/>
  <c r="T95" i="4"/>
  <c r="S95" i="4"/>
  <c r="U95" i="4" s="1"/>
  <c r="V95" i="4" s="1"/>
  <c r="R95" i="4"/>
  <c r="P95" i="4"/>
  <c r="O95" i="4"/>
  <c r="N95" i="4"/>
  <c r="T94" i="4"/>
  <c r="O94" i="4"/>
  <c r="N94" i="4"/>
  <c r="T93" i="4"/>
  <c r="S93" i="4"/>
  <c r="R93" i="4"/>
  <c r="P93" i="4"/>
  <c r="O93" i="4"/>
  <c r="N93" i="4"/>
  <c r="T92" i="4"/>
  <c r="S92" i="4"/>
  <c r="U92" i="4" s="1"/>
  <c r="V92" i="4" s="1"/>
  <c r="R92" i="4"/>
  <c r="O92" i="4"/>
  <c r="N92" i="4"/>
  <c r="T91" i="4"/>
  <c r="R91" i="4"/>
  <c r="P91" i="4"/>
  <c r="O91" i="4"/>
  <c r="N91" i="4"/>
  <c r="T90" i="4"/>
  <c r="S90" i="4"/>
  <c r="U90" i="4" s="1"/>
  <c r="V90" i="4" s="1"/>
  <c r="R90" i="4"/>
  <c r="O90" i="4"/>
  <c r="N90" i="4"/>
  <c r="T89" i="4"/>
  <c r="O89" i="4"/>
  <c r="N89" i="4"/>
  <c r="T88" i="4"/>
  <c r="S88" i="4"/>
  <c r="R88" i="4"/>
  <c r="P88" i="4"/>
  <c r="O88" i="4"/>
  <c r="N88" i="4"/>
  <c r="T87" i="4"/>
  <c r="S87" i="4"/>
  <c r="R87" i="4"/>
  <c r="O87" i="4"/>
  <c r="N87" i="4"/>
  <c r="T86" i="4"/>
  <c r="R86" i="4"/>
  <c r="P86" i="4"/>
  <c r="O86" i="4"/>
  <c r="N86" i="4"/>
  <c r="T85" i="4"/>
  <c r="O85" i="4"/>
  <c r="N85" i="4"/>
  <c r="T84" i="4"/>
  <c r="O84" i="4"/>
  <c r="N84" i="4"/>
  <c r="V83" i="4"/>
  <c r="T83" i="4"/>
  <c r="R83" i="4"/>
  <c r="P83" i="4"/>
  <c r="O83" i="4"/>
  <c r="N83" i="4"/>
  <c r="S83" i="4" s="1"/>
  <c r="U83" i="4" s="1"/>
  <c r="T82" i="4"/>
  <c r="S82" i="4"/>
  <c r="U82" i="4" s="1"/>
  <c r="V82" i="4" s="1"/>
  <c r="R82" i="4"/>
  <c r="O82" i="4"/>
  <c r="N82" i="4"/>
  <c r="T81" i="4"/>
  <c r="R81" i="4"/>
  <c r="P81" i="4"/>
  <c r="O81" i="4"/>
  <c r="N81" i="4"/>
  <c r="T80" i="4"/>
  <c r="O80" i="4"/>
  <c r="R80" i="4" s="1"/>
  <c r="N80" i="4"/>
  <c r="S80" i="4" s="1"/>
  <c r="U80" i="4" s="1"/>
  <c r="V80" i="4" s="1"/>
  <c r="T79" i="4"/>
  <c r="O79" i="4"/>
  <c r="R79" i="4" s="1"/>
  <c r="N79" i="4"/>
  <c r="T78" i="4"/>
  <c r="R78" i="4"/>
  <c r="P78" i="4"/>
  <c r="O78" i="4"/>
  <c r="N78" i="4"/>
  <c r="S78" i="4" s="1"/>
  <c r="U78" i="4" s="1"/>
  <c r="V78" i="4" s="1"/>
  <c r="T77" i="4"/>
  <c r="U77" i="4" s="1"/>
  <c r="V77" i="4" s="1"/>
  <c r="S77" i="4"/>
  <c r="R77" i="4"/>
  <c r="O77" i="4"/>
  <c r="N77" i="4"/>
  <c r="T76" i="4"/>
  <c r="R76" i="4"/>
  <c r="P76" i="4"/>
  <c r="O76" i="4"/>
  <c r="N76" i="4"/>
  <c r="T75" i="4"/>
  <c r="O75" i="4"/>
  <c r="R75" i="4" s="1"/>
  <c r="N75" i="4"/>
  <c r="S75" i="4" s="1"/>
  <c r="U75" i="4" s="1"/>
  <c r="V75" i="4" s="1"/>
  <c r="T74" i="4"/>
  <c r="Q74" i="4"/>
  <c r="P74" i="4"/>
  <c r="O74" i="4"/>
  <c r="R74" i="4" s="1"/>
  <c r="N74" i="4"/>
  <c r="S74" i="4" s="1"/>
  <c r="U74" i="4" s="1"/>
  <c r="V74" i="4" s="1"/>
  <c r="T73" i="4"/>
  <c r="R73" i="4"/>
  <c r="P73" i="4"/>
  <c r="O73" i="4"/>
  <c r="N73" i="4"/>
  <c r="S73" i="4" s="1"/>
  <c r="U73" i="4" s="1"/>
  <c r="V73" i="4" s="1"/>
  <c r="V72" i="4"/>
  <c r="U72" i="4"/>
  <c r="T72" i="4"/>
  <c r="S72" i="4"/>
  <c r="R72" i="4"/>
  <c r="O72" i="4"/>
  <c r="N72" i="4"/>
  <c r="T71" i="4"/>
  <c r="R71" i="4"/>
  <c r="Q71" i="4"/>
  <c r="P71" i="4"/>
  <c r="O71" i="4"/>
  <c r="N71" i="4"/>
  <c r="T70" i="4"/>
  <c r="O70" i="4"/>
  <c r="P70" i="4" s="1"/>
  <c r="N70" i="4"/>
  <c r="T69" i="4"/>
  <c r="O69" i="4"/>
  <c r="R69" i="4" s="1"/>
  <c r="N69" i="4"/>
  <c r="S69" i="4" s="1"/>
  <c r="U69" i="4" s="1"/>
  <c r="V69" i="4" s="1"/>
  <c r="T68" i="4"/>
  <c r="R68" i="4"/>
  <c r="P68" i="4"/>
  <c r="O68" i="4"/>
  <c r="N68" i="4"/>
  <c r="S68" i="4" s="1"/>
  <c r="T67" i="4"/>
  <c r="S67" i="4"/>
  <c r="U67" i="4" s="1"/>
  <c r="V67" i="4" s="1"/>
  <c r="R67" i="4"/>
  <c r="O67" i="4"/>
  <c r="N67" i="4"/>
  <c r="T66" i="4"/>
  <c r="R66" i="4"/>
  <c r="P66" i="4"/>
  <c r="O66" i="4"/>
  <c r="N66" i="4"/>
  <c r="T65" i="4"/>
  <c r="S65" i="4"/>
  <c r="U65" i="4" s="1"/>
  <c r="V65" i="4" s="1"/>
  <c r="R65" i="4"/>
  <c r="P65" i="4"/>
  <c r="O65" i="4"/>
  <c r="N65" i="4"/>
  <c r="T64" i="4"/>
  <c r="O64" i="4"/>
  <c r="R64" i="4" s="1"/>
  <c r="N64" i="4"/>
  <c r="S64" i="4" s="1"/>
  <c r="U64" i="4" s="1"/>
  <c r="V64" i="4" s="1"/>
  <c r="T63" i="4"/>
  <c r="R63" i="4"/>
  <c r="P63" i="4"/>
  <c r="O63" i="4"/>
  <c r="N63" i="4"/>
  <c r="S63" i="4" s="1"/>
  <c r="T62" i="4"/>
  <c r="S62" i="4"/>
  <c r="U62" i="4" s="1"/>
  <c r="V62" i="4" s="1"/>
  <c r="R62" i="4"/>
  <c r="O62" i="4"/>
  <c r="N62" i="4"/>
  <c r="T61" i="4"/>
  <c r="R61" i="4"/>
  <c r="P61" i="4"/>
  <c r="O61" i="4"/>
  <c r="N61" i="4"/>
  <c r="T60" i="4"/>
  <c r="S60" i="4"/>
  <c r="U60" i="4" s="1"/>
  <c r="V60" i="4" s="1"/>
  <c r="R60" i="4"/>
  <c r="O60" i="4"/>
  <c r="N60" i="4"/>
  <c r="T59" i="4"/>
  <c r="O59" i="4"/>
  <c r="N59" i="4"/>
  <c r="V58" i="4"/>
  <c r="T58" i="4"/>
  <c r="R58" i="4"/>
  <c r="P58" i="4"/>
  <c r="O58" i="4"/>
  <c r="N58" i="4"/>
  <c r="S58" i="4" s="1"/>
  <c r="U58" i="4" s="1"/>
  <c r="T57" i="4"/>
  <c r="S57" i="4"/>
  <c r="U57" i="4" s="1"/>
  <c r="V57" i="4" s="1"/>
  <c r="R57" i="4"/>
  <c r="O57" i="4"/>
  <c r="N57" i="4"/>
  <c r="T56" i="4"/>
  <c r="R56" i="4"/>
  <c r="S56" i="4" s="1"/>
  <c r="U56" i="4" s="1"/>
  <c r="V56" i="4" s="1"/>
  <c r="Q56" i="4"/>
  <c r="P56" i="4"/>
  <c r="O56" i="4"/>
  <c r="N56" i="4"/>
  <c r="T55" i="4"/>
  <c r="R55" i="4"/>
  <c r="W55" i="4" s="1"/>
  <c r="X55" i="4" s="1"/>
  <c r="Q55" i="4"/>
  <c r="O55" i="4"/>
  <c r="P55" i="4" s="1"/>
  <c r="N55" i="4"/>
  <c r="T54" i="4"/>
  <c r="P54" i="4"/>
  <c r="O54" i="4"/>
  <c r="N54" i="4"/>
  <c r="T53" i="4"/>
  <c r="R53" i="4"/>
  <c r="O53" i="4"/>
  <c r="P53" i="4" s="1"/>
  <c r="Q53" i="4" s="1"/>
  <c r="N53" i="4"/>
  <c r="W52" i="4"/>
  <c r="X52" i="4" s="1"/>
  <c r="T52" i="4"/>
  <c r="R52" i="4"/>
  <c r="S52" i="4" s="1"/>
  <c r="U52" i="4" s="1"/>
  <c r="V52" i="4" s="1"/>
  <c r="Y52" i="4" s="1"/>
  <c r="O52" i="4"/>
  <c r="P52" i="4" s="1"/>
  <c r="Q52" i="4" s="1"/>
  <c r="N52" i="4"/>
  <c r="U51" i="4"/>
  <c r="V51" i="4" s="1"/>
  <c r="T51" i="4"/>
  <c r="S51" i="4"/>
  <c r="R51" i="4"/>
  <c r="O51" i="4"/>
  <c r="P51" i="4" s="1"/>
  <c r="N51" i="4"/>
  <c r="W50" i="4"/>
  <c r="X50" i="4" s="1"/>
  <c r="T50" i="4"/>
  <c r="S50" i="4"/>
  <c r="U50" i="4" s="1"/>
  <c r="V50" i="4" s="1"/>
  <c r="Y50" i="4" s="1"/>
  <c r="R50" i="4"/>
  <c r="Q50" i="4"/>
  <c r="P50" i="4"/>
  <c r="O50" i="4"/>
  <c r="N50" i="4"/>
  <c r="T49" i="4"/>
  <c r="O49" i="4"/>
  <c r="N49" i="4"/>
  <c r="T48" i="4"/>
  <c r="O48" i="4"/>
  <c r="N48" i="4"/>
  <c r="T47" i="4"/>
  <c r="O47" i="4"/>
  <c r="N47" i="4"/>
  <c r="T46" i="4"/>
  <c r="O46" i="4"/>
  <c r="N46" i="4"/>
  <c r="T45" i="4"/>
  <c r="R45" i="4"/>
  <c r="Q45" i="4"/>
  <c r="W45" i="4" s="1"/>
  <c r="X45" i="4" s="1"/>
  <c r="P45" i="4"/>
  <c r="O45" i="4"/>
  <c r="N45" i="4"/>
  <c r="T44" i="4"/>
  <c r="O44" i="4"/>
  <c r="R44" i="4" s="1"/>
  <c r="S44" i="4" s="1"/>
  <c r="U44" i="4" s="1"/>
  <c r="V44" i="4" s="1"/>
  <c r="N44" i="4"/>
  <c r="T43" i="4"/>
  <c r="R43" i="4"/>
  <c r="S43" i="4" s="1"/>
  <c r="U43" i="4" s="1"/>
  <c r="V43" i="4" s="1"/>
  <c r="Q43" i="4"/>
  <c r="P43" i="4"/>
  <c r="W43" i="4" s="1"/>
  <c r="X43" i="4" s="1"/>
  <c r="O43" i="4"/>
  <c r="N43" i="4"/>
  <c r="T42" i="4"/>
  <c r="R42" i="4"/>
  <c r="O42" i="4"/>
  <c r="N42" i="4"/>
  <c r="S42" i="4" s="1"/>
  <c r="U42" i="4" s="1"/>
  <c r="V42" i="4" s="1"/>
  <c r="T41" i="4"/>
  <c r="O41" i="4"/>
  <c r="N41" i="4"/>
  <c r="T40" i="4"/>
  <c r="O40" i="4"/>
  <c r="R40" i="4" s="1"/>
  <c r="N40" i="4"/>
  <c r="T39" i="4"/>
  <c r="S39" i="4"/>
  <c r="U39" i="4" s="1"/>
  <c r="V39" i="4" s="1"/>
  <c r="R39" i="4"/>
  <c r="O39" i="4"/>
  <c r="N39" i="4"/>
  <c r="T38" i="4"/>
  <c r="R38" i="4"/>
  <c r="S38" i="4" s="1"/>
  <c r="U38" i="4" s="1"/>
  <c r="V38" i="4" s="1"/>
  <c r="Q38" i="4"/>
  <c r="P38" i="4"/>
  <c r="O38" i="4"/>
  <c r="N38" i="4"/>
  <c r="T37" i="4"/>
  <c r="S37" i="4"/>
  <c r="U37" i="4" s="1"/>
  <c r="V37" i="4" s="1"/>
  <c r="R37" i="4"/>
  <c r="O37" i="4"/>
  <c r="N37" i="4"/>
  <c r="T36" i="4"/>
  <c r="P36" i="4"/>
  <c r="O36" i="4"/>
  <c r="N36" i="4"/>
  <c r="T35" i="4"/>
  <c r="R35" i="4"/>
  <c r="P35" i="4"/>
  <c r="O35" i="4"/>
  <c r="N35" i="4"/>
  <c r="T34" i="4"/>
  <c r="O34" i="4"/>
  <c r="R34" i="4" s="1"/>
  <c r="S34" i="4" s="1"/>
  <c r="U34" i="4" s="1"/>
  <c r="V34" i="4" s="1"/>
  <c r="N34" i="4"/>
  <c r="T33" i="4"/>
  <c r="R33" i="4"/>
  <c r="S33" i="4" s="1"/>
  <c r="U33" i="4" s="1"/>
  <c r="V33" i="4" s="1"/>
  <c r="P33" i="4"/>
  <c r="O33" i="4"/>
  <c r="N33" i="4"/>
  <c r="T32" i="4"/>
  <c r="R32" i="4"/>
  <c r="O32" i="4"/>
  <c r="N32" i="4"/>
  <c r="S32" i="4" s="1"/>
  <c r="U32" i="4" s="1"/>
  <c r="V32" i="4" s="1"/>
  <c r="T31" i="4"/>
  <c r="O31" i="4"/>
  <c r="N31" i="4"/>
  <c r="T30" i="4"/>
  <c r="O30" i="4"/>
  <c r="P30" i="4" s="1"/>
  <c r="N30" i="4"/>
  <c r="T29" i="4"/>
  <c r="O29" i="4"/>
  <c r="R29" i="4" s="1"/>
  <c r="N29" i="4"/>
  <c r="S29" i="4" s="1"/>
  <c r="U29" i="4" s="1"/>
  <c r="V29" i="4" s="1"/>
  <c r="U28" i="4"/>
  <c r="T28" i="4"/>
  <c r="S28" i="4"/>
  <c r="R28" i="4"/>
  <c r="P28" i="4"/>
  <c r="O28" i="4"/>
  <c r="N28" i="4"/>
  <c r="U27" i="4"/>
  <c r="T27" i="4"/>
  <c r="R27" i="4"/>
  <c r="O27" i="4"/>
  <c r="N27" i="4"/>
  <c r="S27" i="4" s="1"/>
  <c r="T26" i="4"/>
  <c r="O26" i="4"/>
  <c r="N26" i="4"/>
  <c r="V25" i="4"/>
  <c r="T25" i="4"/>
  <c r="S25" i="4"/>
  <c r="U25" i="4" s="1"/>
  <c r="R25" i="4"/>
  <c r="O25" i="4"/>
  <c r="N25" i="4"/>
  <c r="T24" i="4"/>
  <c r="S24" i="4"/>
  <c r="U24" i="4" s="1"/>
  <c r="V24" i="4" s="1"/>
  <c r="R24" i="4"/>
  <c r="O24" i="4"/>
  <c r="N24" i="4"/>
  <c r="T23" i="4"/>
  <c r="S23" i="4"/>
  <c r="U23" i="4" s="1"/>
  <c r="R23" i="4"/>
  <c r="P23" i="4"/>
  <c r="Q23" i="4" s="1"/>
  <c r="W23" i="4" s="1"/>
  <c r="O23" i="4"/>
  <c r="N23" i="4"/>
  <c r="T22" i="4"/>
  <c r="O22" i="4"/>
  <c r="N22" i="4"/>
  <c r="U21" i="4"/>
  <c r="V21" i="4" s="1"/>
  <c r="T21" i="4"/>
  <c r="O21" i="4"/>
  <c r="R21" i="4" s="1"/>
  <c r="N21" i="4"/>
  <c r="S21" i="4" s="1"/>
  <c r="T20" i="4"/>
  <c r="O20" i="4"/>
  <c r="R20" i="4" s="1"/>
  <c r="N20" i="4"/>
  <c r="S20" i="4" s="1"/>
  <c r="U20" i="4" s="1"/>
  <c r="V20" i="4" s="1"/>
  <c r="T19" i="4"/>
  <c r="O19" i="4"/>
  <c r="R19" i="4" s="1"/>
  <c r="N19" i="4"/>
  <c r="S19" i="4" s="1"/>
  <c r="U19" i="4" s="1"/>
  <c r="V19" i="4" s="1"/>
  <c r="W18" i="4"/>
  <c r="X18" i="4" s="1"/>
  <c r="T18" i="4"/>
  <c r="U18" i="4" s="1"/>
  <c r="V18" i="4" s="1"/>
  <c r="Y18" i="4" s="1"/>
  <c r="S18" i="4"/>
  <c r="R18" i="4"/>
  <c r="P18" i="4"/>
  <c r="Q18" i="4" s="1"/>
  <c r="O18" i="4"/>
  <c r="N18" i="4"/>
  <c r="T17" i="4"/>
  <c r="O17" i="4"/>
  <c r="R17" i="4" s="1"/>
  <c r="N17" i="4"/>
  <c r="T16" i="4"/>
  <c r="O16" i="4"/>
  <c r="N16" i="4"/>
  <c r="T15" i="4"/>
  <c r="O15" i="4"/>
  <c r="E11" i="6" s="1"/>
  <c r="N15" i="4"/>
  <c r="T14" i="4"/>
  <c r="O14" i="4"/>
  <c r="R14" i="4" s="1"/>
  <c r="N14" i="4"/>
  <c r="T13" i="4"/>
  <c r="R13" i="4"/>
  <c r="S13" i="4" s="1"/>
  <c r="U13" i="4" s="1"/>
  <c r="V13" i="4" s="1"/>
  <c r="P13" i="4"/>
  <c r="Q13" i="4" s="1"/>
  <c r="W13" i="4" s="1"/>
  <c r="X13" i="4" s="1"/>
  <c r="O13" i="4"/>
  <c r="N13" i="4"/>
  <c r="T12" i="4"/>
  <c r="O12" i="4"/>
  <c r="R12" i="4" s="1"/>
  <c r="N12" i="4"/>
  <c r="S12" i="4" s="1"/>
  <c r="U12" i="4" s="1"/>
  <c r="V12" i="4" s="1"/>
  <c r="T11" i="4"/>
  <c r="O11" i="4"/>
  <c r="R11" i="4" s="1"/>
  <c r="N11" i="4"/>
  <c r="S11" i="4" s="1"/>
  <c r="U11" i="4" s="1"/>
  <c r="V11" i="4" s="1"/>
  <c r="T10" i="4"/>
  <c r="O10" i="4"/>
  <c r="N10" i="4"/>
  <c r="T9" i="4"/>
  <c r="O9" i="4"/>
  <c r="N9" i="4"/>
  <c r="T8" i="4"/>
  <c r="R8" i="4"/>
  <c r="S8" i="4" s="1"/>
  <c r="U8" i="4" s="1"/>
  <c r="V8" i="4" s="1"/>
  <c r="P8" i="4"/>
  <c r="Q8" i="4" s="1"/>
  <c r="W8" i="4" s="1"/>
  <c r="X8" i="4" s="1"/>
  <c r="O8" i="4"/>
  <c r="N8" i="4"/>
  <c r="T7" i="4"/>
  <c r="O7" i="4"/>
  <c r="N7" i="4"/>
  <c r="T6" i="4"/>
  <c r="O6" i="4"/>
  <c r="N6" i="4"/>
  <c r="T5" i="4"/>
  <c r="O5" i="4"/>
  <c r="E5" i="6" s="1"/>
  <c r="N5" i="4"/>
  <c r="T4" i="4"/>
  <c r="R4" i="4"/>
  <c r="S4" i="4" s="1"/>
  <c r="Q4" i="4"/>
  <c r="P4" i="4"/>
  <c r="O4" i="4"/>
  <c r="N4" i="4"/>
  <c r="B10" i="1"/>
  <c r="A10" i="1"/>
  <c r="B15" i="1"/>
  <c r="A15" i="1"/>
  <c r="B17" i="1"/>
  <c r="A17" i="1"/>
  <c r="B14" i="1"/>
  <c r="A14" i="1"/>
  <c r="B16" i="1"/>
  <c r="A16" i="1"/>
  <c r="B12" i="1"/>
  <c r="A12" i="1"/>
  <c r="B11" i="1"/>
  <c r="A11" i="1"/>
  <c r="B13" i="1"/>
  <c r="A13" i="1"/>
  <c r="K9" i="1"/>
  <c r="Y8" i="4" l="1"/>
  <c r="V23" i="4"/>
  <c r="Y23" i="4" s="1"/>
  <c r="U4" i="4"/>
  <c r="Y13" i="4"/>
  <c r="V28" i="4"/>
  <c r="P44" i="4"/>
  <c r="W81" i="4"/>
  <c r="X81" i="4" s="1"/>
  <c r="Q81" i="4"/>
  <c r="P10" i="4"/>
  <c r="Q10" i="4" s="1"/>
  <c r="R10" i="4"/>
  <c r="E10" i="6"/>
  <c r="R9" i="4"/>
  <c r="P9" i="4"/>
  <c r="S14" i="4"/>
  <c r="U14" i="4" s="1"/>
  <c r="V14" i="4" s="1"/>
  <c r="S17" i="4"/>
  <c r="U17" i="4" s="1"/>
  <c r="V17" i="4" s="1"/>
  <c r="Q24" i="4"/>
  <c r="S48" i="4"/>
  <c r="U48" i="4" s="1"/>
  <c r="V48" i="4" s="1"/>
  <c r="S59" i="4"/>
  <c r="U59" i="4" s="1"/>
  <c r="V59" i="4" s="1"/>
  <c r="U87" i="4"/>
  <c r="V87" i="4" s="1"/>
  <c r="R115" i="4"/>
  <c r="S115" i="4" s="1"/>
  <c r="U115" i="4" s="1"/>
  <c r="V115" i="4" s="1"/>
  <c r="P115" i="4"/>
  <c r="Q115" i="4" s="1"/>
  <c r="X23" i="4"/>
  <c r="W76" i="4"/>
  <c r="X76" i="4" s="1"/>
  <c r="Q33" i="4"/>
  <c r="W33" i="4" s="1"/>
  <c r="X33" i="4" s="1"/>
  <c r="Y33" i="4" s="1"/>
  <c r="W35" i="4"/>
  <c r="X35" i="4" s="1"/>
  <c r="Q44" i="4"/>
  <c r="S10" i="4"/>
  <c r="U10" i="4" s="1"/>
  <c r="V10" i="4" s="1"/>
  <c r="P5" i="4"/>
  <c r="S84" i="4"/>
  <c r="U84" i="4" s="1"/>
  <c r="V84" i="4" s="1"/>
  <c r="Q5" i="4"/>
  <c r="S7" i="4"/>
  <c r="Q76" i="4"/>
  <c r="R84" i="4"/>
  <c r="P84" i="4"/>
  <c r="Q84" i="4" s="1"/>
  <c r="S6" i="4"/>
  <c r="E15" i="6"/>
  <c r="R6" i="4"/>
  <c r="P6" i="4"/>
  <c r="V27" i="4"/>
  <c r="W119" i="4"/>
  <c r="X119" i="4" s="1"/>
  <c r="Q35" i="4"/>
  <c r="Q70" i="4"/>
  <c r="R70" i="4"/>
  <c r="S70" i="4" s="1"/>
  <c r="P79" i="4"/>
  <c r="Q110" i="4"/>
  <c r="W110" i="4" s="1"/>
  <c r="X110" i="4" s="1"/>
  <c r="R110" i="4"/>
  <c r="S110" i="4" s="1"/>
  <c r="U110" i="4" s="1"/>
  <c r="V110" i="4" s="1"/>
  <c r="S22" i="4"/>
  <c r="Q25" i="4"/>
  <c r="P34" i="4"/>
  <c r="Y43" i="4"/>
  <c r="R48" i="4"/>
  <c r="P48" i="4"/>
  <c r="R59" i="4"/>
  <c r="P59" i="4"/>
  <c r="Q59" i="4"/>
  <c r="Q79" i="4"/>
  <c r="S41" i="4"/>
  <c r="R5" i="4"/>
  <c r="S5" i="4" s="1"/>
  <c r="P7" i="4"/>
  <c r="R7" i="4"/>
  <c r="W4" i="4"/>
  <c r="S9" i="4"/>
  <c r="W30" i="4"/>
  <c r="X30" i="4" s="1"/>
  <c r="Q34" i="4"/>
  <c r="W36" i="4"/>
  <c r="X36" i="4" s="1"/>
  <c r="Q105" i="4"/>
  <c r="W105" i="4" s="1"/>
  <c r="X105" i="4" s="1"/>
  <c r="Y105" i="4" s="1"/>
  <c r="E8" i="6"/>
  <c r="R41" i="4"/>
  <c r="Q41" i="4"/>
  <c r="W86" i="4"/>
  <c r="X86" i="4" s="1"/>
  <c r="R89" i="4"/>
  <c r="S89" i="4" s="1"/>
  <c r="U89" i="4" s="1"/>
  <c r="V89" i="4" s="1"/>
  <c r="Q89" i="4"/>
  <c r="Q120" i="4"/>
  <c r="S55" i="4"/>
  <c r="U55" i="4" s="1"/>
  <c r="V55" i="4" s="1"/>
  <c r="Y55" i="4" s="1"/>
  <c r="Q86" i="4"/>
  <c r="P89" i="4"/>
  <c r="W91" i="4"/>
  <c r="X91" i="4" s="1"/>
  <c r="R94" i="4"/>
  <c r="S94" i="4" s="1"/>
  <c r="U94" i="4" s="1"/>
  <c r="V94" i="4" s="1"/>
  <c r="Q94" i="4"/>
  <c r="P14" i="4"/>
  <c r="E14" i="6"/>
  <c r="K14" i="6" s="1"/>
  <c r="B4" i="5"/>
  <c r="R36" i="4"/>
  <c r="Q36" i="4"/>
  <c r="W53" i="4"/>
  <c r="X53" i="4" s="1"/>
  <c r="Q65" i="4"/>
  <c r="W65" i="4" s="1"/>
  <c r="X65" i="4" s="1"/>
  <c r="Y65" i="4" s="1"/>
  <c r="U68" i="4"/>
  <c r="V68" i="4" s="1"/>
  <c r="W74" i="4"/>
  <c r="X74" i="4" s="1"/>
  <c r="S79" i="4"/>
  <c r="U79" i="4" s="1"/>
  <c r="V79" i="4" s="1"/>
  <c r="Q100" i="4"/>
  <c r="W100" i="4" s="1"/>
  <c r="X100" i="4" s="1"/>
  <c r="Y100" i="4" s="1"/>
  <c r="W116" i="4"/>
  <c r="X116" i="4" s="1"/>
  <c r="R119" i="4"/>
  <c r="Q119" i="4"/>
  <c r="W121" i="4"/>
  <c r="X121" i="4" s="1"/>
  <c r="E4" i="6"/>
  <c r="R31" i="4"/>
  <c r="S31" i="4" s="1"/>
  <c r="P31" i="4"/>
  <c r="P41" i="4"/>
  <c r="P120" i="4"/>
  <c r="P29" i="4"/>
  <c r="P94" i="4"/>
  <c r="W96" i="4"/>
  <c r="X96" i="4" s="1"/>
  <c r="R99" i="4"/>
  <c r="S99" i="4" s="1"/>
  <c r="U99" i="4" s="1"/>
  <c r="V99" i="4" s="1"/>
  <c r="Q99" i="4"/>
  <c r="R120" i="4"/>
  <c r="S120" i="4" s="1"/>
  <c r="U120" i="4" s="1"/>
  <c r="V120" i="4" s="1"/>
  <c r="P15" i="4"/>
  <c r="Q30" i="4"/>
  <c r="P64" i="4"/>
  <c r="Q91" i="4"/>
  <c r="P16" i="4"/>
  <c r="P19" i="4"/>
  <c r="P20" i="4"/>
  <c r="E6" i="6"/>
  <c r="K6" i="6" s="1"/>
  <c r="P22" i="4"/>
  <c r="Q29" i="4"/>
  <c r="R30" i="4"/>
  <c r="S30" i="4" s="1"/>
  <c r="Q40" i="4"/>
  <c r="S46" i="4"/>
  <c r="U46" i="4" s="1"/>
  <c r="V46" i="4" s="1"/>
  <c r="Q64" i="4"/>
  <c r="W66" i="4"/>
  <c r="X66" i="4" s="1"/>
  <c r="P80" i="4"/>
  <c r="Q96" i="4"/>
  <c r="P99" i="4"/>
  <c r="R104" i="4"/>
  <c r="Q104" i="4"/>
  <c r="S40" i="4"/>
  <c r="U40" i="4" s="1"/>
  <c r="V40" i="4" s="1"/>
  <c r="B10" i="5"/>
  <c r="C10" i="5" s="1"/>
  <c r="P75" i="4"/>
  <c r="P17" i="4"/>
  <c r="P40" i="4"/>
  <c r="R47" i="4"/>
  <c r="S47" i="4" s="1"/>
  <c r="U47" i="4" s="1"/>
  <c r="V47" i="4" s="1"/>
  <c r="P47" i="4"/>
  <c r="Q61" i="4"/>
  <c r="W61" i="4" s="1"/>
  <c r="X61" i="4" s="1"/>
  <c r="R15" i="4"/>
  <c r="S15" i="4" s="1"/>
  <c r="Q19" i="4"/>
  <c r="P21" i="4"/>
  <c r="R22" i="4"/>
  <c r="P24" i="4"/>
  <c r="P25" i="4"/>
  <c r="R26" i="4"/>
  <c r="S26" i="4" s="1"/>
  <c r="Q26" i="4"/>
  <c r="Q28" i="4"/>
  <c r="W28" i="4" s="1"/>
  <c r="P39" i="4"/>
  <c r="Q39" i="4" s="1"/>
  <c r="S45" i="4"/>
  <c r="U45" i="4" s="1"/>
  <c r="V45" i="4" s="1"/>
  <c r="Y45" i="4" s="1"/>
  <c r="R46" i="4"/>
  <c r="U63" i="4"/>
  <c r="V63" i="4" s="1"/>
  <c r="Q66" i="4"/>
  <c r="P69" i="4"/>
  <c r="Y74" i="4"/>
  <c r="P85" i="4"/>
  <c r="Q101" i="4"/>
  <c r="W101" i="4" s="1"/>
  <c r="X101" i="4" s="1"/>
  <c r="P104" i="4"/>
  <c r="R109" i="4"/>
  <c r="Q109" i="4"/>
  <c r="Q75" i="4"/>
  <c r="P12" i="4"/>
  <c r="Q12" i="4" s="1"/>
  <c r="S16" i="4"/>
  <c r="P11" i="4"/>
  <c r="Q11" i="4" s="1"/>
  <c r="E12" i="6"/>
  <c r="R16" i="4"/>
  <c r="Q80" i="4"/>
  <c r="Q21" i="4"/>
  <c r="P26" i="4"/>
  <c r="S35" i="4"/>
  <c r="U35" i="4" s="1"/>
  <c r="V35" i="4" s="1"/>
  <c r="S36" i="4"/>
  <c r="U36" i="4" s="1"/>
  <c r="V36" i="4" s="1"/>
  <c r="Q37" i="4"/>
  <c r="W38" i="4"/>
  <c r="X38" i="4" s="1"/>
  <c r="Y38" i="4" s="1"/>
  <c r="P46" i="4"/>
  <c r="Q46" i="4" s="1"/>
  <c r="Q51" i="4"/>
  <c r="W51" i="4" s="1"/>
  <c r="X51" i="4" s="1"/>
  <c r="Y51" i="4" s="1"/>
  <c r="P60" i="4"/>
  <c r="Q69" i="4"/>
  <c r="W71" i="4"/>
  <c r="X71" i="4" s="1"/>
  <c r="R85" i="4"/>
  <c r="S85" i="4" s="1"/>
  <c r="U85" i="4" s="1"/>
  <c r="V85" i="4" s="1"/>
  <c r="P90" i="4"/>
  <c r="Q95" i="4"/>
  <c r="W95" i="4" s="1"/>
  <c r="X95" i="4" s="1"/>
  <c r="Y95" i="4" s="1"/>
  <c r="Q106" i="4"/>
  <c r="W106" i="4" s="1"/>
  <c r="X106" i="4" s="1"/>
  <c r="P109" i="4"/>
  <c r="W111" i="4"/>
  <c r="X111" i="4" s="1"/>
  <c r="R114" i="4"/>
  <c r="S114" i="4" s="1"/>
  <c r="U114" i="4" s="1"/>
  <c r="V114" i="4" s="1"/>
  <c r="Y114" i="4" s="1"/>
  <c r="Q114" i="4"/>
  <c r="W114" i="4" s="1"/>
  <c r="X114" i="4" s="1"/>
  <c r="W56" i="4"/>
  <c r="X56" i="4" s="1"/>
  <c r="Y56" i="4" s="1"/>
  <c r="U88" i="4"/>
  <c r="V88" i="4" s="1"/>
  <c r="Y88" i="4" s="1"/>
  <c r="U93" i="4"/>
  <c r="V93" i="4" s="1"/>
  <c r="Y93" i="4" s="1"/>
  <c r="U98" i="4"/>
  <c r="V98" i="4" s="1"/>
  <c r="Y98" i="4" s="1"/>
  <c r="U103" i="4"/>
  <c r="V103" i="4" s="1"/>
  <c r="Y103" i="4" s="1"/>
  <c r="U108" i="4"/>
  <c r="V108" i="4" s="1"/>
  <c r="U113" i="4"/>
  <c r="V113" i="4" s="1"/>
  <c r="U118" i="4"/>
  <c r="V118" i="4" s="1"/>
  <c r="U123" i="4"/>
  <c r="V123" i="4" s="1"/>
  <c r="E13" i="6"/>
  <c r="R49" i="4"/>
  <c r="S49" i="4" s="1"/>
  <c r="U49" i="4" s="1"/>
  <c r="V49" i="4" s="1"/>
  <c r="Q49" i="4"/>
  <c r="S53" i="4"/>
  <c r="U53" i="4" s="1"/>
  <c r="V53" i="4" s="1"/>
  <c r="Y53" i="4" s="1"/>
  <c r="W63" i="4"/>
  <c r="X63" i="4" s="1"/>
  <c r="W88" i="4"/>
  <c r="X88" i="4" s="1"/>
  <c r="W93" i="4"/>
  <c r="X93" i="4" s="1"/>
  <c r="W98" i="4"/>
  <c r="X98" i="4" s="1"/>
  <c r="W103" i="4"/>
  <c r="X103" i="4" s="1"/>
  <c r="W113" i="4"/>
  <c r="X113" i="4" s="1"/>
  <c r="P27" i="4"/>
  <c r="P32" i="4"/>
  <c r="Q32" i="4" s="1"/>
  <c r="P37" i="4"/>
  <c r="P42" i="4"/>
  <c r="P49" i="4"/>
  <c r="Q57" i="4"/>
  <c r="Q58" i="4"/>
  <c r="W58" i="4" s="1"/>
  <c r="X58" i="4" s="1"/>
  <c r="Y58" i="4" s="1"/>
  <c r="Q62" i="4"/>
  <c r="Q63" i="4"/>
  <c r="Q68" i="4"/>
  <c r="W68" i="4" s="1"/>
  <c r="X68" i="4" s="1"/>
  <c r="Q73" i="4"/>
  <c r="W73" i="4" s="1"/>
  <c r="X73" i="4" s="1"/>
  <c r="Y73" i="4" s="1"/>
  <c r="Q78" i="4"/>
  <c r="W78" i="4" s="1"/>
  <c r="X78" i="4" s="1"/>
  <c r="Y78" i="4" s="1"/>
  <c r="Q82" i="4"/>
  <c r="Q83" i="4"/>
  <c r="W83" i="4" s="1"/>
  <c r="X83" i="4" s="1"/>
  <c r="Y83" i="4" s="1"/>
  <c r="Q87" i="4"/>
  <c r="Q88" i="4"/>
  <c r="Q93" i="4"/>
  <c r="Q98" i="4"/>
  <c r="Q102" i="4"/>
  <c r="Q103" i="4"/>
  <c r="Q107" i="4"/>
  <c r="Q108" i="4"/>
  <c r="W108" i="4" s="1"/>
  <c r="X108" i="4" s="1"/>
  <c r="Q112" i="4"/>
  <c r="Q113" i="4"/>
  <c r="Q118" i="4"/>
  <c r="W118" i="4" s="1"/>
  <c r="X118" i="4" s="1"/>
  <c r="Q123" i="4"/>
  <c r="W123" i="4" s="1"/>
  <c r="X123" i="4" s="1"/>
  <c r="E7" i="6"/>
  <c r="K7" i="6" s="1"/>
  <c r="Q27" i="4"/>
  <c r="E9" i="6"/>
  <c r="K9" i="6" s="1"/>
  <c r="R54" i="4"/>
  <c r="S54" i="4" s="1"/>
  <c r="U54" i="4" s="1"/>
  <c r="V54" i="4" s="1"/>
  <c r="Q54" i="4"/>
  <c r="W54" i="4" s="1"/>
  <c r="X54" i="4" s="1"/>
  <c r="P57" i="4"/>
  <c r="S61" i="4"/>
  <c r="U61" i="4" s="1"/>
  <c r="V61" i="4" s="1"/>
  <c r="P62" i="4"/>
  <c r="S66" i="4"/>
  <c r="U66" i="4" s="1"/>
  <c r="V66" i="4" s="1"/>
  <c r="P67" i="4"/>
  <c r="S71" i="4"/>
  <c r="U71" i="4" s="1"/>
  <c r="V71" i="4" s="1"/>
  <c r="P72" i="4"/>
  <c r="Q72" i="4" s="1"/>
  <c r="S76" i="4"/>
  <c r="U76" i="4" s="1"/>
  <c r="V76" i="4" s="1"/>
  <c r="P77" i="4"/>
  <c r="S81" i="4"/>
  <c r="U81" i="4" s="1"/>
  <c r="V81" i="4" s="1"/>
  <c r="Y81" i="4" s="1"/>
  <c r="P82" i="4"/>
  <c r="P87" i="4"/>
  <c r="P92" i="4"/>
  <c r="P97" i="4"/>
  <c r="P102" i="4"/>
  <c r="P107" i="4"/>
  <c r="P112" i="4"/>
  <c r="P117" i="4"/>
  <c r="P122" i="4"/>
  <c r="Q122" i="4" s="1"/>
  <c r="S86" i="4"/>
  <c r="U86" i="4" s="1"/>
  <c r="V86" i="4" s="1"/>
  <c r="Y86" i="4" s="1"/>
  <c r="S91" i="4"/>
  <c r="U91" i="4" s="1"/>
  <c r="V91" i="4" s="1"/>
  <c r="S96" i="4"/>
  <c r="U96" i="4" s="1"/>
  <c r="V96" i="4" s="1"/>
  <c r="S101" i="4"/>
  <c r="U101" i="4" s="1"/>
  <c r="V101" i="4" s="1"/>
  <c r="S104" i="4"/>
  <c r="U104" i="4" s="1"/>
  <c r="V104" i="4" s="1"/>
  <c r="S106" i="4"/>
  <c r="U106" i="4" s="1"/>
  <c r="V106" i="4" s="1"/>
  <c r="S109" i="4"/>
  <c r="U109" i="4" s="1"/>
  <c r="V109" i="4" s="1"/>
  <c r="S111" i="4"/>
  <c r="U111" i="4" s="1"/>
  <c r="V111" i="4" s="1"/>
  <c r="Y111" i="4" s="1"/>
  <c r="S116" i="4"/>
  <c r="U116" i="4" s="1"/>
  <c r="V116" i="4" s="1"/>
  <c r="Y116" i="4" s="1"/>
  <c r="S119" i="4"/>
  <c r="U119" i="4" s="1"/>
  <c r="V119" i="4" s="1"/>
  <c r="S121" i="4"/>
  <c r="U121" i="4" s="1"/>
  <c r="V121" i="4" s="1"/>
  <c r="Y121" i="4" s="1"/>
  <c r="F4" i="6" l="1"/>
  <c r="C13" i="1" s="1"/>
  <c r="U31" i="4"/>
  <c r="U26" i="4"/>
  <c r="V26" i="4" s="1"/>
  <c r="F14" i="6"/>
  <c r="U70" i="4"/>
  <c r="F13" i="6"/>
  <c r="Y94" i="4"/>
  <c r="F11" i="6"/>
  <c r="C10" i="1" s="1"/>
  <c r="U15" i="4"/>
  <c r="X28" i="4"/>
  <c r="Y28" i="4" s="1"/>
  <c r="U30" i="4"/>
  <c r="F9" i="6"/>
  <c r="C17" i="1" s="1"/>
  <c r="Y49" i="4"/>
  <c r="K10" i="6"/>
  <c r="W70" i="4"/>
  <c r="X70" i="4" s="1"/>
  <c r="W77" i="4"/>
  <c r="X77" i="4" s="1"/>
  <c r="Y77" i="4" s="1"/>
  <c r="Y79" i="4"/>
  <c r="Y71" i="4"/>
  <c r="K13" i="6"/>
  <c r="B5" i="5"/>
  <c r="F7" i="6"/>
  <c r="C16" i="1" s="1"/>
  <c r="W5" i="4"/>
  <c r="Y115" i="4"/>
  <c r="W15" i="4"/>
  <c r="Y10" i="4"/>
  <c r="Y54" i="4"/>
  <c r="F12" i="6"/>
  <c r="U16" i="4"/>
  <c r="K11" i="6"/>
  <c r="Y36" i="4"/>
  <c r="W19" i="4"/>
  <c r="X19" i="4" s="1"/>
  <c r="Y19" i="4" s="1"/>
  <c r="Q31" i="4"/>
  <c r="W31" i="4" s="1"/>
  <c r="W44" i="4"/>
  <c r="X44" i="4" s="1"/>
  <c r="Y44" i="4" s="1"/>
  <c r="Q77" i="4"/>
  <c r="W26" i="4"/>
  <c r="X26" i="4" s="1"/>
  <c r="Q15" i="4"/>
  <c r="Y68" i="4"/>
  <c r="X4" i="4"/>
  <c r="Q6" i="4"/>
  <c r="F13" i="7" s="1"/>
  <c r="W25" i="4"/>
  <c r="X25" i="4" s="1"/>
  <c r="Y25" i="4" s="1"/>
  <c r="W94" i="4"/>
  <c r="X94" i="4" s="1"/>
  <c r="Y96" i="4"/>
  <c r="W97" i="4"/>
  <c r="X97" i="4" s="1"/>
  <c r="Y97" i="4" s="1"/>
  <c r="Q97" i="4"/>
  <c r="Y123" i="4"/>
  <c r="W24" i="4"/>
  <c r="X24" i="4" s="1"/>
  <c r="Y24" i="4" s="1"/>
  <c r="W40" i="4"/>
  <c r="X40" i="4" s="1"/>
  <c r="Y40" i="4" s="1"/>
  <c r="W99" i="4"/>
  <c r="X99" i="4" s="1"/>
  <c r="Y99" i="4" s="1"/>
  <c r="W29" i="4"/>
  <c r="X29" i="4" s="1"/>
  <c r="Y29" i="4" s="1"/>
  <c r="W89" i="4"/>
  <c r="X89" i="4" s="1"/>
  <c r="Y89" i="4" s="1"/>
  <c r="W79" i="4"/>
  <c r="X79" i="4" s="1"/>
  <c r="K5" i="6"/>
  <c r="W62" i="4"/>
  <c r="X62" i="4" s="1"/>
  <c r="Y62" i="4" s="1"/>
  <c r="W27" i="4"/>
  <c r="Y118" i="4"/>
  <c r="Q60" i="4"/>
  <c r="W60" i="4" s="1"/>
  <c r="X60" i="4" s="1"/>
  <c r="Y60" i="4" s="1"/>
  <c r="W120" i="4"/>
  <c r="X120" i="4" s="1"/>
  <c r="W34" i="4"/>
  <c r="X34" i="4" s="1"/>
  <c r="Y34" i="4" s="1"/>
  <c r="W9" i="4"/>
  <c r="W11" i="4"/>
  <c r="X11" i="4" s="1"/>
  <c r="Y11" i="4" s="1"/>
  <c r="W48" i="4"/>
  <c r="X48" i="4" s="1"/>
  <c r="Y48" i="4" s="1"/>
  <c r="U7" i="4"/>
  <c r="V7" i="4" s="1"/>
  <c r="G14" i="6"/>
  <c r="V4" i="4"/>
  <c r="Y76" i="4"/>
  <c r="G7" i="6"/>
  <c r="H7" i="6" s="1"/>
  <c r="W72" i="4"/>
  <c r="X72" i="4" s="1"/>
  <c r="Y72" i="4" s="1"/>
  <c r="Y35" i="4"/>
  <c r="Y84" i="4"/>
  <c r="Y101" i="4"/>
  <c r="W107" i="4"/>
  <c r="X107" i="4" s="1"/>
  <c r="Y107" i="4" s="1"/>
  <c r="W69" i="4"/>
  <c r="X69" i="4" s="1"/>
  <c r="Y69" i="4" s="1"/>
  <c r="Q47" i="4"/>
  <c r="W47" i="4" s="1"/>
  <c r="X47" i="4" s="1"/>
  <c r="Y47" i="4" s="1"/>
  <c r="Y110" i="4"/>
  <c r="W115" i="4"/>
  <c r="X115" i="4" s="1"/>
  <c r="W10" i="4"/>
  <c r="X10" i="4" s="1"/>
  <c r="K8" i="6"/>
  <c r="Y119" i="4"/>
  <c r="W92" i="4"/>
  <c r="X92" i="4" s="1"/>
  <c r="Y92" i="4" s="1"/>
  <c r="Y91" i="4"/>
  <c r="W87" i="4"/>
  <c r="X87" i="4" s="1"/>
  <c r="Y87" i="4" s="1"/>
  <c r="Y61" i="4"/>
  <c r="Q117" i="4"/>
  <c r="W117" i="4" s="1"/>
  <c r="X117" i="4" s="1"/>
  <c r="Y117" i="4" s="1"/>
  <c r="Q92" i="4"/>
  <c r="Q67" i="4"/>
  <c r="W67" i="4" s="1"/>
  <c r="X67" i="4" s="1"/>
  <c r="Y67" i="4" s="1"/>
  <c r="Y113" i="4"/>
  <c r="W109" i="4"/>
  <c r="X109" i="4" s="1"/>
  <c r="Y109" i="4" s="1"/>
  <c r="W21" i="4"/>
  <c r="X21" i="4" s="1"/>
  <c r="Y21" i="4" s="1"/>
  <c r="Q17" i="4"/>
  <c r="W17" i="4" s="1"/>
  <c r="X17" i="4" s="1"/>
  <c r="Y17" i="4" s="1"/>
  <c r="Q85" i="4"/>
  <c r="W85" i="4" s="1"/>
  <c r="X85" i="4" s="1"/>
  <c r="Y85" i="4" s="1"/>
  <c r="W22" i="4"/>
  <c r="W64" i="4"/>
  <c r="X64" i="4" s="1"/>
  <c r="Y64" i="4" s="1"/>
  <c r="Q7" i="4"/>
  <c r="W7" i="4" s="1"/>
  <c r="X7" i="4" s="1"/>
  <c r="Q9" i="4"/>
  <c r="C8" i="5"/>
  <c r="C4" i="5"/>
  <c r="K5" i="1"/>
  <c r="F15" i="6"/>
  <c r="U6" i="4"/>
  <c r="W122" i="4"/>
  <c r="X122" i="4" s="1"/>
  <c r="Y122" i="4" s="1"/>
  <c r="Q90" i="4"/>
  <c r="W90" i="4" s="1"/>
  <c r="X90" i="4" s="1"/>
  <c r="Y90" i="4" s="1"/>
  <c r="W39" i="4"/>
  <c r="X39" i="4" s="1"/>
  <c r="Y39" i="4" s="1"/>
  <c r="W20" i="4"/>
  <c r="X20" i="4" s="1"/>
  <c r="Y20" i="4" s="1"/>
  <c r="Y120" i="4"/>
  <c r="Y106" i="4"/>
  <c r="W12" i="4"/>
  <c r="X12" i="4" s="1"/>
  <c r="Y12" i="4" s="1"/>
  <c r="F8" i="6"/>
  <c r="C14" i="1" s="1"/>
  <c r="U41" i="4"/>
  <c r="Q48" i="4"/>
  <c r="W112" i="4"/>
  <c r="X112" i="4" s="1"/>
  <c r="Y112" i="4" s="1"/>
  <c r="W49" i="4"/>
  <c r="X49" i="4" s="1"/>
  <c r="F10" i="6"/>
  <c r="C15" i="1" s="1"/>
  <c r="U9" i="4"/>
  <c r="F6" i="6"/>
  <c r="C12" i="1" s="1"/>
  <c r="U22" i="4"/>
  <c r="W84" i="4"/>
  <c r="X84" i="4" s="1"/>
  <c r="K4" i="6"/>
  <c r="W102" i="4"/>
  <c r="X102" i="4" s="1"/>
  <c r="Y102" i="4" s="1"/>
  <c r="W37" i="4"/>
  <c r="X37" i="4" s="1"/>
  <c r="Y37" i="4" s="1"/>
  <c r="Q14" i="4"/>
  <c r="W14" i="4" s="1"/>
  <c r="X14" i="4" s="1"/>
  <c r="Y14" i="4" s="1"/>
  <c r="Y66" i="4"/>
  <c r="W32" i="4"/>
  <c r="X32" i="4" s="1"/>
  <c r="Y32" i="4" s="1"/>
  <c r="Y63" i="4"/>
  <c r="K15" i="6"/>
  <c r="W82" i="4"/>
  <c r="X82" i="4" s="1"/>
  <c r="Y82" i="4" s="1"/>
  <c r="W57" i="4"/>
  <c r="X57" i="4" s="1"/>
  <c r="Y57" i="4" s="1"/>
  <c r="Y108" i="4"/>
  <c r="W46" i="4"/>
  <c r="K12" i="6"/>
  <c r="W104" i="4"/>
  <c r="X104" i="4" s="1"/>
  <c r="Y104" i="4" s="1"/>
  <c r="Q20" i="4"/>
  <c r="W75" i="4"/>
  <c r="X75" i="4" s="1"/>
  <c r="Y75" i="4" s="1"/>
  <c r="W80" i="4"/>
  <c r="X80" i="4" s="1"/>
  <c r="Y80" i="4" s="1"/>
  <c r="Q22" i="4"/>
  <c r="W41" i="4"/>
  <c r="F5" i="6"/>
  <c r="C11" i="1" s="1"/>
  <c r="U5" i="4"/>
  <c r="W59" i="4"/>
  <c r="X59" i="4" s="1"/>
  <c r="Y59" i="4" s="1"/>
  <c r="Q42" i="4"/>
  <c r="F14" i="7" s="1"/>
  <c r="Q16" i="4"/>
  <c r="W16" i="4" s="1"/>
  <c r="B7" i="5"/>
  <c r="I4" i="6" l="1"/>
  <c r="X31" i="4"/>
  <c r="I12" i="6"/>
  <c r="J12" i="6" s="1"/>
  <c r="X16" i="4"/>
  <c r="C15" i="7"/>
  <c r="W42" i="4"/>
  <c r="X42" i="4" s="1"/>
  <c r="Y42" i="4" s="1"/>
  <c r="G5" i="7"/>
  <c r="E14" i="7"/>
  <c r="I10" i="6"/>
  <c r="X9" i="4"/>
  <c r="E15" i="7"/>
  <c r="I8" i="6"/>
  <c r="X41" i="4"/>
  <c r="B15" i="7"/>
  <c r="C7" i="5"/>
  <c r="K8" i="1"/>
  <c r="G15" i="6"/>
  <c r="H15" i="6" s="1"/>
  <c r="V6" i="4"/>
  <c r="Y7" i="4"/>
  <c r="B16" i="7"/>
  <c r="W6" i="4"/>
  <c r="G11" i="6"/>
  <c r="H11" i="6" s="1"/>
  <c r="V15" i="4"/>
  <c r="D16" i="1"/>
  <c r="V9" i="4"/>
  <c r="Y9" i="4" s="1"/>
  <c r="G10" i="6"/>
  <c r="H10" i="6" s="1"/>
  <c r="G7" i="7"/>
  <c r="E13" i="7"/>
  <c r="B12" i="7"/>
  <c r="G6" i="7"/>
  <c r="F15" i="7"/>
  <c r="B6" i="5"/>
  <c r="I6" i="6"/>
  <c r="X22" i="4"/>
  <c r="I13" i="6"/>
  <c r="J13" i="6" s="1"/>
  <c r="X27" i="4"/>
  <c r="Y27" i="4" s="1"/>
  <c r="I11" i="6"/>
  <c r="X15" i="4"/>
  <c r="X5" i="4"/>
  <c r="V30" i="4"/>
  <c r="Y30" i="4" s="1"/>
  <c r="G9" i="6"/>
  <c r="H9" i="6" s="1"/>
  <c r="G5" i="6"/>
  <c r="H5" i="6" s="1"/>
  <c r="V5" i="4"/>
  <c r="Y5" i="4" s="1"/>
  <c r="X46" i="4"/>
  <c r="Y46" i="4" s="1"/>
  <c r="I7" i="6"/>
  <c r="D16" i="7"/>
  <c r="C14" i="7"/>
  <c r="C12" i="7"/>
  <c r="I14" i="6"/>
  <c r="J14" i="6" s="1"/>
  <c r="F12" i="7"/>
  <c r="D12" i="7"/>
  <c r="F16" i="7"/>
  <c r="V70" i="4"/>
  <c r="Y70" i="4" s="1"/>
  <c r="G13" i="6"/>
  <c r="H13" i="6" s="1"/>
  <c r="L13" i="6" s="1"/>
  <c r="C5" i="5"/>
  <c r="K6" i="1"/>
  <c r="C13" i="7"/>
  <c r="C16" i="7"/>
  <c r="E12" i="7"/>
  <c r="D14" i="7"/>
  <c r="I9" i="6"/>
  <c r="Y26" i="4"/>
  <c r="G4" i="7"/>
  <c r="B14" i="7"/>
  <c r="G8" i="6"/>
  <c r="H8" i="6" s="1"/>
  <c r="V41" i="4"/>
  <c r="Y41" i="4" s="1"/>
  <c r="B13" i="7"/>
  <c r="Y4" i="4"/>
  <c r="G12" i="6"/>
  <c r="H12" i="6" s="1"/>
  <c r="L12" i="6" s="1"/>
  <c r="V16" i="4"/>
  <c r="Y16" i="4" s="1"/>
  <c r="G4" i="6"/>
  <c r="H4" i="6" s="1"/>
  <c r="V31" i="4"/>
  <c r="Y31" i="4" s="1"/>
  <c r="G6" i="6"/>
  <c r="H6" i="6" s="1"/>
  <c r="V22" i="4"/>
  <c r="Y22" i="4" s="1"/>
  <c r="H14" i="6"/>
  <c r="L14" i="6" s="1"/>
  <c r="E16" i="7"/>
  <c r="D13" i="7"/>
  <c r="D15" i="7"/>
  <c r="J10" i="6" l="1"/>
  <c r="F15" i="1" s="1"/>
  <c r="E15" i="1"/>
  <c r="H7" i="7"/>
  <c r="K17" i="1"/>
  <c r="H5" i="7"/>
  <c r="K15" i="1"/>
  <c r="G5" i="1"/>
  <c r="D11" i="1"/>
  <c r="J6" i="6"/>
  <c r="F12" i="1" s="1"/>
  <c r="E12" i="1"/>
  <c r="H4" i="7"/>
  <c r="K14" i="1"/>
  <c r="C6" i="5"/>
  <c r="K7" i="1"/>
  <c r="L10" i="6"/>
  <c r="G15" i="1" s="1"/>
  <c r="D15" i="1"/>
  <c r="Y15" i="4"/>
  <c r="L11" i="6"/>
  <c r="G10" i="1" s="1"/>
  <c r="D10" i="1"/>
  <c r="J8" i="6"/>
  <c r="F14" i="1" s="1"/>
  <c r="E14" i="1"/>
  <c r="J11" i="6"/>
  <c r="F10" i="1" s="1"/>
  <c r="E10" i="1"/>
  <c r="J7" i="6"/>
  <c r="E16" i="1"/>
  <c r="D12" i="1"/>
  <c r="L4" i="6"/>
  <c r="G13" i="1" s="1"/>
  <c r="D13" i="1"/>
  <c r="D17" i="1"/>
  <c r="H6" i="7"/>
  <c r="K16" i="1"/>
  <c r="I15" i="6"/>
  <c r="J15" i="6" s="1"/>
  <c r="L15" i="6" s="1"/>
  <c r="X6" i="4"/>
  <c r="Y6" i="4" s="1"/>
  <c r="E5" i="1"/>
  <c r="J4" i="6"/>
  <c r="F13" i="1" s="1"/>
  <c r="E13" i="1"/>
  <c r="D14" i="1"/>
  <c r="J9" i="6"/>
  <c r="F17" i="1" s="1"/>
  <c r="E17" i="1"/>
  <c r="I5" i="6"/>
  <c r="B9" i="5"/>
  <c r="H14" i="1" l="1"/>
  <c r="L6" i="6"/>
  <c r="G12" i="1" s="1"/>
  <c r="B11" i="5"/>
  <c r="C9" i="5"/>
  <c r="K10" i="1"/>
  <c r="A5" i="1"/>
  <c r="J5" i="6"/>
  <c r="E11" i="1"/>
  <c r="H11" i="1" s="1"/>
  <c r="F16" i="1"/>
  <c r="L7" i="6"/>
  <c r="G16" i="1" s="1"/>
  <c r="L9" i="6"/>
  <c r="G17" i="1" s="1"/>
  <c r="L8" i="6"/>
  <c r="G14" i="1" s="1"/>
  <c r="H12" i="1" l="1"/>
  <c r="H15" i="1"/>
  <c r="H16" i="1"/>
  <c r="H13" i="1"/>
  <c r="H17" i="1"/>
  <c r="H10" i="1"/>
  <c r="F11" i="1"/>
  <c r="L5" i="6"/>
  <c r="G11" i="1" s="1"/>
  <c r="C11" i="5"/>
  <c r="C5" i="1"/>
  <c r="K11" i="1"/>
</calcChain>
</file>

<file path=xl/sharedStrings.xml><?xml version="1.0" encoding="utf-8"?>
<sst xmlns="http://schemas.openxmlformats.org/spreadsheetml/2006/main" count="802" uniqueCount="289">
  <si>
    <t>Ops2EBITDA — Pricing Waterfall &amp; Margin Leakage Model</t>
  </si>
  <si>
    <t>Operator dashboard · Diagnose discounting, pocket price leakage, margin dispersion, and EBITDA upside</t>
  </si>
  <si>
    <t>Pocket Revenue</t>
  </si>
  <si>
    <t>Pocket Gross Margin</t>
  </si>
  <si>
    <t>Total Leakage</t>
  </si>
  <si>
    <t>Base Case EBITDA Upside</t>
  </si>
  <si>
    <t>Step</t>
  </si>
  <si>
    <t>Amount</t>
  </si>
  <si>
    <t>Gross List Revenue</t>
  </si>
  <si>
    <t>Contract Discounts</t>
  </si>
  <si>
    <t>Promo Discounts</t>
  </si>
  <si>
    <t>Rebates</t>
  </si>
  <si>
    <t>Freight Absorption</t>
  </si>
  <si>
    <t>Customer Priority View</t>
  </si>
  <si>
    <t>Customer</t>
  </si>
  <si>
    <t>Segment</t>
  </si>
  <si>
    <t>Net Revenue</t>
  </si>
  <si>
    <t>Margin %</t>
  </si>
  <si>
    <t>Leakage $</t>
  </si>
  <si>
    <t>Leakage Rate</t>
  </si>
  <si>
    <t>Action</t>
  </si>
  <si>
    <t>Priority Rank</t>
  </si>
  <si>
    <t>Scenario</t>
  </si>
  <si>
    <t>Incremental EBITDA</t>
  </si>
  <si>
    <t>Conservative</t>
  </si>
  <si>
    <t>Base Case</t>
  </si>
  <si>
    <t>Upside</t>
  </si>
  <si>
    <t>Aggressive</t>
  </si>
  <si>
    <t>Purpose</t>
  </si>
  <si>
    <t>This workbook helps diagnose pricing leakage across customers, SKUs, discounts, rebates, freight absorption, and pocket margin. It is designed for PE operating teams, value creation analysts, and consultants who need to quantify price upside and translate it into EBITDA impact.</t>
  </si>
  <si>
    <t>How to Use</t>
  </si>
  <si>
    <t>1) Replace sample transaction data in Customer_SKU_Data. 2) Update assumptions in Inputs. 3) Review Waterfall, Segmentation, Scenarios, and Dashboard. 4) Use outputs to prioritize customer/SKU pricing actions and quantify EBITDA uplift.</t>
  </si>
  <si>
    <t>Workbook Map</t>
  </si>
  <si>
    <t>Sheet</t>
  </si>
  <si>
    <t>Use</t>
  </si>
  <si>
    <t>Editable?</t>
  </si>
  <si>
    <t>Notes</t>
  </si>
  <si>
    <t>Inputs</t>
  </si>
  <si>
    <t>Scenario and pricing assumptions</t>
  </si>
  <si>
    <t>Yes</t>
  </si>
  <si>
    <t>Blue-font cells are user inputs; formulas link from these assumptions.</t>
  </si>
  <si>
    <t>Customer_SKU_Data</t>
  </si>
  <si>
    <t>Transaction-level sample data</t>
  </si>
  <si>
    <t>Replace with customer/SKU transaction export. Formula columns can be preserved or copied down.</t>
  </si>
  <si>
    <t>Waterfall</t>
  </si>
  <si>
    <t>Gross-to-pocket revenue waterfall</t>
  </si>
  <si>
    <t>No</t>
  </si>
  <si>
    <t>Shows leakage from list revenue to pocket revenue.</t>
  </si>
  <si>
    <t>Segmentation</t>
  </si>
  <si>
    <t>Customer-level leakage and margin view</t>
  </si>
  <si>
    <t>Prioritizes customers by leakage dollars and margin performance.</t>
  </si>
  <si>
    <t>Scenarios</t>
  </si>
  <si>
    <t>Price and leakage recapture scenarios</t>
  </si>
  <si>
    <t>Blue-font assumptions drive incremental EBITDA and enterprise value.</t>
  </si>
  <si>
    <t>Dashboard</t>
  </si>
  <si>
    <t>Executive summary</t>
  </si>
  <si>
    <t>Board-ready summary view with KPIs, leakage, and recommended focus areas.</t>
  </si>
  <si>
    <t>Sources</t>
  </si>
  <si>
    <t>Source and assumption notes</t>
  </si>
  <si>
    <t>Documents that sample data is synthetic and assumptions are illustrative.</t>
  </si>
  <si>
    <t>Inputs &amp; Scenario Assumptions</t>
  </si>
  <si>
    <t>Assumption</t>
  </si>
  <si>
    <t>Value</t>
  </si>
  <si>
    <t>Unit</t>
  </si>
  <si>
    <t>Description</t>
  </si>
  <si>
    <t>Target Price Increase</t>
  </si>
  <si>
    <t>%</t>
  </si>
  <si>
    <t>Scenario price increase applied to current invoice price</t>
  </si>
  <si>
    <t>Volume Retention</t>
  </si>
  <si>
    <t>Expected retention of volume after price action</t>
  </si>
  <si>
    <t>Contract Discount Recapture</t>
  </si>
  <si>
    <t>Portion of contract discount leakage recovered</t>
  </si>
  <si>
    <t>Promo Discount Recapture</t>
  </si>
  <si>
    <t>Portion of promotional discount leakage recovered</t>
  </si>
  <si>
    <t>Rebate Reduction</t>
  </si>
  <si>
    <t>Portion of rebates eliminated or reduced</t>
  </si>
  <si>
    <t>Freight Recovery</t>
  </si>
  <si>
    <t>Portion of freight absorption passed through</t>
  </si>
  <si>
    <t>EBITDA Flow-Through</t>
  </si>
  <si>
    <t>Expected contribution of pricing actions to EBITDA</t>
  </si>
  <si>
    <t>Exit Multiple</t>
  </si>
  <si>
    <t>x</t>
  </si>
  <si>
    <t>Enterprise value multiple applied to incremental EBITDA</t>
  </si>
  <si>
    <t>Low Margin Threshold</t>
  </si>
  <si>
    <t>Used to flag customers/SKUs below target pocket margin</t>
  </si>
  <si>
    <t>High Leakage Threshold</t>
  </si>
  <si>
    <t>Used to flag customers/SKUs with excessive leakage rate</t>
  </si>
  <si>
    <t>Customer / SKU Transaction Data</t>
  </si>
  <si>
    <t>Txn_ID</t>
  </si>
  <si>
    <t>Date</t>
  </si>
  <si>
    <t>SKU</t>
  </si>
  <si>
    <t>Product_Family</t>
  </si>
  <si>
    <t>Units</t>
  </si>
  <si>
    <t>List_Price</t>
  </si>
  <si>
    <t>Unit_Cost</t>
  </si>
  <si>
    <t>Contract_Discount_%</t>
  </si>
  <si>
    <t>Promo_Discount_%</t>
  </si>
  <si>
    <t>Rebate_%</t>
  </si>
  <si>
    <t>Freight_Absorb_$</t>
  </si>
  <si>
    <t>Invoice_Price</t>
  </si>
  <si>
    <t>Gross_Revenue</t>
  </si>
  <si>
    <t>Contract_Discount_$</t>
  </si>
  <si>
    <t>Promo_Discount_$</t>
  </si>
  <si>
    <t>Rebate_$</t>
  </si>
  <si>
    <t>Net_Revenue</t>
  </si>
  <si>
    <t>Standard_Cost</t>
  </si>
  <si>
    <t>Gross_Margin</t>
  </si>
  <si>
    <t>Pocket_Margin_%</t>
  </si>
  <si>
    <t>Total_Leakage_$</t>
  </si>
  <si>
    <t>Leakage_Rate_%</t>
  </si>
  <si>
    <t>Suggested_Action</t>
  </si>
  <si>
    <t>T-0001</t>
  </si>
  <si>
    <t>Keystone Health</t>
  </si>
  <si>
    <t>Enterprise</t>
  </si>
  <si>
    <t>SKU-110</t>
  </si>
  <si>
    <t>Core Platform</t>
  </si>
  <si>
    <t>T-0002</t>
  </si>
  <si>
    <t>Boreal Clinics</t>
  </si>
  <si>
    <t>SKU-400</t>
  </si>
  <si>
    <t>Premium Module</t>
  </si>
  <si>
    <t>T-0003</t>
  </si>
  <si>
    <t>Lakeside Clinics</t>
  </si>
  <si>
    <t>SMB</t>
  </si>
  <si>
    <t>T-0004</t>
  </si>
  <si>
    <t>T-0005</t>
  </si>
  <si>
    <t>SKU-310</t>
  </si>
  <si>
    <t>Services</t>
  </si>
  <si>
    <t>T-0006</t>
  </si>
  <si>
    <t>Granite Medical</t>
  </si>
  <si>
    <t>Mid-Market</t>
  </si>
  <si>
    <t>T-0007</t>
  </si>
  <si>
    <t>T-0008</t>
  </si>
  <si>
    <t>SKU-300</t>
  </si>
  <si>
    <t>T-0009</t>
  </si>
  <si>
    <t>T-0010</t>
  </si>
  <si>
    <t>SKU-210</t>
  </si>
  <si>
    <t>Analytics</t>
  </si>
  <si>
    <t>T-0011</t>
  </si>
  <si>
    <t>T-0012</t>
  </si>
  <si>
    <t>Harbor Care</t>
  </si>
  <si>
    <t>T-0013</t>
  </si>
  <si>
    <t>Ironwood Ops</t>
  </si>
  <si>
    <t>T-0014</t>
  </si>
  <si>
    <t>SKU-410</t>
  </si>
  <si>
    <t>T-0015</t>
  </si>
  <si>
    <t>T-0016</t>
  </si>
  <si>
    <t>T-0017</t>
  </si>
  <si>
    <t>SKU-200</t>
  </si>
  <si>
    <t>T-0018</t>
  </si>
  <si>
    <t>T-0019</t>
  </si>
  <si>
    <t>Cobalt Services</t>
  </si>
  <si>
    <t>SKU-100</t>
  </si>
  <si>
    <t>T-0020</t>
  </si>
  <si>
    <t>Delta Dental Group</t>
  </si>
  <si>
    <t>T-0021</t>
  </si>
  <si>
    <t>T-0022</t>
  </si>
  <si>
    <t>T-0023</t>
  </si>
  <si>
    <t>T-0024</t>
  </si>
  <si>
    <t>Juniper Partners</t>
  </si>
  <si>
    <t>T-0025</t>
  </si>
  <si>
    <t>Fulton Labs</t>
  </si>
  <si>
    <t>T-0026</t>
  </si>
  <si>
    <t>T-0027</t>
  </si>
  <si>
    <t>T-0028</t>
  </si>
  <si>
    <t>Acme Health</t>
  </si>
  <si>
    <t>T-0029</t>
  </si>
  <si>
    <t>T-0030</t>
  </si>
  <si>
    <t>T-0031</t>
  </si>
  <si>
    <t>T-0032</t>
  </si>
  <si>
    <t>T-0033</t>
  </si>
  <si>
    <t>T-0034</t>
  </si>
  <si>
    <t>T-0035</t>
  </si>
  <si>
    <t>T-0036</t>
  </si>
  <si>
    <t>T-0037</t>
  </si>
  <si>
    <t>T-0038</t>
  </si>
  <si>
    <t>Evergreen Rehab</t>
  </si>
  <si>
    <t>T-0039</t>
  </si>
  <si>
    <t>T-0040</t>
  </si>
  <si>
    <t>T-0041</t>
  </si>
  <si>
    <t>T-0042</t>
  </si>
  <si>
    <t>T-0043</t>
  </si>
  <si>
    <t>T-0044</t>
  </si>
  <si>
    <t>T-0045</t>
  </si>
  <si>
    <t>T-0046</t>
  </si>
  <si>
    <t>T-0047</t>
  </si>
  <si>
    <t>T-0048</t>
  </si>
  <si>
    <t>T-0049</t>
  </si>
  <si>
    <t>T-0050</t>
  </si>
  <si>
    <t>T-0051</t>
  </si>
  <si>
    <t>T-0052</t>
  </si>
  <si>
    <t>T-0053</t>
  </si>
  <si>
    <t>T-0054</t>
  </si>
  <si>
    <t>T-0055</t>
  </si>
  <si>
    <t>T-0056</t>
  </si>
  <si>
    <t>T-0057</t>
  </si>
  <si>
    <t>T-0058</t>
  </si>
  <si>
    <t>T-0059</t>
  </si>
  <si>
    <t>T-0060</t>
  </si>
  <si>
    <t>T-0061</t>
  </si>
  <si>
    <t>T-0062</t>
  </si>
  <si>
    <t>T-0063</t>
  </si>
  <si>
    <t>T-0064</t>
  </si>
  <si>
    <t>T-0065</t>
  </si>
  <si>
    <t>T-0066</t>
  </si>
  <si>
    <t>T-0067</t>
  </si>
  <si>
    <t>T-0068</t>
  </si>
  <si>
    <t>T-0069</t>
  </si>
  <si>
    <t>T-0070</t>
  </si>
  <si>
    <t>T-0071</t>
  </si>
  <si>
    <t>T-0072</t>
  </si>
  <si>
    <t>T-0073</t>
  </si>
  <si>
    <t>T-0074</t>
  </si>
  <si>
    <t>T-0075</t>
  </si>
  <si>
    <t>T-0076</t>
  </si>
  <si>
    <t>T-0077</t>
  </si>
  <si>
    <t>T-0078</t>
  </si>
  <si>
    <t>T-0079</t>
  </si>
  <si>
    <t>T-0080</t>
  </si>
  <si>
    <t>T-0081</t>
  </si>
  <si>
    <t>T-0082</t>
  </si>
  <si>
    <t>T-0083</t>
  </si>
  <si>
    <t>T-0084</t>
  </si>
  <si>
    <t>T-0085</t>
  </si>
  <si>
    <t>T-0086</t>
  </si>
  <si>
    <t>T-0087</t>
  </si>
  <si>
    <t>T-0088</t>
  </si>
  <si>
    <t>T-0089</t>
  </si>
  <si>
    <t>T-0090</t>
  </si>
  <si>
    <t>T-0091</t>
  </si>
  <si>
    <t>T-0092</t>
  </si>
  <si>
    <t>T-0093</t>
  </si>
  <si>
    <t>T-0094</t>
  </si>
  <si>
    <t>T-0095</t>
  </si>
  <si>
    <t>T-0096</t>
  </si>
  <si>
    <t>T-0097</t>
  </si>
  <si>
    <t>T-0098</t>
  </si>
  <si>
    <t>T-0099</t>
  </si>
  <si>
    <t>T-0100</t>
  </si>
  <si>
    <t>T-0101</t>
  </si>
  <si>
    <t>T-0102</t>
  </si>
  <si>
    <t>T-0103</t>
  </si>
  <si>
    <t>T-0104</t>
  </si>
  <si>
    <t>T-0105</t>
  </si>
  <si>
    <t>T-0106</t>
  </si>
  <si>
    <t>T-0107</t>
  </si>
  <si>
    <t>T-0108</t>
  </si>
  <si>
    <t>T-0109</t>
  </si>
  <si>
    <t>T-0110</t>
  </si>
  <si>
    <t>T-0111</t>
  </si>
  <si>
    <t>T-0112</t>
  </si>
  <si>
    <t>T-0113</t>
  </si>
  <si>
    <t>T-0114</t>
  </si>
  <si>
    <t>T-0115</t>
  </si>
  <si>
    <t>T-0116</t>
  </si>
  <si>
    <t>T-0117</t>
  </si>
  <si>
    <t>T-0118</t>
  </si>
  <si>
    <t>T-0119</t>
  </si>
  <si>
    <t>T-0120</t>
  </si>
  <si>
    <t>Pricing Waterfall</t>
  </si>
  <si>
    <t>Waterfall Step</t>
  </si>
  <si>
    <t>Amount ($)</t>
  </si>
  <si>
    <t>% of Gross Revenue</t>
  </si>
  <si>
    <t>Formula / Interpretation</t>
  </si>
  <si>
    <t>List price × units before discounts and leakage</t>
  </si>
  <si>
    <t>Discounts embedded in contract terms</t>
  </si>
  <si>
    <t>Temporary or discretionary promotional discounts</t>
  </si>
  <si>
    <t>Customer rebates and credits</t>
  </si>
  <si>
    <t>Freight / shipping cost absorbed by seller</t>
  </si>
  <si>
    <t>Revenue retained after visible leakage</t>
  </si>
  <si>
    <t>Standard Cost</t>
  </si>
  <si>
    <t>Cost at transaction-level standard cost</t>
  </si>
  <si>
    <t>Gross margin after pricing leakage and cost</t>
  </si>
  <si>
    <t>Customer Margin &amp; Leakage Segmentation</t>
  </si>
  <si>
    <t>Transactions</t>
  </si>
  <si>
    <t>Gross Revenue ($)</t>
  </si>
  <si>
    <t>Net Revenue ($)</t>
  </si>
  <si>
    <t>Gross Margin ($)</t>
  </si>
  <si>
    <t>Pocket Margin %</t>
  </si>
  <si>
    <t>Total Leakage ($)</t>
  </si>
  <si>
    <t>Leakage Rate %</t>
  </si>
  <si>
    <t>Avg Contract Discount %</t>
  </si>
  <si>
    <t>Suggested Action</t>
  </si>
  <si>
    <t>Pricing Upside Scenarios</t>
  </si>
  <si>
    <t>Price Increase</t>
  </si>
  <si>
    <t>Discount Recapture</t>
  </si>
  <si>
    <t>Incremental EBITDA ($)</t>
  </si>
  <si>
    <t>Enterprise Value Impact ($)</t>
  </si>
  <si>
    <t>Price Increase / Volume Retention Sensitivity</t>
  </si>
  <si>
    <t>EBITDA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</si>
</sst>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Red]\(0.0%\);\-"/>
    <numFmt numFmtId="165" formatCode="0.0\x"/>
    <numFmt numFmtId="166" formatCode="#,##0;[Red]\(#,##0\);\-"/>
    <numFmt numFmtId="167" formatCode="\$#,##0;[Red]\(\$#,##0\);\-"/>
  </numFmts>
  <fonts count="14">
    <font>
      <sz val="11"/>
      <name val="Carlito"/>
    </font>
    <font>
      <sz val="10"/>
      <color rgb="FF161413"/>
      <name val="Geist"/>
    </font>
    <font>
      <b/>
      <sz val="24"/>
      <color rgb="FF161413"/>
      <name val="Newsreader"/>
    </font>
    <font>
      <b/>
      <sz val="10"/>
      <color rgb="FFB8862F"/>
      <name val="JetBrains Mono"/>
    </font>
    <font>
      <sz val="11"/>
      <color rgb="FF161413"/>
      <name val="Geist"/>
    </font>
    <font>
      <b/>
      <sz val="10"/>
      <color rgb="FFFFFFFF"/>
      <name val="JetBrains Mono"/>
    </font>
    <font>
      <b/>
      <sz val="10"/>
      <color rgb="FFFFFFFF"/>
      <name val="Geist"/>
    </font>
    <font>
      <sz val="10"/>
      <color rgb="FF0000FF"/>
      <name val="Geist"/>
    </font>
    <font>
      <sz val="9"/>
      <color rgb="FF161413"/>
      <name val="Geist"/>
    </font>
    <font>
      <sz val="9"/>
      <color rgb="FF0000FF"/>
      <name val="Geist"/>
    </font>
    <font>
      <b/>
      <sz val="10"/>
      <color rgb="FF161413"/>
      <name val="Geist"/>
    </font>
    <font>
      <sz val="11"/>
      <color rgb="FF928B7E"/>
      <name val="Geist"/>
    </font>
    <font>
      <b/>
      <sz val="9"/>
      <color rgb="FFB8862F"/>
      <name val="JetBrains Mono"/>
    </font>
    <font>
      <b/>
      <sz val="20"/>
      <color rgb="FF161413"/>
      <name val="Newsreader"/>
    </font>
  </fonts>
  <fills count="8">
    <fill>
      <patternFill patternType="none"/>
    </fill>
    <fill>
      <patternFill patternType="gray125"/>
    </fill>
    <fill>
      <patternFill patternType="solid">
        <fgColor rgb="FFFBF8F2"/>
      </patternFill>
    </fill>
    <fill>
      <patternFill patternType="solid">
        <fgColor rgb="FFF4EFE6"/>
      </patternFill>
    </fill>
    <fill>
      <patternFill patternType="solid">
        <fgColor rgb="FFFFFFFF"/>
      </patternFill>
    </fill>
    <fill>
      <patternFill patternType="solid">
        <fgColor rgb="FF161413"/>
      </patternFill>
    </fill>
    <fill>
      <patternFill patternType="solid">
        <fgColor rgb="FFB8862F"/>
      </patternFill>
    </fill>
    <fill>
      <patternFill patternType="solid">
        <fgColor rgb="FFFFF2CC"/>
      </patternFill>
    </fill>
  </fills>
  <borders count="10">
    <border>
      <left/>
      <right/>
      <top/>
      <bottom/>
      <diagonal/>
    </border>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63">
    <xf numFmtId="0" fontId="0" fillId="0" borderId="0" xfId="0"/>
    <xf numFmtId="0" fontId="1" fillId="2" borderId="0" xfId="0" applyFont="1" applyFill="1"/>
    <xf numFmtId="0" fontId="2" fillId="3" borderId="0" xfId="0" applyFont="1" applyFill="1" applyAlignment="1">
      <alignment horizontal="left" vertical="center"/>
    </xf>
    <xf numFmtId="0" fontId="3" fillId="2" borderId="0" xfId="0" applyFont="1" applyFill="1"/>
    <xf numFmtId="0" fontId="1" fillId="4" borderId="0" xfId="0" applyFont="1" applyFill="1"/>
    <xf numFmtId="0" fontId="4" fillId="4" borderId="0" xfId="0" applyFont="1" applyFill="1" applyAlignment="1">
      <alignment vertical="top" wrapText="1"/>
    </xf>
    <xf numFmtId="0" fontId="3" fillId="2" borderId="0" xfId="0" applyFont="1" applyFill="1" applyAlignment="1">
      <alignment vertical="top" wrapText="1"/>
    </xf>
    <xf numFmtId="0" fontId="6" fillId="6" borderId="0" xfId="0" applyFont="1" applyFill="1"/>
    <xf numFmtId="0" fontId="1" fillId="4" borderId="0" xfId="0" applyFont="1" applyFill="1" applyAlignment="1">
      <alignment wrapText="1"/>
    </xf>
    <xf numFmtId="0" fontId="1" fillId="4" borderId="1" xfId="0" applyFont="1" applyFill="1" applyBorder="1" applyAlignment="1">
      <alignment wrapText="1"/>
    </xf>
    <xf numFmtId="0" fontId="6" fillId="5" borderId="0" xfId="0" applyFont="1" applyFill="1"/>
    <xf numFmtId="0" fontId="6" fillId="5" borderId="0" xfId="0" applyFont="1" applyFill="1" applyAlignment="1">
      <alignment wrapText="1"/>
    </xf>
    <xf numFmtId="0" fontId="8" fillId="4" borderId="0" xfId="0" applyFont="1" applyFill="1"/>
    <xf numFmtId="167" fontId="8" fillId="4" borderId="0" xfId="0" applyNumberFormat="1" applyFont="1" applyFill="1"/>
    <xf numFmtId="164" fontId="8" fillId="4" borderId="0" xfId="0" applyNumberFormat="1" applyFont="1" applyFill="1"/>
    <xf numFmtId="0" fontId="9" fillId="4" borderId="0" xfId="0" applyFont="1" applyFill="1"/>
    <xf numFmtId="14" fontId="9" fillId="4" borderId="0" xfId="0" applyNumberFormat="1" applyFont="1" applyFill="1"/>
    <xf numFmtId="166" fontId="9" fillId="4" borderId="0" xfId="0" applyNumberFormat="1" applyFont="1" applyFill="1"/>
    <xf numFmtId="167" fontId="9" fillId="4" borderId="0" xfId="0" applyNumberFormat="1" applyFont="1" applyFill="1"/>
    <xf numFmtId="164" fontId="9" fillId="4" borderId="0" xfId="0" applyNumberFormat="1" applyFont="1" applyFill="1"/>
    <xf numFmtId="0" fontId="6" fillId="5" borderId="0" xfId="0" applyFont="1" applyFill="1" applyAlignment="1">
      <alignment horizontal="center"/>
    </xf>
    <xf numFmtId="167" fontId="1" fillId="4" borderId="0" xfId="0" applyNumberFormat="1" applyFont="1" applyFill="1" applyAlignment="1">
      <alignment wrapText="1"/>
    </xf>
    <xf numFmtId="167" fontId="1" fillId="4" borderId="1" xfId="0" applyNumberFormat="1" applyFont="1" applyFill="1" applyBorder="1" applyAlignment="1">
      <alignment wrapText="1"/>
    </xf>
    <xf numFmtId="164" fontId="1" fillId="4" borderId="0" xfId="0" applyNumberFormat="1" applyFont="1" applyFill="1" applyAlignment="1">
      <alignment wrapText="1"/>
    </xf>
    <xf numFmtId="164" fontId="1" fillId="4" borderId="1" xfId="0" applyNumberFormat="1" applyFont="1" applyFill="1" applyBorder="1" applyAlignment="1">
      <alignment wrapText="1"/>
    </xf>
    <xf numFmtId="0" fontId="10" fillId="3" borderId="0" xfId="0" applyFont="1" applyFill="1" applyAlignment="1">
      <alignment wrapText="1"/>
    </xf>
    <xf numFmtId="167" fontId="10" fillId="3" borderId="0" xfId="0" applyNumberFormat="1" applyFont="1" applyFill="1" applyAlignment="1">
      <alignment wrapText="1"/>
    </xf>
    <xf numFmtId="164" fontId="10" fillId="3" borderId="0" xfId="0" applyNumberFormat="1" applyFont="1" applyFill="1" applyAlignment="1">
      <alignment wrapText="1"/>
    </xf>
    <xf numFmtId="166" fontId="1" fillId="4" borderId="0" xfId="0" applyNumberFormat="1" applyFont="1" applyFill="1"/>
    <xf numFmtId="167" fontId="1" fillId="4" borderId="0" xfId="0" applyNumberFormat="1" applyFont="1" applyFill="1"/>
    <xf numFmtId="164" fontId="1" fillId="4" borderId="0" xfId="0" applyNumberFormat="1" applyFont="1" applyFill="1"/>
    <xf numFmtId="164" fontId="6" fillId="6" borderId="0" xfId="0" applyNumberFormat="1" applyFont="1" applyFill="1"/>
    <xf numFmtId="0" fontId="1" fillId="2" borderId="0" xfId="0" applyFont="1" applyFill="1" applyAlignment="1">
      <alignment wrapText="1"/>
    </xf>
    <xf numFmtId="0" fontId="6" fillId="6" borderId="1" xfId="0" applyFont="1" applyFill="1" applyBorder="1" applyAlignment="1">
      <alignment wrapText="1"/>
    </xf>
    <xf numFmtId="164" fontId="7" fillId="7" borderId="0" xfId="0" applyNumberFormat="1" applyFont="1" applyFill="1"/>
    <xf numFmtId="164" fontId="7" fillId="7" borderId="0" xfId="0" applyNumberFormat="1" applyFont="1" applyFill="1" applyAlignment="1">
      <alignment wrapText="1"/>
    </xf>
    <xf numFmtId="165" fontId="7" fillId="7" borderId="0" xfId="0" applyNumberFormat="1" applyFont="1" applyFill="1" applyAlignment="1">
      <alignment wrapText="1"/>
    </xf>
    <xf numFmtId="0" fontId="5" fillId="5" borderId="2" xfId="0" applyFont="1" applyFill="1" applyBorder="1" applyAlignment="1">
      <alignment wrapText="1"/>
    </xf>
    <xf numFmtId="0" fontId="5" fillId="5" borderId="3" xfId="0" applyFont="1" applyFill="1" applyBorder="1" applyAlignment="1">
      <alignment wrapText="1"/>
    </xf>
    <xf numFmtId="0" fontId="5" fillId="5" borderId="4" xfId="0" applyFont="1" applyFill="1" applyBorder="1" applyAlignment="1">
      <alignment wrapText="1"/>
    </xf>
    <xf numFmtId="0" fontId="6" fillId="6" borderId="5" xfId="0" applyFont="1" applyFill="1" applyBorder="1" applyAlignment="1">
      <alignment wrapText="1"/>
    </xf>
    <xf numFmtId="0" fontId="6" fillId="6" borderId="6" xfId="0" applyFont="1" applyFill="1" applyBorder="1" applyAlignment="1">
      <alignment wrapText="1"/>
    </xf>
    <xf numFmtId="0" fontId="1" fillId="4" borderId="5" xfId="0" applyFont="1" applyFill="1" applyBorder="1" applyAlignment="1">
      <alignment wrapText="1"/>
    </xf>
    <xf numFmtId="0" fontId="1" fillId="4" borderId="7" xfId="0" applyFont="1" applyFill="1" applyBorder="1" applyAlignment="1">
      <alignment wrapText="1"/>
    </xf>
    <xf numFmtId="0" fontId="1" fillId="4" borderId="8" xfId="0" applyFont="1" applyFill="1" applyBorder="1" applyAlignment="1">
      <alignment wrapText="1"/>
    </xf>
    <xf numFmtId="167" fontId="1" fillId="4" borderId="8" xfId="0" applyNumberFormat="1" applyFont="1" applyFill="1" applyBorder="1" applyAlignment="1">
      <alignment wrapText="1"/>
    </xf>
    <xf numFmtId="164" fontId="1" fillId="4" borderId="8" xfId="0" applyNumberFormat="1" applyFont="1" applyFill="1" applyBorder="1" applyAlignment="1">
      <alignment wrapText="1"/>
    </xf>
    <xf numFmtId="0" fontId="6" fillId="6" borderId="2" xfId="0" applyFont="1" applyFill="1" applyBorder="1" applyAlignment="1">
      <alignment wrapText="1"/>
    </xf>
    <xf numFmtId="0" fontId="6" fillId="6" borderId="4" xfId="0" applyFont="1" applyFill="1" applyBorder="1" applyAlignment="1">
      <alignment wrapText="1"/>
    </xf>
    <xf numFmtId="167" fontId="1" fillId="4" borderId="6" xfId="0" applyNumberFormat="1" applyFont="1" applyFill="1" applyBorder="1" applyAlignment="1">
      <alignment wrapText="1"/>
    </xf>
    <xf numFmtId="167" fontId="1" fillId="4" borderId="9" xfId="0" applyNumberFormat="1" applyFont="1" applyFill="1" applyBorder="1" applyAlignment="1">
      <alignment wrapText="1"/>
    </xf>
    <xf numFmtId="1" fontId="1" fillId="4" borderId="6" xfId="0" applyNumberFormat="1" applyFont="1" applyFill="1" applyBorder="1" applyAlignment="1">
      <alignment horizontal="center" wrapText="1"/>
    </xf>
    <xf numFmtId="1" fontId="1" fillId="4" borderId="9" xfId="0" applyNumberFormat="1" applyFont="1" applyFill="1" applyBorder="1" applyAlignment="1">
      <alignment horizontal="center" wrapText="1"/>
    </xf>
    <xf numFmtId="0" fontId="1" fillId="4" borderId="9" xfId="0" applyFont="1" applyFill="1" applyBorder="1" applyAlignment="1">
      <alignment wrapText="1"/>
    </xf>
    <xf numFmtId="167" fontId="13" fillId="4" borderId="5" xfId="0" applyNumberFormat="1" applyFont="1" applyFill="1" applyBorder="1" applyAlignment="1">
      <alignment horizontal="center" wrapText="1"/>
    </xf>
    <xf numFmtId="167" fontId="13" fillId="4" borderId="6" xfId="0" applyNumberFormat="1" applyFont="1" applyFill="1" applyBorder="1" applyAlignment="1">
      <alignment horizontal="center" wrapText="1"/>
    </xf>
    <xf numFmtId="0" fontId="2" fillId="3" borderId="0" xfId="0" applyFont="1" applyFill="1" applyAlignment="1">
      <alignment wrapText="1"/>
    </xf>
    <xf numFmtId="0" fontId="11" fillId="3" borderId="0" xfId="0" applyFont="1" applyFill="1" applyAlignment="1">
      <alignment wrapText="1"/>
    </xf>
    <xf numFmtId="0" fontId="12" fillId="4" borderId="2" xfId="0" applyFont="1" applyFill="1" applyBorder="1" applyAlignment="1">
      <alignment horizontal="center" wrapText="1"/>
    </xf>
    <xf numFmtId="0" fontId="12" fillId="4" borderId="4" xfId="0" applyFont="1" applyFill="1" applyBorder="1" applyAlignment="1">
      <alignment horizontal="center" wrapText="1"/>
    </xf>
    <xf numFmtId="0" fontId="4" fillId="4" borderId="0" xfId="0" applyFont="1" applyFill="1" applyAlignment="1">
      <alignment vertical="top" wrapText="1"/>
    </xf>
    <xf numFmtId="0" fontId="5" fillId="5" borderId="0" xfId="0" applyFont="1" applyFill="1"/>
    <xf numFmtId="0" fontId="6" fillId="5" borderId="0" xfId="0" applyFont="1" applyFill="1"/>
  </cellXfs>
  <cellStyles count="1">
    <cellStyle name="Normal" xfId="0" builtinId="0"/>
  </cellStyles>
  <dxfs count="0"/>
  <tableStyles count="0" defaultTableStyle="TableStyleMedium2" defaultPivotStyle="PivotStyleLight16"/>
  <colors>
    <mruColors>
      <color rgb="FFAB794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v>Incremental EBITDA</c:v>
          </c:tx>
          <c:spPr>
            <a:solidFill>
              <a:srgbClr val="000000"/>
            </a:solidFill>
          </c:spPr>
          <c:invertIfNegative val="1"/>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Dashboard!$J$14:$J$17</c:f>
              <c:strCache>
                <c:ptCount val="4"/>
                <c:pt idx="0">
                  <c:v>Conservative</c:v>
                </c:pt>
                <c:pt idx="1">
                  <c:v>Base Case</c:v>
                </c:pt>
                <c:pt idx="2">
                  <c:v>Upside</c:v>
                </c:pt>
                <c:pt idx="3">
                  <c:v>Aggressive</c:v>
                </c:pt>
              </c:strCache>
            </c:strRef>
          </c:cat>
          <c:val>
            <c:numRef>
              <c:f>Dashboard!$K$14:$K$17</c:f>
              <c:numCache>
                <c:formatCode>\$#,##0;[Red]\(\$#,##0\);\-</c:formatCode>
                <c:ptCount val="4"/>
                <c:pt idx="0">
                  <c:v>43993.854929243651</c:v>
                </c:pt>
                <c:pt idx="1">
                  <c:v>98059.257034509879</c:v>
                </c:pt>
                <c:pt idx="2">
                  <c:v>146669.06608712976</c:v>
                </c:pt>
                <c:pt idx="3">
                  <c:v>202535.04097231384</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AFAE-FA4F-8EFA-3B425BC9B7B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numFmt formatCode="General" sourceLinked="1"/>
        <c:majorTickMark val="out"/>
        <c:minorTickMark val="none"/>
        <c:tickLblPos val="nextTo"/>
        <c:spPr>
          <a:ln/>
        </c:spPr>
        <c:crossAx val="48672768"/>
        <c:crosses val="autoZero"/>
        <c:auto val="1"/>
        <c:lblAlgn val="ctr"/>
        <c:lblOffset val="100"/>
        <c:noMultiLvlLbl val="0"/>
      </c:catAx>
      <c:valAx>
        <c:axId val="48672768"/>
        <c:scaling>
          <c:orientation val="minMax"/>
        </c:scaling>
        <c:delete val="0"/>
        <c:axPos val="l"/>
        <c:numFmt formatCode="\$#,##0;[Red]\(\$#,##0\);\-" sourceLinked="1"/>
        <c:majorTickMark val="out"/>
        <c:minorTickMark val="none"/>
        <c:tickLblPos val="nextTo"/>
        <c:spPr>
          <a:ln/>
        </c:sp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series layoutId="waterfall" uniqueId="{AA2CAC74-3D83-1640-9935-0A740401DDDC}">
          <cx:spPr>
            <a:solidFill>
              <a:schemeClr val="accent3">
                <a:lumMod val="20000"/>
                <a:lumOff val="80000"/>
              </a:schemeClr>
            </a:solidFill>
          </cx:spPr>
          <cx:dataPt idx="0">
            <cx:spPr>
              <a:solidFill>
                <a:sysClr val="window" lastClr="FFFFFF">
                  <a:lumMod val="50000"/>
                </a:sysClr>
              </a:solidFill>
              <a:ln>
                <a:noFill/>
              </a:ln>
            </cx:spPr>
          </cx:dataPt>
          <cx:dataPt idx="1">
            <cx:spPr>
              <a:solidFill>
                <a:srgbClr val="0E2841">
                  <a:lumMod val="25000"/>
                  <a:lumOff val="75000"/>
                </a:srgbClr>
              </a:solidFill>
            </cx:spPr>
          </cx:dataPt>
          <cx:dataPt idx="2">
            <cx:spPr>
              <a:solidFill>
                <a:srgbClr val="0E2841">
                  <a:lumMod val="25000"/>
                  <a:lumOff val="75000"/>
                </a:srgbClr>
              </a:solidFill>
            </cx:spPr>
          </cx:dataPt>
          <cx:dataPt idx="3">
            <cx:spPr>
              <a:solidFill>
                <a:srgbClr val="0E2841">
                  <a:lumMod val="25000"/>
                  <a:lumOff val="75000"/>
                </a:srgbClr>
              </a:solidFill>
            </cx:spPr>
          </cx:dataPt>
          <cx:dataPt idx="4">
            <cx:spPr>
              <a:solidFill>
                <a:srgbClr val="0E2841">
                  <a:lumMod val="25000"/>
                  <a:lumOff val="75000"/>
                </a:srgbClr>
              </a:solidFill>
            </cx:spPr>
          </cx:dataPt>
          <cx:dataPt idx="5">
            <cx:spPr>
              <a:solidFill>
                <a:sysClr val="windowText" lastClr="000000"/>
              </a:solidFill>
            </cx:spPr>
          </cx:dataPt>
          <cx:dataPt idx="6">
            <cx:spPr>
              <a:solidFill>
                <a:sysClr val="windowText" lastClr="000000"/>
              </a:solidFill>
            </cx:spPr>
          </cx:dataPt>
          <cx:dataLabels pos="outEnd">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a:cs typeface="Calibri"/>
                </a:endParaRPr>
              </a:p>
            </cx:txPr>
            <cx:visibility seriesName="0" categoryName="0" value="1"/>
          </cx:dataLabels>
          <cx:dataId val="0"/>
          <cx:layoutPr>
            <cx:subtotals>
              <cx:idx val="5"/>
              <cx:idx val="6"/>
            </cx:subtotals>
          </cx:layoutPr>
        </cx:series>
      </cx:plotAreaRegion>
      <cx:axis id="0">
        <cx:catScaling gapWidth="0.5"/>
        <cx:majorTickMarks type="out"/>
        <cx:tickLabels/>
        <cx:spPr>
          <a:ln>
            <a:solidFill>
              <a:schemeClr val="tx1"/>
            </a:solidFill>
          </a:ln>
        </cx:spPr>
        <cx:txPr>
          <a:bodyPr spcFirstLastPara="1" vertOverflow="ellipsis" horzOverflow="overflow" wrap="square" lIns="0" tIns="0" rIns="0" bIns="0" anchor="ctr" anchorCtr="1"/>
          <a:lstStyle/>
          <a:p>
            <a:pPr algn="ctr" rtl="0">
              <a:defRPr sz="800">
                <a:solidFill>
                  <a:sysClr val="windowText" lastClr="000000"/>
                </a:solidFill>
              </a:defRPr>
            </a:pPr>
            <a:endParaRPr lang="en-US" sz="800" b="0" i="0" u="none" strike="noStrike" baseline="0">
              <a:solidFill>
                <a:sysClr val="windowText" lastClr="000000"/>
              </a:solidFill>
              <a:latin typeface="Calibri"/>
              <a:cs typeface="Calibri"/>
            </a:endParaRPr>
          </a:p>
        </cx:txPr>
      </cx:axis>
      <cx:axis id="1">
        <cx:valScaling/>
        <cx:majorTickMarks type="out"/>
        <cx:tickLabels/>
        <cx:spPr>
          <a:ln>
            <a:solidFill>
              <a:schemeClr val="tx1"/>
            </a:solidFill>
          </a:ln>
        </cx:spPr>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a:cs typeface="Calibri"/>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62975</xdr:colOff>
      <xdr:row>17</xdr:row>
      <xdr:rowOff>167935</xdr:rowOff>
    </xdr:from>
    <xdr:to>
      <xdr:col>15</xdr:col>
      <xdr:colOff>545785</xdr:colOff>
      <xdr:row>33</xdr:row>
      <xdr:rowOff>20992</xdr:rowOff>
    </xdr:to>
    <xdr:graphicFrame macro="">
      <xdr:nvGraphicFramePr>
        <xdr:cNvPr id="3" nam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64375</xdr:colOff>
      <xdr:row>17</xdr:row>
      <xdr:rowOff>196937</xdr:rowOff>
    </xdr:from>
    <xdr:to>
      <xdr:col>8</xdr:col>
      <xdr:colOff>10496</xdr:colOff>
      <xdr:row>34</xdr:row>
      <xdr:rowOff>82637</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A14180FC-FE23-5D64-52B4-A4570F6CC8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4375" y="5402887"/>
              <a:ext cx="9434385" cy="416801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nsactionData" displayName="TransactionData" ref="A3:Y123">
  <tableColumns count="25">
    <tableColumn id="1" xr3:uid="{00000000-0010-0000-0000-000001000000}" name="Txn_ID"/>
    <tableColumn id="2" xr3:uid="{00000000-0010-0000-0000-000002000000}" name="Date"/>
    <tableColumn id="3" xr3:uid="{00000000-0010-0000-0000-000003000000}" name="Customer"/>
    <tableColumn id="4" xr3:uid="{00000000-0010-0000-0000-000004000000}" name="Segment"/>
    <tableColumn id="5" xr3:uid="{00000000-0010-0000-0000-000005000000}" name="SKU"/>
    <tableColumn id="6" xr3:uid="{00000000-0010-0000-0000-000006000000}" name="Product_Family"/>
    <tableColumn id="7" xr3:uid="{00000000-0010-0000-0000-000007000000}" name="Units"/>
    <tableColumn id="8" xr3:uid="{00000000-0010-0000-0000-000008000000}" name="List_Price"/>
    <tableColumn id="9" xr3:uid="{00000000-0010-0000-0000-000009000000}" name="Unit_Cost"/>
    <tableColumn id="10" xr3:uid="{00000000-0010-0000-0000-00000A000000}" name="Contract_Discount_%"/>
    <tableColumn id="11" xr3:uid="{00000000-0010-0000-0000-00000B000000}" name="Promo_Discount_%"/>
    <tableColumn id="12" xr3:uid="{00000000-0010-0000-0000-00000C000000}" name="Rebate_%"/>
    <tableColumn id="13" xr3:uid="{00000000-0010-0000-0000-00000D000000}" name="Freight_Absorb_$"/>
    <tableColumn id="14" xr3:uid="{00000000-0010-0000-0000-00000E000000}" name="Invoice_Price"/>
    <tableColumn id="15" xr3:uid="{00000000-0010-0000-0000-00000F000000}" name="Gross_Revenue"/>
    <tableColumn id="16" xr3:uid="{00000000-0010-0000-0000-000010000000}" name="Contract_Discount_$"/>
    <tableColumn id="17" xr3:uid="{00000000-0010-0000-0000-000011000000}" name="Promo_Discount_$"/>
    <tableColumn id="18" xr3:uid="{00000000-0010-0000-0000-000012000000}" name="Rebate_$"/>
    <tableColumn id="19" xr3:uid="{00000000-0010-0000-0000-000013000000}" name="Net_Revenue"/>
    <tableColumn id="20" xr3:uid="{00000000-0010-0000-0000-000014000000}" name="Standard_Cost"/>
    <tableColumn id="21" xr3:uid="{00000000-0010-0000-0000-000015000000}" name="Gross_Margin"/>
    <tableColumn id="22" xr3:uid="{00000000-0010-0000-0000-000016000000}" name="Pocket_Margin_%"/>
    <tableColumn id="23" xr3:uid="{00000000-0010-0000-0000-000017000000}" name="Total_Leakage_$"/>
    <tableColumn id="24" xr3:uid="{00000000-0010-0000-0000-000018000000}" name="Leakage_Rate_%"/>
    <tableColumn id="25" xr3:uid="{00000000-0010-0000-0000-000019000000}" name="Suggested_Ac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WaterfallTable" displayName="WaterfallTable" ref="A3:D11">
  <tableColumns count="4">
    <tableColumn id="1" xr3:uid="{00000000-0010-0000-0100-000001000000}" name="Waterfall Step"/>
    <tableColumn id="2" xr3:uid="{00000000-0010-0000-0100-000002000000}" name="Amount ($)"/>
    <tableColumn id="3" xr3:uid="{00000000-0010-0000-0100-000003000000}" name="% of Gross Revenue"/>
    <tableColumn id="4" xr3:uid="{00000000-0010-0000-0100-000004000000}" name="Formula / Interpreta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ustomerSegmentation" displayName="CustomerSegmentation" ref="A3:L15">
  <tableColumns count="12">
    <tableColumn id="1" xr3:uid="{00000000-0010-0000-0200-000001000000}" name="Customer"/>
    <tableColumn id="2" xr3:uid="{00000000-0010-0000-0200-000002000000}" name="Segment"/>
    <tableColumn id="3" xr3:uid="{00000000-0010-0000-0200-000003000000}" name="Transactions"/>
    <tableColumn id="4" xr3:uid="{00000000-0010-0000-0200-000004000000}" name="Units"/>
    <tableColumn id="5" xr3:uid="{00000000-0010-0000-0200-000005000000}" name="Gross Revenue ($)"/>
    <tableColumn id="6" xr3:uid="{00000000-0010-0000-0200-000006000000}" name="Net Revenue ($)"/>
    <tableColumn id="7" xr3:uid="{00000000-0010-0000-0200-000007000000}" name="Gross Margin ($)"/>
    <tableColumn id="8" xr3:uid="{00000000-0010-0000-0200-000008000000}" name="Pocket Margin %"/>
    <tableColumn id="9" xr3:uid="{00000000-0010-0000-0200-000009000000}" name="Total Leakage ($)"/>
    <tableColumn id="10" xr3:uid="{00000000-0010-0000-0200-00000A000000}" name="Leakage Rate %"/>
    <tableColumn id="11" xr3:uid="{00000000-0010-0000-0200-00000B000000}" name="Avg Contract Discount %"/>
    <tableColumn id="12" xr3:uid="{00000000-0010-0000-0200-00000C000000}" name="Suggested Act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cenarioTable" displayName="ScenarioTable" ref="A3:H7">
  <tableColumns count="8">
    <tableColumn id="1" xr3:uid="{00000000-0010-0000-0300-000001000000}" name="Scenario"/>
    <tableColumn id="2" xr3:uid="{00000000-0010-0000-0300-000002000000}" name="Price Increase"/>
    <tableColumn id="3" xr3:uid="{00000000-0010-0000-0300-000003000000}" name="Volume Retention"/>
    <tableColumn id="4" xr3:uid="{00000000-0010-0000-0300-000004000000}" name="Discount Recapture"/>
    <tableColumn id="5" xr3:uid="{00000000-0010-0000-0300-000005000000}" name="Rebate Reduction"/>
    <tableColumn id="6" xr3:uid="{00000000-0010-0000-0300-000006000000}" name="Freight Recovery"/>
    <tableColumn id="7" xr3:uid="{00000000-0010-0000-0300-000007000000}" name="Incremental EBITDA ($)"/>
    <tableColumn id="8" xr3:uid="{00000000-0010-0000-0300-000008000000}" name="Enterprise Value Impact ($)"/>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00"/>
  <sheetViews>
    <sheetView tabSelected="1" zoomScale="90" zoomScaleNormal="90" workbookViewId="0">
      <selection activeCell="I24" sqref="I24"/>
    </sheetView>
  </sheetViews>
  <sheetFormatPr baseColWidth="10" defaultColWidth="8.83203125" defaultRowHeight="14"/>
  <cols>
    <col min="1" max="1" width="22" customWidth="1"/>
    <col min="2" max="2" width="14" customWidth="1"/>
    <col min="3" max="3" width="16" customWidth="1"/>
    <col min="4" max="4" width="14" customWidth="1"/>
    <col min="5" max="5" width="16" customWidth="1"/>
    <col min="6" max="6" width="14" customWidth="1"/>
    <col min="7" max="7" width="16.33203125" customWidth="1"/>
    <col min="8" max="8" width="12" customWidth="1"/>
    <col min="10" max="10" width="24" customWidth="1"/>
    <col min="11" max="11" width="18" customWidth="1"/>
  </cols>
  <sheetData>
    <row r="1" spans="1:26" ht="57" customHeight="1">
      <c r="A1" s="56" t="s">
        <v>0</v>
      </c>
      <c r="B1" s="56"/>
      <c r="C1" s="56"/>
      <c r="D1" s="56"/>
      <c r="E1" s="56"/>
      <c r="F1" s="56"/>
      <c r="G1" s="56"/>
      <c r="H1" s="56"/>
      <c r="I1" s="32"/>
      <c r="J1" s="32"/>
      <c r="K1" s="32"/>
      <c r="L1" s="32"/>
      <c r="M1" s="32"/>
      <c r="N1" s="32"/>
      <c r="O1" s="32"/>
      <c r="P1" s="32"/>
      <c r="Q1" s="32"/>
      <c r="R1" s="1"/>
      <c r="S1" s="1"/>
      <c r="T1" s="1"/>
      <c r="U1" s="1"/>
      <c r="V1" s="1"/>
      <c r="W1" s="1"/>
      <c r="X1" s="1"/>
      <c r="Y1" s="1"/>
      <c r="Z1" s="1"/>
    </row>
    <row r="2" spans="1:26" ht="25" customHeight="1">
      <c r="A2" s="57" t="s">
        <v>1</v>
      </c>
      <c r="B2" s="57"/>
      <c r="C2" s="57"/>
      <c r="D2" s="57"/>
      <c r="E2" s="57"/>
      <c r="F2" s="57"/>
      <c r="G2" s="57"/>
      <c r="H2" s="57"/>
      <c r="I2" s="32"/>
      <c r="J2" s="32"/>
      <c r="K2" s="32"/>
      <c r="L2" s="32"/>
      <c r="M2" s="32"/>
      <c r="N2" s="32"/>
      <c r="O2" s="32"/>
      <c r="P2" s="32"/>
      <c r="Q2" s="32"/>
      <c r="R2" s="1"/>
      <c r="S2" s="1"/>
      <c r="T2" s="1"/>
      <c r="U2" s="1"/>
      <c r="V2" s="1"/>
      <c r="W2" s="1"/>
      <c r="X2" s="1"/>
      <c r="Y2" s="1"/>
      <c r="Z2" s="1"/>
    </row>
    <row r="3" spans="1:26" ht="20" customHeight="1">
      <c r="A3" s="32"/>
      <c r="B3" s="32"/>
      <c r="C3" s="32"/>
      <c r="D3" s="32"/>
      <c r="E3" s="32"/>
      <c r="F3" s="32"/>
      <c r="G3" s="32"/>
      <c r="H3" s="32"/>
      <c r="I3" s="32"/>
      <c r="J3" s="32"/>
      <c r="K3" s="32"/>
      <c r="L3" s="32"/>
      <c r="M3" s="32"/>
      <c r="N3" s="32"/>
      <c r="O3" s="32"/>
      <c r="P3" s="32"/>
      <c r="Q3" s="32"/>
      <c r="R3" s="1"/>
      <c r="S3" s="1"/>
      <c r="T3" s="1"/>
      <c r="U3" s="1"/>
      <c r="V3" s="1"/>
      <c r="W3" s="1"/>
      <c r="X3" s="1"/>
      <c r="Y3" s="1"/>
      <c r="Z3" s="1"/>
    </row>
    <row r="4" spans="1:26" ht="20" customHeight="1">
      <c r="A4" s="58" t="s">
        <v>2</v>
      </c>
      <c r="B4" s="59"/>
      <c r="C4" s="58" t="s">
        <v>3</v>
      </c>
      <c r="D4" s="59"/>
      <c r="E4" s="58" t="s">
        <v>4</v>
      </c>
      <c r="F4" s="59"/>
      <c r="G4" s="58" t="s">
        <v>5</v>
      </c>
      <c r="H4" s="59"/>
      <c r="I4" s="32"/>
      <c r="J4" s="47" t="s">
        <v>6</v>
      </c>
      <c r="K4" s="48" t="s">
        <v>7</v>
      </c>
      <c r="L4" s="32"/>
      <c r="M4" s="32"/>
      <c r="N4" s="32"/>
      <c r="O4" s="32"/>
      <c r="P4" s="32"/>
      <c r="Q4" s="32"/>
      <c r="R4" s="1"/>
      <c r="S4" s="1"/>
      <c r="T4" s="1"/>
      <c r="U4" s="1"/>
      <c r="V4" s="1"/>
      <c r="W4" s="1"/>
      <c r="X4" s="1"/>
      <c r="Y4" s="1"/>
      <c r="Z4" s="1"/>
    </row>
    <row r="5" spans="1:26" ht="32" customHeight="1">
      <c r="A5" s="54">
        <f>Waterfall!B9</f>
        <v>1841936.1952767977</v>
      </c>
      <c r="B5" s="55"/>
      <c r="C5" s="54">
        <f>Waterfall!B11</f>
        <v>816807.19527679775</v>
      </c>
      <c r="D5" s="55"/>
      <c r="E5" s="54">
        <f>SUM(Customer_SKU_Data!W4:W123)</f>
        <v>326858.80472320254</v>
      </c>
      <c r="F5" s="55"/>
      <c r="G5" s="54">
        <f>Scenarios!G5</f>
        <v>98059.257034509879</v>
      </c>
      <c r="H5" s="55"/>
      <c r="I5" s="32"/>
      <c r="J5" s="42" t="s">
        <v>8</v>
      </c>
      <c r="K5" s="49">
        <f>Waterfall!B4</f>
        <v>2168795</v>
      </c>
      <c r="L5" s="32"/>
      <c r="M5" s="32"/>
      <c r="N5" s="32"/>
      <c r="O5" s="32"/>
      <c r="P5" s="32"/>
      <c r="Q5" s="32"/>
      <c r="R5" s="1"/>
      <c r="S5" s="1"/>
      <c r="T5" s="1"/>
      <c r="U5" s="1"/>
      <c r="V5" s="1"/>
      <c r="W5" s="1"/>
      <c r="X5" s="1"/>
      <c r="Y5" s="1"/>
      <c r="Z5" s="1"/>
    </row>
    <row r="6" spans="1:26" ht="20" customHeight="1">
      <c r="A6" s="43"/>
      <c r="B6" s="53"/>
      <c r="C6" s="43"/>
      <c r="D6" s="53"/>
      <c r="E6" s="43"/>
      <c r="F6" s="53"/>
      <c r="G6" s="43"/>
      <c r="H6" s="53"/>
      <c r="I6" s="32"/>
      <c r="J6" s="42" t="s">
        <v>9</v>
      </c>
      <c r="K6" s="49">
        <f>Waterfall!B5</f>
        <v>-188064.89054873781</v>
      </c>
      <c r="L6" s="32"/>
      <c r="M6" s="32"/>
      <c r="N6" s="32"/>
      <c r="O6" s="32"/>
      <c r="P6" s="32"/>
      <c r="Q6" s="32"/>
      <c r="R6" s="1"/>
      <c r="S6" s="1"/>
      <c r="T6" s="1"/>
      <c r="U6" s="1"/>
      <c r="V6" s="1"/>
      <c r="W6" s="1"/>
      <c r="X6" s="1"/>
      <c r="Y6" s="1"/>
      <c r="Z6" s="1"/>
    </row>
    <row r="7" spans="1:26" ht="20" customHeight="1">
      <c r="A7" s="32"/>
      <c r="B7" s="32"/>
      <c r="C7" s="32"/>
      <c r="D7" s="32"/>
      <c r="E7" s="32"/>
      <c r="F7" s="32"/>
      <c r="G7" s="32"/>
      <c r="H7" s="32"/>
      <c r="I7" s="32"/>
      <c r="J7" s="42" t="s">
        <v>10</v>
      </c>
      <c r="K7" s="49">
        <f>Waterfall!B6</f>
        <v>-74462.767098840646</v>
      </c>
      <c r="L7" s="32"/>
      <c r="M7" s="32"/>
      <c r="N7" s="32"/>
      <c r="O7" s="32"/>
      <c r="P7" s="32"/>
      <c r="Q7" s="32"/>
      <c r="R7" s="1"/>
      <c r="S7" s="1"/>
      <c r="T7" s="1"/>
      <c r="U7" s="1"/>
      <c r="V7" s="1"/>
      <c r="W7" s="1"/>
      <c r="X7" s="1"/>
      <c r="Y7" s="1"/>
      <c r="Z7" s="1"/>
    </row>
    <row r="8" spans="1:26" ht="20" customHeight="1">
      <c r="A8" s="37" t="s">
        <v>13</v>
      </c>
      <c r="B8" s="38"/>
      <c r="C8" s="38"/>
      <c r="D8" s="38"/>
      <c r="E8" s="38"/>
      <c r="F8" s="38"/>
      <c r="G8" s="38"/>
      <c r="H8" s="39"/>
      <c r="I8" s="32"/>
      <c r="J8" s="42" t="s">
        <v>11</v>
      </c>
      <c r="K8" s="49">
        <f>Waterfall!B7</f>
        <v>-52033.696835799128</v>
      </c>
      <c r="L8" s="32"/>
      <c r="M8" s="32"/>
      <c r="N8" s="32"/>
      <c r="O8" s="32"/>
      <c r="P8" s="32"/>
      <c r="Q8" s="32"/>
      <c r="R8" s="1"/>
      <c r="S8" s="1"/>
      <c r="T8" s="1"/>
      <c r="U8" s="1"/>
      <c r="V8" s="1"/>
      <c r="W8" s="1"/>
      <c r="X8" s="1"/>
      <c r="Y8" s="1"/>
      <c r="Z8" s="1"/>
    </row>
    <row r="9" spans="1:26" ht="38" customHeight="1">
      <c r="A9" s="40" t="s">
        <v>14</v>
      </c>
      <c r="B9" s="33" t="s">
        <v>15</v>
      </c>
      <c r="C9" s="33" t="s">
        <v>16</v>
      </c>
      <c r="D9" s="33" t="s">
        <v>17</v>
      </c>
      <c r="E9" s="33" t="s">
        <v>18</v>
      </c>
      <c r="F9" s="33" t="s">
        <v>19</v>
      </c>
      <c r="G9" s="33" t="s">
        <v>20</v>
      </c>
      <c r="H9" s="41" t="s">
        <v>21</v>
      </c>
      <c r="I9" s="32"/>
      <c r="J9" s="42" t="s">
        <v>12</v>
      </c>
      <c r="K9" s="49">
        <f>Waterfall!B8</f>
        <v>-12297.450239824904</v>
      </c>
      <c r="L9" s="32"/>
      <c r="M9" s="32"/>
      <c r="N9" s="32"/>
      <c r="O9" s="32"/>
      <c r="P9" s="32"/>
      <c r="Q9" s="32"/>
      <c r="R9" s="1"/>
      <c r="S9" s="1"/>
      <c r="T9" s="1"/>
      <c r="U9" s="1"/>
      <c r="V9" s="1"/>
      <c r="W9" s="1"/>
      <c r="X9" s="1"/>
      <c r="Y9" s="1"/>
      <c r="Z9" s="1"/>
    </row>
    <row r="10" spans="1:26" ht="20" customHeight="1">
      <c r="A10" s="42" t="str">
        <f>Segmentation!A11</f>
        <v>Harbor Care</v>
      </c>
      <c r="B10" s="9" t="str">
        <f>Segmentation!B11</f>
        <v>Enterprise</v>
      </c>
      <c r="C10" s="22">
        <f>Segmentation!F11</f>
        <v>217953.65841249161</v>
      </c>
      <c r="D10" s="24">
        <f>Segmentation!H11</f>
        <v>0.4640512077162493</v>
      </c>
      <c r="E10" s="22">
        <f>Segmentation!I11</f>
        <v>49476.341587508417</v>
      </c>
      <c r="F10" s="24">
        <f>Segmentation!J11</f>
        <v>0.18500669927647764</v>
      </c>
      <c r="G10" s="9" t="str">
        <f>Segmentation!L11</f>
        <v>Reduce leakage</v>
      </c>
      <c r="H10" s="51">
        <f t="shared" ref="H10:H17" si="0">_xlfn.RANK.EQ(E10,$E$10:$E$17,0)</f>
        <v>1</v>
      </c>
      <c r="I10" s="32"/>
      <c r="J10" s="42" t="s">
        <v>2</v>
      </c>
      <c r="K10" s="49">
        <f>Waterfall!B9</f>
        <v>1841936.1952767977</v>
      </c>
      <c r="L10" s="32"/>
      <c r="M10" s="32"/>
      <c r="N10" s="32"/>
      <c r="O10" s="32"/>
      <c r="P10" s="32"/>
      <c r="Q10" s="32"/>
      <c r="R10" s="1"/>
      <c r="S10" s="1"/>
      <c r="T10" s="1"/>
      <c r="U10" s="1"/>
      <c r="V10" s="1"/>
      <c r="W10" s="1"/>
      <c r="X10" s="1"/>
      <c r="Y10" s="1"/>
      <c r="Z10" s="1"/>
    </row>
    <row r="11" spans="1:26" ht="20" customHeight="1">
      <c r="A11" s="42" t="str">
        <f>Segmentation!A5</f>
        <v>Boreal Clinics</v>
      </c>
      <c r="B11" s="9" t="str">
        <f>Segmentation!B5</f>
        <v>Enterprise</v>
      </c>
      <c r="C11" s="22">
        <f>Segmentation!F5</f>
        <v>182246.55072186451</v>
      </c>
      <c r="D11" s="24">
        <f>Segmentation!H5</f>
        <v>0.40019166581194715</v>
      </c>
      <c r="E11" s="22">
        <f>Segmentation!I5</f>
        <v>37578.449278135507</v>
      </c>
      <c r="F11" s="24">
        <f>Segmentation!J5</f>
        <v>0.17094711374109181</v>
      </c>
      <c r="G11" s="9" t="str">
        <f>Segmentation!L5</f>
        <v>Reduce leakage</v>
      </c>
      <c r="H11" s="51">
        <f t="shared" si="0"/>
        <v>2</v>
      </c>
      <c r="I11" s="32"/>
      <c r="J11" s="43" t="s">
        <v>3</v>
      </c>
      <c r="K11" s="50">
        <f>Waterfall!B11</f>
        <v>816807.19527679775</v>
      </c>
      <c r="L11" s="32"/>
      <c r="M11" s="32"/>
      <c r="N11" s="32"/>
      <c r="O11" s="32"/>
      <c r="P11" s="32"/>
      <c r="Q11" s="32"/>
      <c r="R11" s="1"/>
      <c r="S11" s="1"/>
      <c r="T11" s="1"/>
      <c r="U11" s="1"/>
      <c r="V11" s="1"/>
      <c r="W11" s="1"/>
      <c r="X11" s="1"/>
      <c r="Y11" s="1"/>
      <c r="Z11" s="1"/>
    </row>
    <row r="12" spans="1:26" ht="20" customHeight="1">
      <c r="A12" s="42" t="str">
        <f>Segmentation!A6</f>
        <v>Cobalt Services</v>
      </c>
      <c r="B12" s="9" t="str">
        <f>Segmentation!B6</f>
        <v>Mid-Market</v>
      </c>
      <c r="C12" s="22">
        <f>Segmentation!F6</f>
        <v>162236.40209608455</v>
      </c>
      <c r="D12" s="24">
        <f>Segmentation!H6</f>
        <v>0.43469530379696814</v>
      </c>
      <c r="E12" s="22">
        <f>Segmentation!I6</f>
        <v>30838.597903915444</v>
      </c>
      <c r="F12" s="24">
        <f>Segmentation!J6</f>
        <v>0.15972341268375215</v>
      </c>
      <c r="G12" s="9" t="str">
        <f>Segmentation!L6</f>
        <v>Reduce leakage</v>
      </c>
      <c r="H12" s="51">
        <f t="shared" si="0"/>
        <v>3</v>
      </c>
      <c r="I12" s="32"/>
      <c r="J12" s="32"/>
      <c r="K12" s="32"/>
      <c r="L12" s="32"/>
      <c r="M12" s="32"/>
      <c r="N12" s="32"/>
      <c r="O12" s="32"/>
      <c r="P12" s="32"/>
      <c r="Q12" s="32"/>
      <c r="R12" s="1"/>
      <c r="S12" s="1"/>
      <c r="T12" s="1"/>
      <c r="U12" s="1"/>
      <c r="V12" s="1"/>
      <c r="W12" s="1"/>
      <c r="X12" s="1"/>
      <c r="Y12" s="1"/>
      <c r="Z12" s="1"/>
    </row>
    <row r="13" spans="1:26" ht="20" customHeight="1">
      <c r="A13" s="42" t="str">
        <f>Segmentation!A4</f>
        <v>Acme Health</v>
      </c>
      <c r="B13" s="9" t="str">
        <f>Segmentation!B4</f>
        <v>Enterprise</v>
      </c>
      <c r="C13" s="22">
        <f>Segmentation!F4</f>
        <v>139013.69337635188</v>
      </c>
      <c r="D13" s="24">
        <f>Segmentation!H4</f>
        <v>0.4400983233408528</v>
      </c>
      <c r="E13" s="22">
        <f>Segmentation!I4</f>
        <v>30161.306623648132</v>
      </c>
      <c r="F13" s="24">
        <f>Segmentation!J4</f>
        <v>0.17828465567399515</v>
      </c>
      <c r="G13" s="9" t="str">
        <f>Segmentation!L4</f>
        <v>Reduce leakage</v>
      </c>
      <c r="H13" s="51">
        <f t="shared" si="0"/>
        <v>4</v>
      </c>
      <c r="I13" s="32"/>
      <c r="J13" s="47" t="s">
        <v>22</v>
      </c>
      <c r="K13" s="48" t="s">
        <v>23</v>
      </c>
      <c r="L13" s="32"/>
      <c r="M13" s="32"/>
      <c r="N13" s="32"/>
      <c r="O13" s="32"/>
      <c r="P13" s="32"/>
      <c r="Q13" s="32"/>
      <c r="R13" s="1"/>
      <c r="S13" s="1"/>
      <c r="T13" s="1"/>
      <c r="U13" s="1"/>
      <c r="V13" s="1"/>
      <c r="W13" s="1"/>
      <c r="X13" s="1"/>
      <c r="Y13" s="1"/>
      <c r="Z13" s="1"/>
    </row>
    <row r="14" spans="1:26" ht="20" customHeight="1">
      <c r="A14" s="42" t="str">
        <f>Segmentation!A8</f>
        <v>Evergreen Rehab</v>
      </c>
      <c r="B14" s="9" t="str">
        <f>Segmentation!B8</f>
        <v>Mid-Market</v>
      </c>
      <c r="C14" s="22">
        <f>Segmentation!F8</f>
        <v>145921.45105676199</v>
      </c>
      <c r="D14" s="24">
        <f>Segmentation!H8</f>
        <v>0.40258269521943413</v>
      </c>
      <c r="E14" s="22">
        <f>Segmentation!I8</f>
        <v>25253.548943238013</v>
      </c>
      <c r="F14" s="24">
        <f>Segmentation!J8</f>
        <v>0.1475305911683249</v>
      </c>
      <c r="G14" s="9" t="str">
        <f>Segmentation!L8</f>
        <v>Reduce leakage</v>
      </c>
      <c r="H14" s="51">
        <f t="shared" si="0"/>
        <v>5</v>
      </c>
      <c r="I14" s="32"/>
      <c r="J14" s="42" t="s">
        <v>24</v>
      </c>
      <c r="K14" s="49">
        <f>Scenarios!G4</f>
        <v>43993.854929243651</v>
      </c>
      <c r="L14" s="32"/>
      <c r="M14" s="32"/>
      <c r="N14" s="32"/>
      <c r="O14" s="32"/>
      <c r="P14" s="32"/>
      <c r="Q14" s="32"/>
      <c r="R14" s="1"/>
      <c r="S14" s="1"/>
      <c r="T14" s="1"/>
      <c r="U14" s="1"/>
      <c r="V14" s="1"/>
      <c r="W14" s="1"/>
      <c r="X14" s="1"/>
      <c r="Y14" s="1"/>
      <c r="Z14" s="1"/>
    </row>
    <row r="15" spans="1:26" ht="20" customHeight="1">
      <c r="A15" s="42" t="str">
        <f>Segmentation!A10</f>
        <v>Granite Medical</v>
      </c>
      <c r="B15" s="9" t="str">
        <f>Segmentation!B10</f>
        <v>Mid-Market</v>
      </c>
      <c r="C15" s="22">
        <f>Segmentation!F10</f>
        <v>127421.46492189364</v>
      </c>
      <c r="D15" s="24">
        <f>Segmentation!H10</f>
        <v>0.44765193177505919</v>
      </c>
      <c r="E15" s="22">
        <f>Segmentation!I10</f>
        <v>19173.535078106368</v>
      </c>
      <c r="F15" s="24">
        <f>Segmentation!J10</f>
        <v>0.13079255825987496</v>
      </c>
      <c r="G15" s="9" t="str">
        <f>Segmentation!L10</f>
        <v>Reduce leakage</v>
      </c>
      <c r="H15" s="51">
        <f t="shared" si="0"/>
        <v>6</v>
      </c>
      <c r="I15" s="32"/>
      <c r="J15" s="42" t="s">
        <v>25</v>
      </c>
      <c r="K15" s="49">
        <f>Scenarios!G5</f>
        <v>98059.257034509879</v>
      </c>
      <c r="L15" s="32"/>
      <c r="M15" s="32"/>
      <c r="N15" s="32"/>
      <c r="O15" s="32"/>
      <c r="P15" s="32"/>
      <c r="Q15" s="32"/>
      <c r="R15" s="1"/>
      <c r="S15" s="1"/>
      <c r="T15" s="1"/>
      <c r="U15" s="1"/>
      <c r="V15" s="1"/>
      <c r="W15" s="1"/>
      <c r="X15" s="1"/>
      <c r="Y15" s="1"/>
      <c r="Z15" s="1"/>
    </row>
    <row r="16" spans="1:26" ht="20" customHeight="1">
      <c r="A16" s="42" t="str">
        <f>Segmentation!A7</f>
        <v>Delta Dental Group</v>
      </c>
      <c r="B16" s="9" t="str">
        <f>Segmentation!B7</f>
        <v>Enterprise</v>
      </c>
      <c r="C16" s="22">
        <f>Segmentation!F7</f>
        <v>75029.643718247389</v>
      </c>
      <c r="D16" s="24">
        <f>Segmentation!H7</f>
        <v>0.43059838907898335</v>
      </c>
      <c r="E16" s="22">
        <f>Segmentation!I7</f>
        <v>17970.356281752618</v>
      </c>
      <c r="F16" s="24">
        <f>Segmentation!J7</f>
        <v>0.19322963743820021</v>
      </c>
      <c r="G16" s="9" t="str">
        <f>Segmentation!L7</f>
        <v>Reduce leakage</v>
      </c>
      <c r="H16" s="51">
        <f t="shared" si="0"/>
        <v>7</v>
      </c>
      <c r="I16" s="32"/>
      <c r="J16" s="42" t="s">
        <v>26</v>
      </c>
      <c r="K16" s="49">
        <f>Scenarios!G6</f>
        <v>146669.06608712976</v>
      </c>
      <c r="L16" s="32"/>
      <c r="M16" s="32"/>
      <c r="N16" s="32"/>
      <c r="O16" s="32"/>
      <c r="P16" s="32"/>
      <c r="Q16" s="32"/>
      <c r="R16" s="1"/>
      <c r="S16" s="1"/>
      <c r="T16" s="1"/>
      <c r="U16" s="1"/>
      <c r="V16" s="1"/>
      <c r="W16" s="1"/>
      <c r="X16" s="1"/>
      <c r="Y16" s="1"/>
      <c r="Z16" s="1"/>
    </row>
    <row r="17" spans="1:26" ht="20" customHeight="1">
      <c r="A17" s="43" t="str">
        <f>Segmentation!A9</f>
        <v>Fulton Labs</v>
      </c>
      <c r="B17" s="44" t="str">
        <f>Segmentation!B9</f>
        <v>SMB</v>
      </c>
      <c r="C17" s="45">
        <f>Segmentation!F9</f>
        <v>143895.22476225169</v>
      </c>
      <c r="D17" s="46">
        <f>Segmentation!H9</f>
        <v>0.46248390015864993</v>
      </c>
      <c r="E17" s="45">
        <f>Segmentation!I9</f>
        <v>14044.775237748288</v>
      </c>
      <c r="F17" s="46">
        <f>Segmentation!J9</f>
        <v>8.892475141033486E-2</v>
      </c>
      <c r="G17" s="44" t="str">
        <f>Segmentation!L9</f>
        <v>Monitor</v>
      </c>
      <c r="H17" s="52">
        <f t="shared" si="0"/>
        <v>8</v>
      </c>
      <c r="I17" s="32"/>
      <c r="J17" s="43" t="s">
        <v>27</v>
      </c>
      <c r="K17" s="50">
        <f>Scenarios!G7</f>
        <v>202535.04097231384</v>
      </c>
      <c r="L17" s="32"/>
      <c r="M17" s="32"/>
      <c r="N17" s="32"/>
      <c r="O17" s="32"/>
      <c r="P17" s="32"/>
      <c r="Q17" s="32"/>
      <c r="R17" s="1"/>
      <c r="S17" s="1"/>
      <c r="T17" s="1"/>
      <c r="U17" s="1"/>
      <c r="V17" s="1"/>
      <c r="W17" s="1"/>
      <c r="X17" s="1"/>
      <c r="Y17" s="1"/>
      <c r="Z17" s="1"/>
    </row>
    <row r="18" spans="1:26" ht="20" customHeight="1">
      <c r="A18" s="32"/>
      <c r="B18" s="32"/>
      <c r="C18" s="32"/>
      <c r="D18" s="32"/>
      <c r="E18" s="32"/>
      <c r="F18" s="32"/>
      <c r="G18" s="32"/>
      <c r="H18" s="32"/>
      <c r="I18" s="32"/>
      <c r="J18" s="32"/>
      <c r="K18" s="32"/>
      <c r="L18" s="32"/>
      <c r="M18" s="32"/>
      <c r="N18" s="32"/>
      <c r="O18" s="32"/>
      <c r="P18" s="32"/>
      <c r="Q18" s="32"/>
      <c r="R18" s="1"/>
      <c r="S18" s="1"/>
      <c r="T18" s="1"/>
      <c r="U18" s="1"/>
      <c r="V18" s="1"/>
      <c r="W18" s="1"/>
      <c r="X18" s="1"/>
      <c r="Y18" s="1"/>
      <c r="Z18" s="1"/>
    </row>
    <row r="19" spans="1:26" ht="20" customHeight="1">
      <c r="A19" s="32"/>
      <c r="B19" s="32"/>
      <c r="C19" s="32"/>
      <c r="D19" s="32"/>
      <c r="E19" s="32"/>
      <c r="F19" s="32"/>
      <c r="G19" s="32"/>
      <c r="H19" s="32"/>
      <c r="I19" s="32"/>
      <c r="J19" s="32"/>
      <c r="K19" s="32"/>
      <c r="L19" s="32"/>
      <c r="M19" s="32"/>
      <c r="N19" s="32"/>
      <c r="O19" s="32"/>
      <c r="P19" s="32"/>
      <c r="Q19" s="32"/>
      <c r="R19" s="1"/>
      <c r="S19" s="1"/>
      <c r="T19" s="1"/>
      <c r="U19" s="1"/>
      <c r="V19" s="1"/>
      <c r="W19" s="1"/>
      <c r="X19" s="1"/>
      <c r="Y19" s="1"/>
      <c r="Z19" s="1"/>
    </row>
    <row r="20" spans="1:26" ht="20" customHeight="1">
      <c r="A20" s="32"/>
      <c r="B20" s="32"/>
      <c r="C20" s="32"/>
      <c r="D20" s="32"/>
      <c r="E20" s="32"/>
      <c r="F20" s="32"/>
      <c r="G20" s="32"/>
      <c r="H20" s="32"/>
      <c r="I20" s="32"/>
      <c r="J20" s="32"/>
      <c r="K20" s="32"/>
      <c r="L20" s="32"/>
      <c r="M20" s="32"/>
      <c r="N20" s="32"/>
      <c r="O20" s="32"/>
      <c r="P20" s="32"/>
      <c r="Q20" s="32"/>
      <c r="R20" s="1"/>
      <c r="S20" s="1"/>
      <c r="T20" s="1"/>
      <c r="U20" s="1"/>
      <c r="V20" s="1"/>
      <c r="W20" s="1"/>
      <c r="X20" s="1"/>
      <c r="Y20" s="1"/>
      <c r="Z20" s="1"/>
    </row>
    <row r="21" spans="1:26" ht="20" customHeight="1">
      <c r="A21" s="32"/>
      <c r="B21" s="32"/>
      <c r="C21" s="32"/>
      <c r="D21" s="32"/>
      <c r="E21" s="32"/>
      <c r="F21" s="32"/>
      <c r="G21" s="32"/>
      <c r="H21" s="32"/>
      <c r="I21" s="32"/>
      <c r="J21" s="32"/>
      <c r="K21" s="32"/>
      <c r="L21" s="32"/>
      <c r="M21" s="32"/>
      <c r="N21" s="32"/>
      <c r="O21" s="32"/>
      <c r="P21" s="32"/>
      <c r="Q21" s="32"/>
      <c r="R21" s="1"/>
      <c r="S21" s="1"/>
      <c r="T21" s="1"/>
      <c r="U21" s="1"/>
      <c r="V21" s="1"/>
      <c r="W21" s="1"/>
      <c r="X21" s="1"/>
      <c r="Y21" s="1"/>
      <c r="Z21" s="1"/>
    </row>
    <row r="22" spans="1:26" ht="20" customHeight="1">
      <c r="A22" s="32"/>
      <c r="B22" s="32"/>
      <c r="C22" s="32"/>
      <c r="D22" s="32"/>
      <c r="E22" s="32"/>
      <c r="F22" s="32"/>
      <c r="G22" s="32"/>
      <c r="H22" s="32"/>
      <c r="I22" s="32"/>
      <c r="J22" s="32"/>
      <c r="K22" s="32"/>
      <c r="L22" s="32"/>
      <c r="M22" s="32"/>
      <c r="N22" s="32"/>
      <c r="O22" s="32"/>
      <c r="P22" s="32"/>
      <c r="Q22" s="32"/>
      <c r="R22" s="1"/>
      <c r="S22" s="1"/>
      <c r="T22" s="1"/>
      <c r="U22" s="1"/>
      <c r="V22" s="1"/>
      <c r="W22" s="1"/>
      <c r="X22" s="1"/>
      <c r="Y22" s="1"/>
      <c r="Z22" s="1"/>
    </row>
    <row r="23" spans="1:26" ht="20" customHeight="1">
      <c r="A23" s="32"/>
      <c r="B23" s="32"/>
      <c r="C23" s="32"/>
      <c r="D23" s="32"/>
      <c r="E23" s="32"/>
      <c r="F23" s="32"/>
      <c r="G23" s="32"/>
      <c r="H23" s="32"/>
      <c r="I23" s="32"/>
      <c r="J23" s="32"/>
      <c r="K23" s="32"/>
      <c r="L23" s="32"/>
      <c r="M23" s="32"/>
      <c r="N23" s="32"/>
      <c r="O23" s="32"/>
      <c r="P23" s="32"/>
      <c r="Q23" s="32"/>
      <c r="R23" s="1"/>
      <c r="S23" s="1"/>
      <c r="T23" s="1"/>
      <c r="U23" s="1"/>
      <c r="V23" s="1"/>
      <c r="W23" s="1"/>
      <c r="X23" s="1"/>
      <c r="Y23" s="1"/>
      <c r="Z23" s="1"/>
    </row>
    <row r="24" spans="1:26" ht="20" customHeight="1">
      <c r="A24" s="32"/>
      <c r="B24" s="32"/>
      <c r="C24" s="32"/>
      <c r="D24" s="32"/>
      <c r="E24" s="32"/>
      <c r="F24" s="32"/>
      <c r="G24" s="32"/>
      <c r="H24" s="32"/>
      <c r="I24" s="32"/>
      <c r="J24" s="32"/>
      <c r="K24" s="32"/>
      <c r="L24" s="32"/>
      <c r="M24" s="32"/>
      <c r="N24" s="32"/>
      <c r="O24" s="32"/>
      <c r="P24" s="32"/>
      <c r="Q24" s="32"/>
      <c r="R24" s="1"/>
      <c r="S24" s="1"/>
      <c r="T24" s="1"/>
      <c r="U24" s="1"/>
      <c r="V24" s="1"/>
      <c r="W24" s="1"/>
      <c r="X24" s="1"/>
      <c r="Y24" s="1"/>
      <c r="Z24" s="1"/>
    </row>
    <row r="25" spans="1:26" ht="20" customHeight="1">
      <c r="A25" s="32"/>
      <c r="B25" s="32"/>
      <c r="C25" s="32"/>
      <c r="D25" s="32"/>
      <c r="E25" s="32"/>
      <c r="F25" s="32"/>
      <c r="G25" s="32"/>
      <c r="H25" s="32"/>
      <c r="I25" s="32"/>
      <c r="J25" s="32"/>
      <c r="K25" s="32"/>
      <c r="L25" s="32"/>
      <c r="M25" s="32"/>
      <c r="N25" s="32"/>
      <c r="O25" s="32"/>
      <c r="P25" s="32"/>
      <c r="Q25" s="32"/>
      <c r="R25" s="1"/>
      <c r="S25" s="1"/>
      <c r="T25" s="1"/>
      <c r="U25" s="1"/>
      <c r="V25" s="1"/>
      <c r="W25" s="1"/>
      <c r="X25" s="1"/>
      <c r="Y25" s="1"/>
      <c r="Z25" s="1"/>
    </row>
    <row r="26" spans="1:26" ht="20" customHeight="1">
      <c r="A26" s="32"/>
      <c r="B26" s="32"/>
      <c r="C26" s="32"/>
      <c r="D26" s="32"/>
      <c r="E26" s="32"/>
      <c r="F26" s="32"/>
      <c r="G26" s="32"/>
      <c r="H26" s="32"/>
      <c r="I26" s="32"/>
      <c r="J26" s="32"/>
      <c r="K26" s="32"/>
      <c r="L26" s="32"/>
      <c r="M26" s="32"/>
      <c r="N26" s="32"/>
      <c r="O26" s="32"/>
      <c r="P26" s="32"/>
      <c r="Q26" s="32"/>
      <c r="R26" s="1"/>
      <c r="S26" s="1"/>
      <c r="T26" s="1"/>
      <c r="U26" s="1"/>
      <c r="V26" s="1"/>
      <c r="W26" s="1"/>
      <c r="X26" s="1"/>
      <c r="Y26" s="1"/>
      <c r="Z26" s="1"/>
    </row>
    <row r="27" spans="1:26" ht="20" customHeight="1">
      <c r="A27" s="32"/>
      <c r="B27" s="32"/>
      <c r="C27" s="32"/>
      <c r="D27" s="32"/>
      <c r="E27" s="32"/>
      <c r="F27" s="32"/>
      <c r="G27" s="32"/>
      <c r="H27" s="32"/>
      <c r="I27" s="32"/>
      <c r="J27" s="32"/>
      <c r="K27" s="32"/>
      <c r="L27" s="32"/>
      <c r="M27" s="32"/>
      <c r="N27" s="32"/>
      <c r="O27" s="32"/>
      <c r="P27" s="32"/>
      <c r="Q27" s="32"/>
      <c r="R27" s="1"/>
      <c r="S27" s="1"/>
      <c r="T27" s="1"/>
      <c r="U27" s="1"/>
      <c r="V27" s="1"/>
      <c r="W27" s="1"/>
      <c r="X27" s="1"/>
      <c r="Y27" s="1"/>
      <c r="Z27" s="1"/>
    </row>
    <row r="28" spans="1:26" ht="20" customHeight="1">
      <c r="A28" s="32"/>
      <c r="B28" s="32"/>
      <c r="C28" s="32"/>
      <c r="D28" s="32"/>
      <c r="E28" s="32"/>
      <c r="F28" s="32"/>
      <c r="G28" s="32"/>
      <c r="H28" s="32"/>
      <c r="I28" s="32"/>
      <c r="J28" s="32"/>
      <c r="K28" s="32"/>
      <c r="L28" s="32"/>
      <c r="M28" s="32"/>
      <c r="N28" s="32"/>
      <c r="O28" s="32"/>
      <c r="P28" s="32"/>
      <c r="Q28" s="32"/>
      <c r="R28" s="1"/>
      <c r="S28" s="1"/>
      <c r="T28" s="1"/>
      <c r="U28" s="1"/>
      <c r="V28" s="1"/>
      <c r="W28" s="1"/>
      <c r="X28" s="1"/>
      <c r="Y28" s="1"/>
      <c r="Z28" s="1"/>
    </row>
    <row r="29" spans="1:26" ht="20" customHeight="1">
      <c r="A29" s="32"/>
      <c r="B29" s="32"/>
      <c r="C29" s="32"/>
      <c r="D29" s="32"/>
      <c r="E29" s="32"/>
      <c r="F29" s="32"/>
      <c r="G29" s="32"/>
      <c r="H29" s="32"/>
      <c r="I29" s="32"/>
      <c r="J29" s="32"/>
      <c r="K29" s="32"/>
      <c r="L29" s="32"/>
      <c r="M29" s="32"/>
      <c r="N29" s="32"/>
      <c r="O29" s="32"/>
      <c r="P29" s="32"/>
      <c r="Q29" s="32"/>
      <c r="R29" s="1"/>
      <c r="S29" s="1"/>
      <c r="T29" s="1"/>
      <c r="U29" s="1"/>
      <c r="V29" s="1"/>
      <c r="W29" s="1"/>
      <c r="X29" s="1"/>
      <c r="Y29" s="1"/>
      <c r="Z29" s="1"/>
    </row>
    <row r="30" spans="1:26" ht="20" customHeight="1">
      <c r="A30" s="32"/>
      <c r="B30" s="32"/>
      <c r="C30" s="32"/>
      <c r="D30" s="32"/>
      <c r="E30" s="32"/>
      <c r="F30" s="32"/>
      <c r="G30" s="32"/>
      <c r="H30" s="32"/>
      <c r="I30" s="32"/>
      <c r="J30" s="32"/>
      <c r="K30" s="32"/>
      <c r="L30" s="32"/>
      <c r="M30" s="32"/>
      <c r="N30" s="32"/>
      <c r="O30" s="32"/>
      <c r="P30" s="32"/>
      <c r="Q30" s="32"/>
      <c r="R30" s="1"/>
      <c r="S30" s="1"/>
      <c r="T30" s="1"/>
      <c r="U30" s="1"/>
      <c r="V30" s="1"/>
      <c r="W30" s="1"/>
      <c r="X30" s="1"/>
      <c r="Y30" s="1"/>
      <c r="Z30" s="1"/>
    </row>
    <row r="31" spans="1:26" ht="20" customHeight="1">
      <c r="A31" s="32"/>
      <c r="B31" s="32"/>
      <c r="C31" s="32"/>
      <c r="D31" s="32"/>
      <c r="E31" s="32"/>
      <c r="F31" s="32"/>
      <c r="G31" s="32"/>
      <c r="H31" s="32"/>
      <c r="I31" s="32"/>
      <c r="J31" s="32"/>
      <c r="K31" s="32"/>
      <c r="L31" s="32"/>
      <c r="M31" s="32"/>
      <c r="N31" s="32"/>
      <c r="O31" s="32"/>
      <c r="P31" s="32"/>
      <c r="Q31" s="32"/>
      <c r="R31" s="1"/>
      <c r="S31" s="1"/>
      <c r="T31" s="1"/>
      <c r="U31" s="1"/>
      <c r="V31" s="1"/>
      <c r="W31" s="1"/>
      <c r="X31" s="1"/>
      <c r="Y31" s="1"/>
      <c r="Z31" s="1"/>
    </row>
    <row r="32" spans="1:26" ht="20" customHeight="1">
      <c r="A32" s="32"/>
      <c r="B32" s="32"/>
      <c r="C32" s="32"/>
      <c r="D32" s="32"/>
      <c r="E32" s="32"/>
      <c r="F32" s="32"/>
      <c r="G32" s="32"/>
      <c r="H32" s="32"/>
      <c r="I32" s="32"/>
      <c r="J32" s="32"/>
      <c r="K32" s="32"/>
      <c r="L32" s="32"/>
      <c r="M32" s="32"/>
      <c r="N32" s="32"/>
      <c r="O32" s="32"/>
      <c r="P32" s="32"/>
      <c r="Q32" s="32"/>
      <c r="R32" s="1"/>
      <c r="S32" s="1"/>
      <c r="T32" s="1"/>
      <c r="U32" s="1"/>
      <c r="V32" s="1"/>
      <c r="W32" s="1"/>
      <c r="X32" s="1"/>
      <c r="Y32" s="1"/>
      <c r="Z32" s="1"/>
    </row>
    <row r="33" spans="1:26" ht="20" customHeight="1">
      <c r="A33" s="32"/>
      <c r="B33" s="32"/>
      <c r="C33" s="32"/>
      <c r="D33" s="32"/>
      <c r="E33" s="32"/>
      <c r="F33" s="32"/>
      <c r="G33" s="32"/>
      <c r="H33" s="32"/>
      <c r="I33" s="32"/>
      <c r="J33" s="32"/>
      <c r="K33" s="32"/>
      <c r="L33" s="32"/>
      <c r="M33" s="32"/>
      <c r="N33" s="32"/>
      <c r="O33" s="32"/>
      <c r="P33" s="32"/>
      <c r="Q33" s="32"/>
      <c r="R33" s="1"/>
      <c r="S33" s="1"/>
      <c r="T33" s="1"/>
      <c r="U33" s="1"/>
      <c r="V33" s="1"/>
      <c r="W33" s="1"/>
      <c r="X33" s="1"/>
      <c r="Y33" s="1"/>
      <c r="Z33" s="1"/>
    </row>
    <row r="34" spans="1:26" ht="20" customHeight="1">
      <c r="A34" s="32"/>
      <c r="B34" s="32"/>
      <c r="C34" s="32"/>
      <c r="D34" s="32"/>
      <c r="E34" s="32"/>
      <c r="F34" s="32"/>
      <c r="G34" s="32"/>
      <c r="H34" s="32"/>
      <c r="I34" s="32"/>
      <c r="J34" s="32"/>
      <c r="K34" s="32"/>
      <c r="L34" s="32"/>
      <c r="M34" s="32"/>
      <c r="N34" s="32"/>
      <c r="O34" s="32"/>
      <c r="P34" s="32"/>
      <c r="Q34" s="32"/>
      <c r="R34" s="1"/>
      <c r="S34" s="1"/>
      <c r="T34" s="1"/>
      <c r="U34" s="1"/>
      <c r="V34" s="1"/>
      <c r="W34" s="1"/>
      <c r="X34" s="1"/>
      <c r="Y34" s="1"/>
      <c r="Z34" s="1"/>
    </row>
    <row r="35" spans="1:26" ht="20" customHeight="1">
      <c r="A35" s="32"/>
      <c r="B35" s="32"/>
      <c r="C35" s="32"/>
      <c r="D35" s="32"/>
      <c r="E35" s="32"/>
      <c r="F35" s="32"/>
      <c r="G35" s="32"/>
      <c r="H35" s="32"/>
      <c r="I35" s="32"/>
      <c r="J35" s="32"/>
      <c r="K35" s="32"/>
      <c r="L35" s="32"/>
      <c r="M35" s="32"/>
      <c r="N35" s="32"/>
      <c r="O35" s="32"/>
      <c r="P35" s="32"/>
      <c r="Q35" s="32"/>
      <c r="R35" s="1"/>
      <c r="S35" s="1"/>
      <c r="T35" s="1"/>
      <c r="U35" s="1"/>
      <c r="V35" s="1"/>
      <c r="W35" s="1"/>
      <c r="X35" s="1"/>
      <c r="Y35" s="1"/>
      <c r="Z35" s="1"/>
    </row>
    <row r="36" spans="1:26" ht="20" customHeight="1">
      <c r="A36" s="32"/>
      <c r="B36" s="32"/>
      <c r="C36" s="32"/>
      <c r="D36" s="32"/>
      <c r="E36" s="32"/>
      <c r="F36" s="32"/>
      <c r="G36" s="32"/>
      <c r="H36" s="32"/>
      <c r="I36" s="32"/>
      <c r="J36" s="32"/>
      <c r="K36" s="32"/>
      <c r="L36" s="32"/>
      <c r="M36" s="32"/>
      <c r="N36" s="32"/>
      <c r="O36" s="32"/>
      <c r="P36" s="32"/>
      <c r="Q36" s="32"/>
      <c r="R36" s="1"/>
      <c r="S36" s="1"/>
      <c r="T36" s="1"/>
      <c r="U36" s="1"/>
      <c r="V36" s="1"/>
      <c r="W36" s="1"/>
      <c r="X36" s="1"/>
      <c r="Y36" s="1"/>
      <c r="Z36" s="1"/>
    </row>
    <row r="37" spans="1:26" ht="20" customHeight="1">
      <c r="A37" s="32"/>
      <c r="B37" s="32"/>
      <c r="C37" s="32"/>
      <c r="D37" s="32"/>
      <c r="E37" s="32"/>
      <c r="F37" s="32"/>
      <c r="G37" s="32"/>
      <c r="H37" s="32"/>
      <c r="I37" s="32"/>
      <c r="J37" s="32"/>
      <c r="K37" s="32"/>
      <c r="L37" s="32"/>
      <c r="M37" s="32"/>
      <c r="N37" s="32"/>
      <c r="O37" s="32"/>
      <c r="P37" s="32"/>
      <c r="Q37" s="32"/>
      <c r="R37" s="1"/>
      <c r="S37" s="1"/>
      <c r="T37" s="1"/>
      <c r="U37" s="1"/>
      <c r="V37" s="1"/>
      <c r="W37" s="1"/>
      <c r="X37" s="1"/>
      <c r="Y37" s="1"/>
      <c r="Z37" s="1"/>
    </row>
    <row r="38" spans="1:26" ht="20" customHeight="1">
      <c r="A38" s="32"/>
      <c r="B38" s="32"/>
      <c r="C38" s="32"/>
      <c r="D38" s="32"/>
      <c r="E38" s="32"/>
      <c r="F38" s="32"/>
      <c r="G38" s="32"/>
      <c r="H38" s="32"/>
      <c r="I38" s="32"/>
      <c r="J38" s="32"/>
      <c r="K38" s="32"/>
      <c r="L38" s="32"/>
      <c r="M38" s="32"/>
      <c r="N38" s="32"/>
      <c r="O38" s="32"/>
      <c r="P38" s="32"/>
      <c r="Q38" s="32"/>
      <c r="R38" s="1"/>
      <c r="S38" s="1"/>
      <c r="T38" s="1"/>
      <c r="U38" s="1"/>
      <c r="V38" s="1"/>
      <c r="W38" s="1"/>
      <c r="X38" s="1"/>
      <c r="Y38" s="1"/>
      <c r="Z38" s="1"/>
    </row>
    <row r="39" spans="1:26" ht="20" customHeight="1">
      <c r="A39" s="32"/>
      <c r="B39" s="32"/>
      <c r="C39" s="32"/>
      <c r="D39" s="32"/>
      <c r="E39" s="32"/>
      <c r="F39" s="32"/>
      <c r="G39" s="32"/>
      <c r="H39" s="32"/>
      <c r="I39" s="32"/>
      <c r="J39" s="32"/>
      <c r="K39" s="32"/>
      <c r="L39" s="32"/>
      <c r="M39" s="32"/>
      <c r="N39" s="32"/>
      <c r="O39" s="32"/>
      <c r="P39" s="32"/>
      <c r="Q39" s="32"/>
      <c r="R39" s="1"/>
      <c r="S39" s="1"/>
      <c r="T39" s="1"/>
      <c r="U39" s="1"/>
      <c r="V39" s="1"/>
      <c r="W39" s="1"/>
      <c r="X39" s="1"/>
      <c r="Y39" s="1"/>
      <c r="Z39" s="1"/>
    </row>
    <row r="40" spans="1:26" ht="20" customHeight="1">
      <c r="A40" s="32"/>
      <c r="B40" s="32"/>
      <c r="C40" s="32"/>
      <c r="D40" s="32"/>
      <c r="E40" s="32"/>
      <c r="F40" s="32"/>
      <c r="G40" s="32"/>
      <c r="H40" s="32"/>
      <c r="I40" s="32"/>
      <c r="J40" s="32"/>
      <c r="K40" s="32"/>
      <c r="L40" s="32"/>
      <c r="M40" s="32"/>
      <c r="N40" s="32"/>
      <c r="O40" s="32"/>
      <c r="P40" s="32"/>
      <c r="Q40" s="32"/>
      <c r="R40" s="1"/>
      <c r="S40" s="1"/>
      <c r="T40" s="1"/>
      <c r="U40" s="1"/>
      <c r="V40" s="1"/>
      <c r="W40" s="1"/>
      <c r="X40" s="1"/>
      <c r="Y40" s="1"/>
      <c r="Z40" s="1"/>
    </row>
    <row r="41" spans="1:26" ht="20" customHeight="1">
      <c r="A41" s="32"/>
      <c r="B41" s="32"/>
      <c r="C41" s="32"/>
      <c r="D41" s="32"/>
      <c r="E41" s="32"/>
      <c r="F41" s="32"/>
      <c r="G41" s="32"/>
      <c r="H41" s="32"/>
      <c r="I41" s="32"/>
      <c r="J41" s="32"/>
      <c r="K41" s="32"/>
      <c r="L41" s="32"/>
      <c r="M41" s="32"/>
      <c r="N41" s="32"/>
      <c r="O41" s="32"/>
      <c r="P41" s="32"/>
      <c r="Q41" s="32"/>
      <c r="R41" s="1"/>
      <c r="S41" s="1"/>
      <c r="T41" s="1"/>
      <c r="U41" s="1"/>
      <c r="V41" s="1"/>
      <c r="W41" s="1"/>
      <c r="X41" s="1"/>
      <c r="Y41" s="1"/>
      <c r="Z41" s="1"/>
    </row>
    <row r="42" spans="1:26" ht="20" customHeight="1">
      <c r="A42" s="32"/>
      <c r="B42" s="32"/>
      <c r="C42" s="32"/>
      <c r="D42" s="32"/>
      <c r="E42" s="32"/>
      <c r="F42" s="32"/>
      <c r="G42" s="32"/>
      <c r="H42" s="32"/>
      <c r="I42" s="32"/>
      <c r="J42" s="32"/>
      <c r="K42" s="32"/>
      <c r="L42" s="32"/>
      <c r="M42" s="32"/>
      <c r="N42" s="32"/>
      <c r="O42" s="32"/>
      <c r="P42" s="32"/>
      <c r="Q42" s="32"/>
      <c r="R42" s="1"/>
      <c r="S42" s="1"/>
      <c r="T42" s="1"/>
      <c r="U42" s="1"/>
      <c r="V42" s="1"/>
      <c r="W42" s="1"/>
      <c r="X42" s="1"/>
      <c r="Y42" s="1"/>
      <c r="Z42" s="1"/>
    </row>
    <row r="43" spans="1:26" ht="20" customHeight="1">
      <c r="A43" s="32"/>
      <c r="B43" s="32"/>
      <c r="C43" s="32"/>
      <c r="D43" s="32"/>
      <c r="E43" s="32"/>
      <c r="F43" s="32"/>
      <c r="G43" s="32"/>
      <c r="H43" s="32"/>
      <c r="I43" s="32"/>
      <c r="J43" s="32"/>
      <c r="K43" s="32"/>
      <c r="L43" s="32"/>
      <c r="M43" s="32"/>
      <c r="N43" s="32"/>
      <c r="O43" s="32"/>
      <c r="P43" s="32"/>
      <c r="Q43" s="32"/>
      <c r="R43" s="1"/>
      <c r="S43" s="1"/>
      <c r="T43" s="1"/>
      <c r="U43" s="1"/>
      <c r="V43" s="1"/>
      <c r="W43" s="1"/>
      <c r="X43" s="1"/>
      <c r="Y43" s="1"/>
      <c r="Z43" s="1"/>
    </row>
    <row r="44" spans="1:26" ht="20" customHeight="1">
      <c r="A44" s="32"/>
      <c r="B44" s="32"/>
      <c r="C44" s="32"/>
      <c r="D44" s="32"/>
      <c r="E44" s="32"/>
      <c r="F44" s="32"/>
      <c r="G44" s="32"/>
      <c r="H44" s="32"/>
      <c r="I44" s="32"/>
      <c r="J44" s="32"/>
      <c r="K44" s="32"/>
      <c r="L44" s="32"/>
      <c r="M44" s="32"/>
      <c r="N44" s="32"/>
      <c r="O44" s="32"/>
      <c r="P44" s="32"/>
      <c r="Q44" s="32"/>
      <c r="R44" s="1"/>
      <c r="S44" s="1"/>
      <c r="T44" s="1"/>
      <c r="U44" s="1"/>
      <c r="V44" s="1"/>
      <c r="W44" s="1"/>
      <c r="X44" s="1"/>
      <c r="Y44" s="1"/>
      <c r="Z44" s="1"/>
    </row>
    <row r="45" spans="1:26" ht="20" customHeight="1">
      <c r="A45" s="32"/>
      <c r="B45" s="32"/>
      <c r="C45" s="32"/>
      <c r="D45" s="32"/>
      <c r="E45" s="32"/>
      <c r="F45" s="32"/>
      <c r="G45" s="32"/>
      <c r="H45" s="32"/>
      <c r="I45" s="32"/>
      <c r="J45" s="32"/>
      <c r="K45" s="32"/>
      <c r="L45" s="32"/>
      <c r="M45" s="32"/>
      <c r="N45" s="32"/>
      <c r="O45" s="32"/>
      <c r="P45" s="32"/>
      <c r="Q45" s="32"/>
      <c r="R45" s="1"/>
      <c r="S45" s="1"/>
      <c r="T45" s="1"/>
      <c r="U45" s="1"/>
      <c r="V45" s="1"/>
      <c r="W45" s="1"/>
      <c r="X45" s="1"/>
      <c r="Y45" s="1"/>
      <c r="Z45" s="1"/>
    </row>
    <row r="46" spans="1:26" ht="20" customHeight="1">
      <c r="A46" s="32"/>
      <c r="B46" s="32"/>
      <c r="C46" s="32"/>
      <c r="D46" s="32"/>
      <c r="E46" s="32"/>
      <c r="F46" s="32"/>
      <c r="G46" s="32"/>
      <c r="H46" s="32"/>
      <c r="I46" s="32"/>
      <c r="J46" s="32"/>
      <c r="K46" s="32"/>
      <c r="L46" s="32"/>
      <c r="M46" s="32"/>
      <c r="N46" s="32"/>
      <c r="O46" s="32"/>
      <c r="P46" s="32"/>
      <c r="Q46" s="32"/>
      <c r="R46" s="1"/>
      <c r="S46" s="1"/>
      <c r="T46" s="1"/>
      <c r="U46" s="1"/>
      <c r="V46" s="1"/>
      <c r="W46" s="1"/>
      <c r="X46" s="1"/>
      <c r="Y46" s="1"/>
      <c r="Z46" s="1"/>
    </row>
    <row r="47" spans="1:26" ht="20" customHeight="1">
      <c r="A47" s="32"/>
      <c r="B47" s="32"/>
      <c r="C47" s="32"/>
      <c r="D47" s="32"/>
      <c r="E47" s="32"/>
      <c r="F47" s="32"/>
      <c r="G47" s="32"/>
      <c r="H47" s="32"/>
      <c r="I47" s="32"/>
      <c r="J47" s="32"/>
      <c r="K47" s="32"/>
      <c r="L47" s="32"/>
      <c r="M47" s="32"/>
      <c r="N47" s="32"/>
      <c r="O47" s="32"/>
      <c r="P47" s="32"/>
      <c r="Q47" s="32"/>
      <c r="R47" s="1"/>
      <c r="S47" s="1"/>
      <c r="T47" s="1"/>
      <c r="U47" s="1"/>
      <c r="V47" s="1"/>
      <c r="W47" s="1"/>
      <c r="X47" s="1"/>
      <c r="Y47" s="1"/>
      <c r="Z47" s="1"/>
    </row>
    <row r="48" spans="1:26" ht="20" customHeight="1">
      <c r="A48" s="32"/>
      <c r="B48" s="32"/>
      <c r="C48" s="32"/>
      <c r="D48" s="32"/>
      <c r="E48" s="32"/>
      <c r="F48" s="32"/>
      <c r="G48" s="32"/>
      <c r="H48" s="32"/>
      <c r="I48" s="32"/>
      <c r="J48" s="32"/>
      <c r="K48" s="32"/>
      <c r="L48" s="32"/>
      <c r="M48" s="32"/>
      <c r="N48" s="32"/>
      <c r="O48" s="32"/>
      <c r="P48" s="32"/>
      <c r="Q48" s="32"/>
      <c r="R48" s="1"/>
      <c r="S48" s="1"/>
      <c r="T48" s="1"/>
      <c r="U48" s="1"/>
      <c r="V48" s="1"/>
      <c r="W48" s="1"/>
      <c r="X48" s="1"/>
      <c r="Y48" s="1"/>
      <c r="Z48" s="1"/>
    </row>
    <row r="49" spans="1:26" ht="20" customHeight="1">
      <c r="A49" s="32"/>
      <c r="B49" s="32"/>
      <c r="C49" s="32"/>
      <c r="D49" s="32"/>
      <c r="E49" s="32"/>
      <c r="F49" s="32"/>
      <c r="G49" s="32"/>
      <c r="H49" s="32"/>
      <c r="I49" s="32"/>
      <c r="J49" s="32"/>
      <c r="K49" s="32"/>
      <c r="L49" s="32"/>
      <c r="M49" s="32"/>
      <c r="N49" s="32"/>
      <c r="O49" s="32"/>
      <c r="P49" s="32"/>
      <c r="Q49" s="32"/>
      <c r="R49" s="1"/>
      <c r="S49" s="1"/>
      <c r="T49" s="1"/>
      <c r="U49" s="1"/>
      <c r="V49" s="1"/>
      <c r="W49" s="1"/>
      <c r="X49" s="1"/>
      <c r="Y49" s="1"/>
      <c r="Z49" s="1"/>
    </row>
    <row r="50" spans="1:26" ht="20" customHeight="1">
      <c r="A50" s="32"/>
      <c r="B50" s="32"/>
      <c r="C50" s="32"/>
      <c r="D50" s="32"/>
      <c r="E50" s="32"/>
      <c r="F50" s="32"/>
      <c r="G50" s="32"/>
      <c r="H50" s="32"/>
      <c r="I50" s="32"/>
      <c r="J50" s="32"/>
      <c r="K50" s="32"/>
      <c r="L50" s="32"/>
      <c r="M50" s="32"/>
      <c r="N50" s="32"/>
      <c r="O50" s="32"/>
      <c r="P50" s="32"/>
      <c r="Q50" s="32"/>
      <c r="R50" s="1"/>
      <c r="S50" s="1"/>
      <c r="T50" s="1"/>
      <c r="U50" s="1"/>
      <c r="V50" s="1"/>
      <c r="W50" s="1"/>
      <c r="X50" s="1"/>
      <c r="Y50" s="1"/>
      <c r="Z50" s="1"/>
    </row>
    <row r="51" spans="1:26" ht="20"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0"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0"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0"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0"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0"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0"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0"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0"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0"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0"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0"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0"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0"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0"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0"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0"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0"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0"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0"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sortState xmlns:xlrd2="http://schemas.microsoft.com/office/spreadsheetml/2017/richdata2" ref="A10:H17">
    <sortCondition ref="H10:H17"/>
  </sortState>
  <mergeCells count="10">
    <mergeCell ref="A5:B5"/>
    <mergeCell ref="C5:D5"/>
    <mergeCell ref="E5:F5"/>
    <mergeCell ref="G5:H5"/>
    <mergeCell ref="A1:H1"/>
    <mergeCell ref="A2:H2"/>
    <mergeCell ref="A4:B4"/>
    <mergeCell ref="C4:D4"/>
    <mergeCell ref="E4:F4"/>
    <mergeCell ref="G4:H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99"/>
  <sheetViews>
    <sheetView workbookViewId="0">
      <selection activeCell="A23" sqref="A23"/>
    </sheetView>
  </sheetViews>
  <sheetFormatPr baseColWidth="10" defaultColWidth="8.83203125" defaultRowHeight="14"/>
  <cols>
    <col min="1" max="1" width="28" customWidth="1"/>
    <col min="2" max="2" width="38" customWidth="1"/>
    <col min="3" max="3" width="16" customWidth="1"/>
    <col min="4" max="4" width="70" customWidth="1"/>
  </cols>
  <sheetData>
    <row r="1" spans="1:26" ht="38.25" customHeight="1">
      <c r="A1" s="2" t="s">
        <v>0</v>
      </c>
      <c r="B1" s="1"/>
      <c r="C1" s="1"/>
      <c r="D1" s="1"/>
      <c r="E1" s="1"/>
      <c r="F1" s="1"/>
      <c r="G1" s="1"/>
      <c r="H1" s="1"/>
      <c r="I1" s="1"/>
      <c r="J1" s="1"/>
      <c r="K1" s="1"/>
      <c r="L1" s="1"/>
      <c r="M1" s="1"/>
      <c r="N1" s="1"/>
      <c r="O1" s="1"/>
      <c r="P1" s="1"/>
      <c r="Q1" s="1"/>
      <c r="R1" s="1"/>
      <c r="S1" s="1"/>
      <c r="T1" s="1"/>
      <c r="U1" s="1"/>
      <c r="V1" s="1"/>
      <c r="W1" s="1"/>
      <c r="X1" s="1"/>
      <c r="Y1" s="1"/>
      <c r="Z1" s="1"/>
    </row>
    <row r="2" spans="1:26" ht="20" customHeight="1">
      <c r="A2" s="1"/>
      <c r="B2" s="1"/>
      <c r="C2" s="1"/>
      <c r="D2" s="1"/>
      <c r="E2" s="1"/>
      <c r="F2" s="1"/>
      <c r="G2" s="1"/>
      <c r="H2" s="1"/>
      <c r="I2" s="1"/>
      <c r="J2" s="1"/>
      <c r="K2" s="1"/>
      <c r="L2" s="1"/>
      <c r="M2" s="1"/>
      <c r="N2" s="1"/>
      <c r="O2" s="1"/>
      <c r="P2" s="1"/>
      <c r="Q2" s="1"/>
      <c r="R2" s="1"/>
      <c r="S2" s="1"/>
      <c r="T2" s="1"/>
      <c r="U2" s="1"/>
      <c r="V2" s="1"/>
      <c r="W2" s="1"/>
      <c r="X2" s="1"/>
      <c r="Y2" s="1"/>
      <c r="Z2" s="1"/>
    </row>
    <row r="3" spans="1:26" ht="20" customHeight="1">
      <c r="A3" s="3" t="s">
        <v>28</v>
      </c>
      <c r="B3" s="1"/>
      <c r="C3" s="1"/>
      <c r="D3" s="1"/>
      <c r="E3" s="1"/>
      <c r="F3" s="1"/>
      <c r="G3" s="1"/>
      <c r="H3" s="1"/>
      <c r="I3" s="1"/>
      <c r="J3" s="1"/>
      <c r="K3" s="1"/>
      <c r="L3" s="1"/>
      <c r="M3" s="1"/>
      <c r="N3" s="1"/>
      <c r="O3" s="1"/>
      <c r="P3" s="1"/>
      <c r="Q3" s="1"/>
      <c r="R3" s="1"/>
      <c r="S3" s="1"/>
      <c r="T3" s="1"/>
      <c r="U3" s="1"/>
      <c r="V3" s="1"/>
      <c r="W3" s="1"/>
      <c r="X3" s="1"/>
      <c r="Y3" s="1"/>
      <c r="Z3" s="1"/>
    </row>
    <row r="4" spans="1:26" ht="64" customHeight="1">
      <c r="A4" s="60" t="s">
        <v>29</v>
      </c>
      <c r="B4" s="60"/>
      <c r="C4" s="60"/>
      <c r="D4" s="60"/>
      <c r="E4" s="60"/>
      <c r="F4" s="60"/>
      <c r="G4" s="60"/>
      <c r="H4" s="60"/>
      <c r="I4" s="1"/>
      <c r="J4" s="1"/>
      <c r="K4" s="1"/>
      <c r="L4" s="1"/>
      <c r="M4" s="1"/>
      <c r="N4" s="1"/>
      <c r="O4" s="1"/>
      <c r="P4" s="1"/>
      <c r="Q4" s="1"/>
      <c r="R4" s="1"/>
      <c r="S4" s="1"/>
      <c r="T4" s="1"/>
      <c r="U4" s="1"/>
      <c r="V4" s="1"/>
      <c r="W4" s="1"/>
      <c r="X4" s="1"/>
      <c r="Y4" s="1"/>
      <c r="Z4" s="1"/>
    </row>
    <row r="5" spans="1:26" ht="20" customHeight="1">
      <c r="A5" s="60"/>
      <c r="B5" s="60"/>
      <c r="C5" s="60"/>
      <c r="D5" s="60"/>
      <c r="E5" s="60"/>
      <c r="F5" s="60"/>
      <c r="G5" s="60"/>
      <c r="H5" s="60"/>
      <c r="I5" s="1"/>
      <c r="J5" s="1"/>
      <c r="K5" s="1"/>
      <c r="L5" s="1"/>
      <c r="M5" s="1"/>
      <c r="N5" s="1"/>
      <c r="O5" s="1"/>
      <c r="P5" s="1"/>
      <c r="Q5" s="1"/>
      <c r="R5" s="1"/>
      <c r="S5" s="1"/>
      <c r="T5" s="1"/>
      <c r="U5" s="1"/>
      <c r="V5" s="1"/>
      <c r="W5" s="1"/>
      <c r="X5" s="1"/>
      <c r="Y5" s="1"/>
      <c r="Z5" s="1"/>
    </row>
    <row r="6" spans="1:26" ht="20" customHeight="1">
      <c r="A6" s="6" t="s">
        <v>30</v>
      </c>
      <c r="B6" s="5"/>
      <c r="C6" s="5"/>
      <c r="D6" s="5"/>
      <c r="E6" s="5"/>
      <c r="F6" s="5"/>
      <c r="G6" s="5"/>
      <c r="H6" s="5"/>
      <c r="I6" s="1"/>
      <c r="J6" s="1"/>
      <c r="K6" s="1"/>
      <c r="L6" s="1"/>
      <c r="M6" s="1"/>
      <c r="N6" s="1"/>
      <c r="O6" s="1"/>
      <c r="P6" s="1"/>
      <c r="Q6" s="1"/>
      <c r="R6" s="1"/>
      <c r="S6" s="1"/>
      <c r="T6" s="1"/>
      <c r="U6" s="1"/>
      <c r="V6" s="1"/>
      <c r="W6" s="1"/>
      <c r="X6" s="1"/>
      <c r="Y6" s="1"/>
      <c r="Z6" s="1"/>
    </row>
    <row r="7" spans="1:26" ht="38" customHeight="1">
      <c r="A7" s="60" t="s">
        <v>31</v>
      </c>
      <c r="B7" s="60"/>
      <c r="C7" s="60"/>
      <c r="D7" s="60"/>
      <c r="E7" s="60"/>
      <c r="F7" s="60"/>
      <c r="G7" s="60"/>
      <c r="H7" s="60"/>
      <c r="I7" s="1"/>
      <c r="J7" s="1"/>
      <c r="K7" s="1"/>
      <c r="L7" s="1"/>
      <c r="M7" s="1"/>
      <c r="N7" s="1"/>
      <c r="O7" s="1"/>
      <c r="P7" s="1"/>
      <c r="Q7" s="1"/>
      <c r="R7" s="1"/>
      <c r="S7" s="1"/>
      <c r="T7" s="1"/>
      <c r="U7" s="1"/>
      <c r="V7" s="1"/>
      <c r="W7" s="1"/>
      <c r="X7" s="1"/>
      <c r="Y7" s="1"/>
      <c r="Z7" s="1"/>
    </row>
    <row r="8" spans="1:26" ht="2" customHeight="1">
      <c r="A8" s="60"/>
      <c r="B8" s="60"/>
      <c r="C8" s="60"/>
      <c r="D8" s="60"/>
      <c r="E8" s="60"/>
      <c r="F8" s="60"/>
      <c r="G8" s="60"/>
      <c r="H8" s="60"/>
      <c r="I8" s="1"/>
      <c r="J8" s="1"/>
      <c r="K8" s="1"/>
      <c r="L8" s="1"/>
      <c r="M8" s="1"/>
      <c r="N8" s="1"/>
      <c r="O8" s="1"/>
      <c r="P8" s="1"/>
      <c r="Q8" s="1"/>
      <c r="R8" s="1"/>
      <c r="S8" s="1"/>
      <c r="T8" s="1"/>
      <c r="U8" s="1"/>
      <c r="V8" s="1"/>
      <c r="W8" s="1"/>
      <c r="X8" s="1"/>
      <c r="Y8" s="1"/>
      <c r="Z8" s="1"/>
    </row>
    <row r="9" spans="1:26" ht="20" customHeight="1">
      <c r="A9" s="1"/>
      <c r="B9" s="1"/>
      <c r="C9" s="1"/>
      <c r="D9" s="1"/>
      <c r="E9" s="1"/>
      <c r="F9" s="1"/>
      <c r="G9" s="1"/>
      <c r="H9" s="1"/>
      <c r="I9" s="1"/>
      <c r="J9" s="1"/>
      <c r="K9" s="1"/>
      <c r="L9" s="1"/>
      <c r="M9" s="1"/>
      <c r="N9" s="1"/>
      <c r="O9" s="1"/>
      <c r="P9" s="1"/>
      <c r="Q9" s="1"/>
      <c r="R9" s="1"/>
      <c r="S9" s="1"/>
      <c r="T9" s="1"/>
      <c r="U9" s="1"/>
      <c r="V9" s="1"/>
      <c r="W9" s="1"/>
      <c r="X9" s="1"/>
      <c r="Y9" s="1"/>
      <c r="Z9" s="1"/>
    </row>
    <row r="10" spans="1:26" ht="20" customHeight="1">
      <c r="A10" s="61" t="s">
        <v>32</v>
      </c>
      <c r="B10" s="61"/>
      <c r="C10" s="61"/>
      <c r="D10" s="61"/>
      <c r="E10" s="61"/>
      <c r="F10" s="61"/>
      <c r="G10" s="61"/>
      <c r="H10" s="61"/>
      <c r="I10" s="1"/>
      <c r="J10" s="1"/>
      <c r="K10" s="1"/>
      <c r="L10" s="1"/>
      <c r="M10" s="1"/>
      <c r="N10" s="1"/>
      <c r="O10" s="1"/>
      <c r="P10" s="1"/>
      <c r="Q10" s="1"/>
      <c r="R10" s="1"/>
      <c r="S10" s="1"/>
      <c r="T10" s="1"/>
      <c r="U10" s="1"/>
      <c r="V10" s="1"/>
      <c r="W10" s="1"/>
      <c r="X10" s="1"/>
      <c r="Y10" s="1"/>
      <c r="Z10" s="1"/>
    </row>
    <row r="11" spans="1:26" ht="20" customHeight="1">
      <c r="A11" s="7" t="s">
        <v>33</v>
      </c>
      <c r="B11" s="7" t="s">
        <v>34</v>
      </c>
      <c r="C11" s="7" t="s">
        <v>35</v>
      </c>
      <c r="D11" s="7" t="s">
        <v>36</v>
      </c>
      <c r="E11" s="1"/>
      <c r="F11" s="1"/>
      <c r="G11" s="1"/>
      <c r="H11" s="1"/>
      <c r="I11" s="1"/>
      <c r="J11" s="1"/>
      <c r="K11" s="1"/>
      <c r="L11" s="1"/>
      <c r="M11" s="1"/>
      <c r="N11" s="1"/>
      <c r="O11" s="1"/>
      <c r="P11" s="1"/>
      <c r="Q11" s="1"/>
      <c r="R11" s="1"/>
      <c r="S11" s="1"/>
      <c r="T11" s="1"/>
      <c r="U11" s="1"/>
      <c r="V11" s="1"/>
      <c r="W11" s="1"/>
      <c r="X11" s="1"/>
      <c r="Y11" s="1"/>
      <c r="Z11" s="1"/>
    </row>
    <row r="12" spans="1:26" ht="20" customHeight="1">
      <c r="A12" s="8" t="s">
        <v>37</v>
      </c>
      <c r="B12" s="8" t="s">
        <v>38</v>
      </c>
      <c r="C12" s="8" t="s">
        <v>39</v>
      </c>
      <c r="D12" s="8" t="s">
        <v>40</v>
      </c>
      <c r="E12" s="1"/>
      <c r="F12" s="1"/>
      <c r="G12" s="1"/>
      <c r="H12" s="1"/>
      <c r="I12" s="1"/>
      <c r="J12" s="1"/>
      <c r="K12" s="1"/>
      <c r="L12" s="1"/>
      <c r="M12" s="1"/>
      <c r="N12" s="1"/>
      <c r="O12" s="1"/>
      <c r="P12" s="1"/>
      <c r="Q12" s="1"/>
      <c r="R12" s="1"/>
      <c r="S12" s="1"/>
      <c r="T12" s="1"/>
      <c r="U12" s="1"/>
      <c r="V12" s="1"/>
      <c r="W12" s="1"/>
      <c r="X12" s="1"/>
      <c r="Y12" s="1"/>
      <c r="Z12" s="1"/>
    </row>
    <row r="13" spans="1:26" ht="32" customHeight="1">
      <c r="A13" s="8" t="s">
        <v>41</v>
      </c>
      <c r="B13" s="8" t="s">
        <v>42</v>
      </c>
      <c r="C13" s="8" t="s">
        <v>39</v>
      </c>
      <c r="D13" s="8" t="s">
        <v>43</v>
      </c>
      <c r="E13" s="1"/>
      <c r="F13" s="1"/>
      <c r="G13" s="1"/>
      <c r="H13" s="1"/>
      <c r="I13" s="1"/>
      <c r="J13" s="1"/>
      <c r="K13" s="1"/>
      <c r="L13" s="1"/>
      <c r="M13" s="1"/>
      <c r="N13" s="1"/>
      <c r="O13" s="1"/>
      <c r="P13" s="1"/>
      <c r="Q13" s="1"/>
      <c r="R13" s="1"/>
      <c r="S13" s="1"/>
      <c r="T13" s="1"/>
      <c r="U13" s="1"/>
      <c r="V13" s="1"/>
      <c r="W13" s="1"/>
      <c r="X13" s="1"/>
      <c r="Y13" s="1"/>
      <c r="Z13" s="1"/>
    </row>
    <row r="14" spans="1:26" ht="20" customHeight="1">
      <c r="A14" s="8" t="s">
        <v>44</v>
      </c>
      <c r="B14" s="8" t="s">
        <v>45</v>
      </c>
      <c r="C14" s="8" t="s">
        <v>46</v>
      </c>
      <c r="D14" s="8" t="s">
        <v>47</v>
      </c>
      <c r="E14" s="1"/>
      <c r="F14" s="1"/>
      <c r="G14" s="1"/>
      <c r="H14" s="1"/>
      <c r="I14" s="1"/>
      <c r="J14" s="1"/>
      <c r="K14" s="1"/>
      <c r="L14" s="1"/>
      <c r="M14" s="1"/>
      <c r="N14" s="1"/>
      <c r="O14" s="1"/>
      <c r="P14" s="1"/>
      <c r="Q14" s="1"/>
      <c r="R14" s="1"/>
      <c r="S14" s="1"/>
      <c r="T14" s="1"/>
      <c r="U14" s="1"/>
      <c r="V14" s="1"/>
      <c r="W14" s="1"/>
      <c r="X14" s="1"/>
      <c r="Y14" s="1"/>
      <c r="Z14" s="1"/>
    </row>
    <row r="15" spans="1:26" ht="20" customHeight="1">
      <c r="A15" s="8" t="s">
        <v>48</v>
      </c>
      <c r="B15" s="8" t="s">
        <v>49</v>
      </c>
      <c r="C15" s="8" t="s">
        <v>46</v>
      </c>
      <c r="D15" s="8" t="s">
        <v>50</v>
      </c>
      <c r="E15" s="1"/>
      <c r="F15" s="1"/>
      <c r="G15" s="1"/>
      <c r="H15" s="1"/>
      <c r="I15" s="1"/>
      <c r="J15" s="1"/>
      <c r="K15" s="1"/>
      <c r="L15" s="1"/>
      <c r="M15" s="1"/>
      <c r="N15" s="1"/>
      <c r="O15" s="1"/>
      <c r="P15" s="1"/>
      <c r="Q15" s="1"/>
      <c r="R15" s="1"/>
      <c r="S15" s="1"/>
      <c r="T15" s="1"/>
      <c r="U15" s="1"/>
      <c r="V15" s="1"/>
      <c r="W15" s="1"/>
      <c r="X15" s="1"/>
      <c r="Y15" s="1"/>
      <c r="Z15" s="1"/>
    </row>
    <row r="16" spans="1:26" ht="20" customHeight="1">
      <c r="A16" s="8" t="s">
        <v>51</v>
      </c>
      <c r="B16" s="8" t="s">
        <v>52</v>
      </c>
      <c r="C16" s="8" t="s">
        <v>39</v>
      </c>
      <c r="D16" s="8" t="s">
        <v>53</v>
      </c>
      <c r="E16" s="1"/>
      <c r="F16" s="1"/>
      <c r="G16" s="1"/>
      <c r="H16" s="1"/>
      <c r="I16" s="1"/>
      <c r="J16" s="1"/>
      <c r="K16" s="1"/>
      <c r="L16" s="1"/>
      <c r="M16" s="1"/>
      <c r="N16" s="1"/>
      <c r="O16" s="1"/>
      <c r="P16" s="1"/>
      <c r="Q16" s="1"/>
      <c r="R16" s="1"/>
      <c r="S16" s="1"/>
      <c r="T16" s="1"/>
      <c r="U16" s="1"/>
      <c r="V16" s="1"/>
      <c r="W16" s="1"/>
      <c r="X16" s="1"/>
      <c r="Y16" s="1"/>
      <c r="Z16" s="1"/>
    </row>
    <row r="17" spans="1:26" ht="20" customHeight="1">
      <c r="A17" s="8" t="s">
        <v>54</v>
      </c>
      <c r="B17" s="8" t="s">
        <v>55</v>
      </c>
      <c r="C17" s="8" t="s">
        <v>46</v>
      </c>
      <c r="D17" s="8" t="s">
        <v>56</v>
      </c>
      <c r="E17" s="1"/>
      <c r="F17" s="1"/>
      <c r="G17" s="1"/>
      <c r="H17" s="1"/>
      <c r="I17" s="1"/>
      <c r="J17" s="1"/>
      <c r="K17" s="1"/>
      <c r="L17" s="1"/>
      <c r="M17" s="1"/>
      <c r="N17" s="1"/>
      <c r="O17" s="1"/>
      <c r="P17" s="1"/>
      <c r="Q17" s="1"/>
      <c r="R17" s="1"/>
      <c r="S17" s="1"/>
      <c r="T17" s="1"/>
      <c r="U17" s="1"/>
      <c r="V17" s="1"/>
      <c r="W17" s="1"/>
      <c r="X17" s="1"/>
      <c r="Y17" s="1"/>
      <c r="Z17" s="1"/>
    </row>
    <row r="18" spans="1:26" ht="20" customHeight="1">
      <c r="A18" s="8" t="s">
        <v>57</v>
      </c>
      <c r="B18" s="8" t="s">
        <v>58</v>
      </c>
      <c r="C18" s="8" t="s">
        <v>39</v>
      </c>
      <c r="D18" s="8" t="s">
        <v>59</v>
      </c>
      <c r="E18" s="1"/>
      <c r="F18" s="1"/>
      <c r="G18" s="1"/>
      <c r="H18" s="1"/>
      <c r="I18" s="1"/>
      <c r="J18" s="1"/>
      <c r="K18" s="1"/>
      <c r="L18" s="1"/>
      <c r="M18" s="1"/>
      <c r="N18" s="1"/>
      <c r="O18" s="1"/>
      <c r="P18" s="1"/>
      <c r="Q18" s="1"/>
      <c r="R18" s="1"/>
      <c r="S18" s="1"/>
      <c r="T18" s="1"/>
      <c r="U18" s="1"/>
      <c r="V18" s="1"/>
      <c r="W18" s="1"/>
      <c r="X18" s="1"/>
      <c r="Y18" s="1"/>
      <c r="Z18" s="1"/>
    </row>
    <row r="19" spans="1:26" ht="20"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2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20"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20"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20"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20"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20"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20"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20"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20"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20"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20"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20"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20"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20"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20"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0"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0"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0"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0"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0"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0"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0"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0"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0"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0"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0"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0"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0"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0"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0"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0"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0"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0"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0"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0"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0"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0"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0"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0"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0"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0"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0"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0"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0"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0"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0"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0"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0"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0"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0"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sheetData>
  <mergeCells count="3">
    <mergeCell ref="A4:H5"/>
    <mergeCell ref="A7:H8"/>
    <mergeCell ref="A10:H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00"/>
  <sheetViews>
    <sheetView workbookViewId="0"/>
  </sheetViews>
  <sheetFormatPr baseColWidth="10" defaultColWidth="8.83203125" defaultRowHeight="14"/>
  <cols>
    <col min="1" max="1" width="28" customWidth="1"/>
    <col min="2" max="2" width="18" customWidth="1"/>
    <col min="3" max="3" width="12" customWidth="1"/>
    <col min="4" max="4" width="70" customWidth="1"/>
  </cols>
  <sheetData>
    <row r="1" spans="1:26" ht="38.25" customHeight="1">
      <c r="A1" s="2" t="s">
        <v>60</v>
      </c>
      <c r="B1" s="1"/>
      <c r="C1" s="1"/>
      <c r="D1" s="1"/>
      <c r="E1" s="1"/>
      <c r="F1" s="1"/>
      <c r="G1" s="1"/>
      <c r="H1" s="1"/>
      <c r="I1" s="1"/>
      <c r="J1" s="1"/>
      <c r="K1" s="1"/>
      <c r="L1" s="1"/>
      <c r="M1" s="1"/>
      <c r="N1" s="1"/>
      <c r="O1" s="1"/>
      <c r="P1" s="1"/>
      <c r="Q1" s="1"/>
      <c r="R1" s="1"/>
      <c r="S1" s="1"/>
      <c r="T1" s="1"/>
      <c r="U1" s="1"/>
      <c r="V1" s="1"/>
      <c r="W1" s="1"/>
      <c r="X1" s="1"/>
      <c r="Y1" s="1"/>
      <c r="Z1" s="1"/>
    </row>
    <row r="2" spans="1:26" ht="20" customHeight="1">
      <c r="A2" s="1"/>
      <c r="B2" s="1"/>
      <c r="C2" s="1"/>
      <c r="D2" s="1"/>
      <c r="E2" s="1"/>
      <c r="F2" s="1"/>
      <c r="G2" s="1"/>
      <c r="H2" s="1"/>
      <c r="I2" s="1"/>
      <c r="J2" s="1"/>
      <c r="K2" s="1"/>
      <c r="L2" s="1"/>
      <c r="M2" s="1"/>
      <c r="N2" s="1"/>
      <c r="O2" s="1"/>
      <c r="P2" s="1"/>
      <c r="Q2" s="1"/>
      <c r="R2" s="1"/>
      <c r="S2" s="1"/>
      <c r="T2" s="1"/>
      <c r="U2" s="1"/>
      <c r="V2" s="1"/>
      <c r="W2" s="1"/>
      <c r="X2" s="1"/>
      <c r="Y2" s="1"/>
      <c r="Z2" s="1"/>
    </row>
    <row r="3" spans="1:26" ht="20" customHeight="1">
      <c r="A3" s="10" t="s">
        <v>61</v>
      </c>
      <c r="B3" s="10" t="s">
        <v>62</v>
      </c>
      <c r="C3" s="10" t="s">
        <v>63</v>
      </c>
      <c r="D3" s="10" t="s">
        <v>64</v>
      </c>
      <c r="E3" s="1"/>
      <c r="F3" s="1"/>
      <c r="G3" s="1"/>
      <c r="H3" s="1"/>
      <c r="I3" s="1"/>
      <c r="J3" s="1"/>
      <c r="K3" s="1"/>
      <c r="L3" s="1"/>
      <c r="M3" s="1"/>
      <c r="N3" s="1"/>
      <c r="O3" s="1"/>
      <c r="P3" s="1"/>
      <c r="Q3" s="1"/>
      <c r="R3" s="1"/>
      <c r="S3" s="1"/>
      <c r="T3" s="1"/>
      <c r="U3" s="1"/>
      <c r="V3" s="1"/>
      <c r="W3" s="1"/>
      <c r="X3" s="1"/>
      <c r="Y3" s="1"/>
      <c r="Z3" s="1"/>
    </row>
    <row r="4" spans="1:26" ht="20" customHeight="1">
      <c r="A4" s="8" t="s">
        <v>65</v>
      </c>
      <c r="B4" s="35">
        <v>2.5000000000000001E-2</v>
      </c>
      <c r="C4" s="8" t="s">
        <v>66</v>
      </c>
      <c r="D4" s="8" t="s">
        <v>67</v>
      </c>
      <c r="E4" s="1"/>
      <c r="F4" s="1"/>
      <c r="G4" s="1"/>
      <c r="H4" s="1"/>
      <c r="I4" s="1"/>
      <c r="J4" s="1"/>
      <c r="K4" s="1"/>
      <c r="L4" s="1"/>
      <c r="M4" s="1"/>
      <c r="N4" s="1"/>
      <c r="O4" s="1"/>
      <c r="P4" s="1"/>
      <c r="Q4" s="1"/>
      <c r="R4" s="1"/>
      <c r="S4" s="1"/>
      <c r="T4" s="1"/>
      <c r="U4" s="1"/>
      <c r="V4" s="1"/>
      <c r="W4" s="1"/>
      <c r="X4" s="1"/>
      <c r="Y4" s="1"/>
      <c r="Z4" s="1"/>
    </row>
    <row r="5" spans="1:26" ht="20" customHeight="1">
      <c r="A5" s="8" t="s">
        <v>68</v>
      </c>
      <c r="B5" s="35">
        <v>0.98499999999999999</v>
      </c>
      <c r="C5" s="8" t="s">
        <v>66</v>
      </c>
      <c r="D5" s="8" t="s">
        <v>69</v>
      </c>
      <c r="E5" s="1"/>
      <c r="F5" s="1"/>
      <c r="G5" s="1"/>
      <c r="H5" s="1"/>
      <c r="I5" s="1"/>
      <c r="J5" s="1"/>
      <c r="K5" s="1"/>
      <c r="L5" s="1"/>
      <c r="M5" s="1"/>
      <c r="N5" s="1"/>
      <c r="O5" s="1"/>
      <c r="P5" s="1"/>
      <c r="Q5" s="1"/>
      <c r="R5" s="1"/>
      <c r="S5" s="1"/>
      <c r="T5" s="1"/>
      <c r="U5" s="1"/>
      <c r="V5" s="1"/>
      <c r="W5" s="1"/>
      <c r="X5" s="1"/>
      <c r="Y5" s="1"/>
      <c r="Z5" s="1"/>
    </row>
    <row r="6" spans="1:26" ht="20" customHeight="1">
      <c r="A6" s="8" t="s">
        <v>70</v>
      </c>
      <c r="B6" s="35">
        <v>0.2</v>
      </c>
      <c r="C6" s="8" t="s">
        <v>66</v>
      </c>
      <c r="D6" s="8" t="s">
        <v>71</v>
      </c>
      <c r="E6" s="1"/>
      <c r="F6" s="1"/>
      <c r="G6" s="1"/>
      <c r="H6" s="1"/>
      <c r="I6" s="1"/>
      <c r="J6" s="1"/>
      <c r="K6" s="1"/>
      <c r="L6" s="1"/>
      <c r="M6" s="1"/>
      <c r="N6" s="1"/>
      <c r="O6" s="1"/>
      <c r="P6" s="1"/>
      <c r="Q6" s="1"/>
      <c r="R6" s="1"/>
      <c r="S6" s="1"/>
      <c r="T6" s="1"/>
      <c r="U6" s="1"/>
      <c r="V6" s="1"/>
      <c r="W6" s="1"/>
      <c r="X6" s="1"/>
      <c r="Y6" s="1"/>
      <c r="Z6" s="1"/>
    </row>
    <row r="7" spans="1:26" ht="20" customHeight="1">
      <c r="A7" s="8" t="s">
        <v>72</v>
      </c>
      <c r="B7" s="35">
        <v>0.25</v>
      </c>
      <c r="C7" s="8" t="s">
        <v>66</v>
      </c>
      <c r="D7" s="8" t="s">
        <v>73</v>
      </c>
      <c r="E7" s="1"/>
      <c r="F7" s="1"/>
      <c r="G7" s="1"/>
      <c r="H7" s="1"/>
      <c r="I7" s="1"/>
      <c r="J7" s="1"/>
      <c r="K7" s="1"/>
      <c r="L7" s="1"/>
      <c r="M7" s="1"/>
      <c r="N7" s="1"/>
      <c r="O7" s="1"/>
      <c r="P7" s="1"/>
      <c r="Q7" s="1"/>
      <c r="R7" s="1"/>
      <c r="S7" s="1"/>
      <c r="T7" s="1"/>
      <c r="U7" s="1"/>
      <c r="V7" s="1"/>
      <c r="W7" s="1"/>
      <c r="X7" s="1"/>
      <c r="Y7" s="1"/>
      <c r="Z7" s="1"/>
    </row>
    <row r="8" spans="1:26" ht="20" customHeight="1">
      <c r="A8" s="8" t="s">
        <v>74</v>
      </c>
      <c r="B8" s="35">
        <v>0.15</v>
      </c>
      <c r="C8" s="8" t="s">
        <v>66</v>
      </c>
      <c r="D8" s="8" t="s">
        <v>75</v>
      </c>
      <c r="E8" s="1"/>
      <c r="F8" s="1"/>
      <c r="G8" s="1"/>
      <c r="H8" s="1"/>
      <c r="I8" s="1"/>
      <c r="J8" s="1"/>
      <c r="K8" s="1"/>
      <c r="L8" s="1"/>
      <c r="M8" s="1"/>
      <c r="N8" s="1"/>
      <c r="O8" s="1"/>
      <c r="P8" s="1"/>
      <c r="Q8" s="1"/>
      <c r="R8" s="1"/>
      <c r="S8" s="1"/>
      <c r="T8" s="1"/>
      <c r="U8" s="1"/>
      <c r="V8" s="1"/>
      <c r="W8" s="1"/>
      <c r="X8" s="1"/>
      <c r="Y8" s="1"/>
      <c r="Z8" s="1"/>
    </row>
    <row r="9" spans="1:26" ht="20" customHeight="1">
      <c r="A9" s="8" t="s">
        <v>76</v>
      </c>
      <c r="B9" s="35">
        <v>0.35</v>
      </c>
      <c r="C9" s="8" t="s">
        <v>66</v>
      </c>
      <c r="D9" s="8" t="s">
        <v>77</v>
      </c>
      <c r="E9" s="1"/>
      <c r="F9" s="1"/>
      <c r="G9" s="1"/>
      <c r="H9" s="1"/>
      <c r="I9" s="1"/>
      <c r="J9" s="1"/>
      <c r="K9" s="1"/>
      <c r="L9" s="1"/>
      <c r="M9" s="1"/>
      <c r="N9" s="1"/>
      <c r="O9" s="1"/>
      <c r="P9" s="1"/>
      <c r="Q9" s="1"/>
      <c r="R9" s="1"/>
      <c r="S9" s="1"/>
      <c r="T9" s="1"/>
      <c r="U9" s="1"/>
      <c r="V9" s="1"/>
      <c r="W9" s="1"/>
      <c r="X9" s="1"/>
      <c r="Y9" s="1"/>
      <c r="Z9" s="1"/>
    </row>
    <row r="10" spans="1:26" ht="20" customHeight="1">
      <c r="A10" s="8" t="s">
        <v>78</v>
      </c>
      <c r="B10" s="35">
        <v>0.9</v>
      </c>
      <c r="C10" s="8" t="s">
        <v>66</v>
      </c>
      <c r="D10" s="8" t="s">
        <v>79</v>
      </c>
      <c r="E10" s="1"/>
      <c r="F10" s="1"/>
      <c r="G10" s="1"/>
      <c r="H10" s="1"/>
      <c r="I10" s="1"/>
      <c r="J10" s="1"/>
      <c r="K10" s="1"/>
      <c r="L10" s="1"/>
      <c r="M10" s="1"/>
      <c r="N10" s="1"/>
      <c r="O10" s="1"/>
      <c r="P10" s="1"/>
      <c r="Q10" s="1"/>
      <c r="R10" s="1"/>
      <c r="S10" s="1"/>
      <c r="T10" s="1"/>
      <c r="U10" s="1"/>
      <c r="V10" s="1"/>
      <c r="W10" s="1"/>
      <c r="X10" s="1"/>
      <c r="Y10" s="1"/>
      <c r="Z10" s="1"/>
    </row>
    <row r="11" spans="1:26" ht="20" customHeight="1">
      <c r="A11" s="8" t="s">
        <v>80</v>
      </c>
      <c r="B11" s="36">
        <v>12</v>
      </c>
      <c r="C11" s="8" t="s">
        <v>81</v>
      </c>
      <c r="D11" s="8" t="s">
        <v>82</v>
      </c>
      <c r="E11" s="1"/>
      <c r="F11" s="1"/>
      <c r="G11" s="1"/>
      <c r="H11" s="1"/>
      <c r="I11" s="1"/>
      <c r="J11" s="1"/>
      <c r="K11" s="1"/>
      <c r="L11" s="1"/>
      <c r="M11" s="1"/>
      <c r="N11" s="1"/>
      <c r="O11" s="1"/>
      <c r="P11" s="1"/>
      <c r="Q11" s="1"/>
      <c r="R11" s="1"/>
      <c r="S11" s="1"/>
      <c r="T11" s="1"/>
      <c r="U11" s="1"/>
      <c r="V11" s="1"/>
      <c r="W11" s="1"/>
      <c r="X11" s="1"/>
      <c r="Y11" s="1"/>
      <c r="Z11" s="1"/>
    </row>
    <row r="12" spans="1:26" ht="20" customHeight="1">
      <c r="A12" s="8" t="s">
        <v>83</v>
      </c>
      <c r="B12" s="35">
        <v>0.3</v>
      </c>
      <c r="C12" s="8" t="s">
        <v>66</v>
      </c>
      <c r="D12" s="8" t="s">
        <v>84</v>
      </c>
      <c r="E12" s="1"/>
      <c r="F12" s="1"/>
      <c r="G12" s="1"/>
      <c r="H12" s="1"/>
      <c r="I12" s="1"/>
      <c r="J12" s="1"/>
      <c r="K12" s="1"/>
      <c r="L12" s="1"/>
      <c r="M12" s="1"/>
      <c r="N12" s="1"/>
      <c r="O12" s="1"/>
      <c r="P12" s="1"/>
      <c r="Q12" s="1"/>
      <c r="R12" s="1"/>
      <c r="S12" s="1"/>
      <c r="T12" s="1"/>
      <c r="U12" s="1"/>
      <c r="V12" s="1"/>
      <c r="W12" s="1"/>
      <c r="X12" s="1"/>
      <c r="Y12" s="1"/>
      <c r="Z12" s="1"/>
    </row>
    <row r="13" spans="1:26" ht="20" customHeight="1">
      <c r="A13" s="8" t="s">
        <v>85</v>
      </c>
      <c r="B13" s="35">
        <v>0.12</v>
      </c>
      <c r="C13" s="8" t="s">
        <v>66</v>
      </c>
      <c r="D13" s="8" t="s">
        <v>86</v>
      </c>
      <c r="E13" s="1"/>
      <c r="F13" s="1"/>
      <c r="G13" s="1"/>
      <c r="H13" s="1"/>
      <c r="I13" s="1"/>
      <c r="J13" s="1"/>
      <c r="K13" s="1"/>
      <c r="L13" s="1"/>
      <c r="M13" s="1"/>
      <c r="N13" s="1"/>
      <c r="O13" s="1"/>
      <c r="P13" s="1"/>
      <c r="Q13" s="1"/>
      <c r="R13" s="1"/>
      <c r="S13" s="1"/>
      <c r="T13" s="1"/>
      <c r="U13" s="1"/>
      <c r="V13" s="1"/>
      <c r="W13" s="1"/>
      <c r="X13" s="1"/>
      <c r="Y13" s="1"/>
      <c r="Z13" s="1"/>
    </row>
    <row r="14" spans="1:26" ht="20"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2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2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20"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20"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20"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2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20"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20"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20"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20"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20"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20"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20"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20"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20"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20"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20"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20"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20"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20"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0"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0"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0"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0"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0"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0"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0"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0"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0"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0"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0"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0"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0"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0"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0"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0"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0"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0"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0"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0"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0"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0"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0"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0"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0"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0"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0"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0"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0"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0"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0"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0"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0"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0"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0"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00"/>
  <sheetViews>
    <sheetView workbookViewId="0">
      <selection activeCell="A4" sqref="A4"/>
    </sheetView>
  </sheetViews>
  <sheetFormatPr baseColWidth="10" defaultColWidth="8.83203125" defaultRowHeight="14"/>
  <cols>
    <col min="1" max="1" width="11" customWidth="1"/>
    <col min="2" max="2" width="10" customWidth="1"/>
    <col min="3" max="3" width="22" customWidth="1"/>
    <col min="4" max="4" width="14" customWidth="1"/>
    <col min="5" max="5" width="12" customWidth="1"/>
    <col min="6" max="6" width="18" customWidth="1"/>
    <col min="7" max="7" width="10" customWidth="1"/>
    <col min="8" max="9" width="12" customWidth="1"/>
    <col min="10" max="11" width="14" customWidth="1"/>
    <col min="12" max="12" width="10" customWidth="1"/>
    <col min="13" max="13" width="15" customWidth="1"/>
    <col min="14" max="14" width="13" customWidth="1"/>
    <col min="15" max="15" width="14" customWidth="1"/>
    <col min="16" max="16" width="17" customWidth="1"/>
    <col min="17" max="17" width="16" customWidth="1"/>
    <col min="18" max="18" width="12" customWidth="1"/>
    <col min="19" max="22" width="13" customWidth="1"/>
    <col min="23" max="23" width="14" customWidth="1"/>
    <col min="24" max="24" width="13" customWidth="1"/>
    <col min="25" max="25" width="28" customWidth="1"/>
  </cols>
  <sheetData>
    <row r="1" spans="1:26" ht="38.25" customHeight="1">
      <c r="A1" s="2" t="s">
        <v>87</v>
      </c>
      <c r="B1" s="1"/>
      <c r="C1" s="1"/>
      <c r="D1" s="1"/>
      <c r="E1" s="1"/>
      <c r="F1" s="1"/>
      <c r="G1" s="1"/>
      <c r="H1" s="1"/>
      <c r="I1" s="1"/>
      <c r="J1" s="1"/>
      <c r="K1" s="1"/>
      <c r="L1" s="1"/>
      <c r="M1" s="1"/>
      <c r="N1" s="1"/>
      <c r="O1" s="1"/>
      <c r="P1" s="1"/>
      <c r="Q1" s="1"/>
      <c r="R1" s="1"/>
      <c r="S1" s="1"/>
      <c r="T1" s="1"/>
      <c r="U1" s="1"/>
      <c r="V1" s="1"/>
      <c r="W1" s="1"/>
      <c r="X1" s="1"/>
      <c r="Y1" s="1"/>
      <c r="Z1" s="1"/>
    </row>
    <row r="2" spans="1:26" ht="20" customHeight="1">
      <c r="A2" s="1"/>
      <c r="B2" s="1"/>
      <c r="C2" s="1"/>
      <c r="D2" s="1"/>
      <c r="E2" s="1"/>
      <c r="F2" s="1"/>
      <c r="G2" s="1"/>
      <c r="H2" s="1"/>
      <c r="I2" s="1"/>
      <c r="J2" s="1"/>
      <c r="K2" s="1"/>
      <c r="L2" s="1"/>
      <c r="M2" s="1"/>
      <c r="N2" s="1"/>
      <c r="O2" s="1"/>
      <c r="P2" s="1"/>
      <c r="Q2" s="1"/>
      <c r="R2" s="1"/>
      <c r="S2" s="1"/>
      <c r="T2" s="1"/>
      <c r="U2" s="1"/>
      <c r="V2" s="1"/>
      <c r="W2" s="1"/>
      <c r="X2" s="1"/>
      <c r="Y2" s="1"/>
      <c r="Z2" s="1"/>
    </row>
    <row r="3" spans="1:26" ht="20" customHeight="1">
      <c r="A3" s="20" t="s">
        <v>88</v>
      </c>
      <c r="B3" s="20" t="s">
        <v>89</v>
      </c>
      <c r="C3" s="20" t="s">
        <v>14</v>
      </c>
      <c r="D3" s="20" t="s">
        <v>15</v>
      </c>
      <c r="E3" s="20" t="s">
        <v>90</v>
      </c>
      <c r="F3" s="20" t="s">
        <v>91</v>
      </c>
      <c r="G3" s="20" t="s">
        <v>92</v>
      </c>
      <c r="H3" s="20" t="s">
        <v>93</v>
      </c>
      <c r="I3" s="20" t="s">
        <v>94</v>
      </c>
      <c r="J3" s="20" t="s">
        <v>95</v>
      </c>
      <c r="K3" s="20" t="s">
        <v>96</v>
      </c>
      <c r="L3" s="20" t="s">
        <v>97</v>
      </c>
      <c r="M3" s="20" t="s">
        <v>98</v>
      </c>
      <c r="N3" s="20" t="s">
        <v>99</v>
      </c>
      <c r="O3" s="20" t="s">
        <v>100</v>
      </c>
      <c r="P3" s="20" t="s">
        <v>101</v>
      </c>
      <c r="Q3" s="20" t="s">
        <v>102</v>
      </c>
      <c r="R3" s="20" t="s">
        <v>103</v>
      </c>
      <c r="S3" s="20" t="s">
        <v>104</v>
      </c>
      <c r="T3" s="20" t="s">
        <v>105</v>
      </c>
      <c r="U3" s="20" t="s">
        <v>106</v>
      </c>
      <c r="V3" s="20" t="s">
        <v>107</v>
      </c>
      <c r="W3" s="20" t="s">
        <v>108</v>
      </c>
      <c r="X3" s="20" t="s">
        <v>109</v>
      </c>
      <c r="Y3" s="20" t="s">
        <v>110</v>
      </c>
      <c r="Z3" s="1"/>
    </row>
    <row r="4" spans="1:26" ht="20" customHeight="1">
      <c r="A4" s="15" t="s">
        <v>111</v>
      </c>
      <c r="B4" s="16">
        <v>45937</v>
      </c>
      <c r="C4" s="15" t="s">
        <v>112</v>
      </c>
      <c r="D4" s="15" t="s">
        <v>113</v>
      </c>
      <c r="E4" s="15" t="s">
        <v>114</v>
      </c>
      <c r="F4" s="15" t="s">
        <v>115</v>
      </c>
      <c r="G4" s="17">
        <v>8</v>
      </c>
      <c r="H4" s="18">
        <v>160</v>
      </c>
      <c r="I4" s="18">
        <v>84</v>
      </c>
      <c r="J4" s="19">
        <v>0.10860792906600324</v>
      </c>
      <c r="K4" s="19">
        <v>1.6288261166982541E-2</v>
      </c>
      <c r="L4" s="19">
        <v>3.0354541367230932E-2</v>
      </c>
      <c r="M4" s="18">
        <v>152.17200751837484</v>
      </c>
      <c r="N4" s="13">
        <f t="shared" ref="N4:N35" si="0">H4*(1-J4)*(1-K4)</f>
        <v>140.2996550528714</v>
      </c>
      <c r="O4" s="13">
        <f t="shared" ref="O4:O35" si="1">G4*H4</f>
        <v>1280</v>
      </c>
      <c r="P4" s="13">
        <f t="shared" ref="P4:P35" si="2">O4*J4</f>
        <v>139.01814920448413</v>
      </c>
      <c r="Q4" s="13">
        <f t="shared" ref="Q4:Q35" si="3">(O4-P4)*K4</f>
        <v>18.584610372544468</v>
      </c>
      <c r="R4" s="13">
        <f t="shared" ref="R4:R35" si="4">O4*L4</f>
        <v>38.853812950055591</v>
      </c>
      <c r="S4" s="13">
        <f t="shared" ref="S4:S35" si="5">G4*N4-R4-M4</f>
        <v>931.3714199545409</v>
      </c>
      <c r="T4" s="13">
        <f t="shared" ref="T4:T35" si="6">G4*I4</f>
        <v>672</v>
      </c>
      <c r="U4" s="13">
        <f t="shared" ref="U4:U35" si="7">S4-T4</f>
        <v>259.3714199545409</v>
      </c>
      <c r="V4" s="14">
        <f t="shared" ref="V4:V35" si="8">IFERROR(U4/S4,0)</f>
        <v>0.27848333586100432</v>
      </c>
      <c r="W4" s="13">
        <f t="shared" ref="W4:W35" si="9">P4+Q4+R4+M4</f>
        <v>348.62858004545899</v>
      </c>
      <c r="X4" s="14">
        <f t="shared" ref="X4:X35" si="10">IFERROR(W4/O4,0)</f>
        <v>0.27236607816051484</v>
      </c>
      <c r="Y4" s="12" t="str">
        <f>IF(AND(V4&lt;Inputs!$B$12,X4&gt;Inputs!$B$13),"Priority: margin + leakage",IF(V4&lt;Inputs!$B$12,"Margin review",IF(X4&gt;Inputs!$B$13,"Leakage review","Monitor")))</f>
        <v>Priority: margin + leakage</v>
      </c>
      <c r="Z4" s="1"/>
    </row>
    <row r="5" spans="1:26" ht="20" customHeight="1">
      <c r="A5" s="15" t="s">
        <v>116</v>
      </c>
      <c r="B5" s="16">
        <v>45759</v>
      </c>
      <c r="C5" s="15" t="s">
        <v>117</v>
      </c>
      <c r="D5" s="15" t="s">
        <v>113</v>
      </c>
      <c r="E5" s="15" t="s">
        <v>118</v>
      </c>
      <c r="F5" s="15" t="s">
        <v>119</v>
      </c>
      <c r="G5" s="17">
        <v>9</v>
      </c>
      <c r="H5" s="18">
        <v>420</v>
      </c>
      <c r="I5" s="18">
        <v>180</v>
      </c>
      <c r="J5" s="19">
        <v>0.13415605497076105</v>
      </c>
      <c r="K5" s="19">
        <v>3.8268660194157103E-2</v>
      </c>
      <c r="L5" s="19">
        <v>2.082772850491562E-2</v>
      </c>
      <c r="M5" s="18">
        <v>119.29778642590425</v>
      </c>
      <c r="N5" s="13">
        <f t="shared" si="0"/>
        <v>349.7378880726136</v>
      </c>
      <c r="O5" s="13">
        <f t="shared" si="1"/>
        <v>3780</v>
      </c>
      <c r="P5" s="13">
        <f t="shared" si="2"/>
        <v>507.10988778947677</v>
      </c>
      <c r="Q5" s="13">
        <f t="shared" si="3"/>
        <v>125.24911955700122</v>
      </c>
      <c r="R5" s="13">
        <f t="shared" si="4"/>
        <v>78.728813748581047</v>
      </c>
      <c r="S5" s="13">
        <f t="shared" si="5"/>
        <v>2949.6143924790372</v>
      </c>
      <c r="T5" s="13">
        <f t="shared" si="6"/>
        <v>1620</v>
      </c>
      <c r="U5" s="13">
        <f t="shared" si="7"/>
        <v>1329.6143924790372</v>
      </c>
      <c r="V5" s="14">
        <f t="shared" si="8"/>
        <v>0.45077566609021985</v>
      </c>
      <c r="W5" s="13">
        <f t="shared" si="9"/>
        <v>830.38560752096328</v>
      </c>
      <c r="X5" s="14">
        <f t="shared" si="10"/>
        <v>0.21967873214840297</v>
      </c>
      <c r="Y5" s="12" t="str">
        <f>IF(AND(V5&lt;Inputs!$B$12,X5&gt;Inputs!$B$13),"Priority: margin + leakage",IF(V5&lt;Inputs!$B$12,"Margin review",IF(X5&gt;Inputs!$B$13,"Leakage review","Monitor")))</f>
        <v>Leakage review</v>
      </c>
      <c r="Z5" s="1"/>
    </row>
    <row r="6" spans="1:26" ht="20" customHeight="1">
      <c r="A6" s="15" t="s">
        <v>120</v>
      </c>
      <c r="B6" s="16">
        <v>45739</v>
      </c>
      <c r="C6" s="15" t="s">
        <v>121</v>
      </c>
      <c r="D6" s="15" t="s">
        <v>122</v>
      </c>
      <c r="E6" s="15" t="s">
        <v>118</v>
      </c>
      <c r="F6" s="15" t="s">
        <v>119</v>
      </c>
      <c r="G6" s="17">
        <v>33</v>
      </c>
      <c r="H6" s="18">
        <v>420</v>
      </c>
      <c r="I6" s="18">
        <v>180</v>
      </c>
      <c r="J6" s="19">
        <v>1.8165891915659139E-2</v>
      </c>
      <c r="K6" s="19">
        <v>4.1333290409959395E-2</v>
      </c>
      <c r="L6" s="19">
        <v>4.5683443442345262E-2</v>
      </c>
      <c r="M6" s="18">
        <v>8.8970712003770558</v>
      </c>
      <c r="N6" s="13">
        <f t="shared" si="0"/>
        <v>395.32570297940475</v>
      </c>
      <c r="O6" s="13">
        <f t="shared" si="1"/>
        <v>13860</v>
      </c>
      <c r="P6" s="13">
        <f t="shared" si="2"/>
        <v>251.77926195103566</v>
      </c>
      <c r="Q6" s="13">
        <f t="shared" si="3"/>
        <v>562.47253972860983</v>
      </c>
      <c r="R6" s="13">
        <f t="shared" si="4"/>
        <v>633.17252611090532</v>
      </c>
      <c r="S6" s="13">
        <f t="shared" si="5"/>
        <v>12403.678601009073</v>
      </c>
      <c r="T6" s="13">
        <f t="shared" si="6"/>
        <v>5940</v>
      </c>
      <c r="U6" s="13">
        <f t="shared" si="7"/>
        <v>6463.6786010090727</v>
      </c>
      <c r="V6" s="14">
        <f t="shared" si="8"/>
        <v>0.52110981015609636</v>
      </c>
      <c r="W6" s="13">
        <f t="shared" si="9"/>
        <v>1456.3213989909277</v>
      </c>
      <c r="X6" s="14">
        <f t="shared" si="10"/>
        <v>0.10507369401088945</v>
      </c>
      <c r="Y6" s="12" t="str">
        <f>IF(AND(V6&lt;Inputs!$B$12,X6&gt;Inputs!$B$13),"Priority: margin + leakage",IF(V6&lt;Inputs!$B$12,"Margin review",IF(X6&gt;Inputs!$B$13,"Leakage review","Monitor")))</f>
        <v>Monitor</v>
      </c>
      <c r="Z6" s="1"/>
    </row>
    <row r="7" spans="1:26" ht="20" customHeight="1">
      <c r="A7" s="15" t="s">
        <v>123</v>
      </c>
      <c r="B7" s="16">
        <v>45852</v>
      </c>
      <c r="C7" s="15" t="s">
        <v>121</v>
      </c>
      <c r="D7" s="15" t="s">
        <v>122</v>
      </c>
      <c r="E7" s="15" t="s">
        <v>118</v>
      </c>
      <c r="F7" s="15" t="s">
        <v>119</v>
      </c>
      <c r="G7" s="17">
        <v>48</v>
      </c>
      <c r="H7" s="18">
        <v>420</v>
      </c>
      <c r="I7" s="18">
        <v>180</v>
      </c>
      <c r="J7" s="19">
        <v>4.0753521360171054E-2</v>
      </c>
      <c r="K7" s="19">
        <v>5.214318745796858E-2</v>
      </c>
      <c r="L7" s="19">
        <v>2.5707848348889731E-2</v>
      </c>
      <c r="M7" s="18">
        <v>78.356896942668726</v>
      </c>
      <c r="N7" s="13">
        <f t="shared" si="0"/>
        <v>381.87589006800073</v>
      </c>
      <c r="O7" s="13">
        <f t="shared" si="1"/>
        <v>20160</v>
      </c>
      <c r="P7" s="13">
        <f t="shared" si="2"/>
        <v>821.59099062104849</v>
      </c>
      <c r="Q7" s="13">
        <f t="shared" si="3"/>
        <v>1008.3662861149152</v>
      </c>
      <c r="R7" s="13">
        <f t="shared" si="4"/>
        <v>518.27022271361693</v>
      </c>
      <c r="S7" s="13">
        <f t="shared" si="5"/>
        <v>17733.415603607751</v>
      </c>
      <c r="T7" s="13">
        <f t="shared" si="6"/>
        <v>8640</v>
      </c>
      <c r="U7" s="13">
        <f t="shared" si="7"/>
        <v>9093.4156036077511</v>
      </c>
      <c r="V7" s="14">
        <f t="shared" si="8"/>
        <v>0.51278421522798767</v>
      </c>
      <c r="W7" s="13">
        <f t="shared" si="9"/>
        <v>2426.5843963922493</v>
      </c>
      <c r="X7" s="14">
        <f t="shared" si="10"/>
        <v>0.1203662895035838</v>
      </c>
      <c r="Y7" s="12" t="str">
        <f>IF(AND(V7&lt;Inputs!$B$12,X7&gt;Inputs!$B$13),"Priority: margin + leakage",IF(V7&lt;Inputs!$B$12,"Margin review",IF(X7&gt;Inputs!$B$13,"Leakage review","Monitor")))</f>
        <v>Leakage review</v>
      </c>
      <c r="Z7" s="1"/>
    </row>
    <row r="8" spans="1:26" ht="20" customHeight="1">
      <c r="A8" s="15" t="s">
        <v>124</v>
      </c>
      <c r="B8" s="16">
        <v>45721</v>
      </c>
      <c r="C8" s="15" t="s">
        <v>117</v>
      </c>
      <c r="D8" s="15" t="s">
        <v>113</v>
      </c>
      <c r="E8" s="15" t="s">
        <v>125</v>
      </c>
      <c r="F8" s="15" t="s">
        <v>126</v>
      </c>
      <c r="G8" s="17">
        <v>113</v>
      </c>
      <c r="H8" s="18">
        <v>260</v>
      </c>
      <c r="I8" s="18">
        <v>165</v>
      </c>
      <c r="J8" s="19">
        <v>9.4728032569922335E-2</v>
      </c>
      <c r="K8" s="19">
        <v>5.1280201641028811E-2</v>
      </c>
      <c r="L8" s="19">
        <v>4.422552733963242E-2</v>
      </c>
      <c r="M8" s="18">
        <v>56.962480381971638</v>
      </c>
      <c r="N8" s="13">
        <f t="shared" si="0"/>
        <v>223.30085398407601</v>
      </c>
      <c r="O8" s="13">
        <f t="shared" si="1"/>
        <v>29380</v>
      </c>
      <c r="P8" s="13">
        <f t="shared" si="2"/>
        <v>2783.1095969043181</v>
      </c>
      <c r="Q8" s="13">
        <f t="shared" si="3"/>
        <v>1363.8939028950906</v>
      </c>
      <c r="R8" s="13">
        <f t="shared" si="4"/>
        <v>1299.3459932384005</v>
      </c>
      <c r="S8" s="13">
        <f t="shared" si="5"/>
        <v>23876.688026580217</v>
      </c>
      <c r="T8" s="13">
        <f t="shared" si="6"/>
        <v>18645</v>
      </c>
      <c r="U8" s="13">
        <f t="shared" si="7"/>
        <v>5231.6880265802174</v>
      </c>
      <c r="V8" s="14">
        <f t="shared" si="8"/>
        <v>0.21911280244379586</v>
      </c>
      <c r="W8" s="13">
        <f t="shared" si="9"/>
        <v>5503.3119734197808</v>
      </c>
      <c r="X8" s="14">
        <f t="shared" si="10"/>
        <v>0.18731490719604427</v>
      </c>
      <c r="Y8" s="12" t="str">
        <f>IF(AND(V8&lt;Inputs!$B$12,X8&gt;Inputs!$B$13),"Priority: margin + leakage",IF(V8&lt;Inputs!$B$12,"Margin review",IF(X8&gt;Inputs!$B$13,"Leakage review","Monitor")))</f>
        <v>Priority: margin + leakage</v>
      </c>
      <c r="Z8" s="1"/>
    </row>
    <row r="9" spans="1:26" ht="20" customHeight="1">
      <c r="A9" s="15" t="s">
        <v>127</v>
      </c>
      <c r="B9" s="16">
        <v>45756</v>
      </c>
      <c r="C9" s="15" t="s">
        <v>128</v>
      </c>
      <c r="D9" s="15" t="s">
        <v>129</v>
      </c>
      <c r="E9" s="15" t="s">
        <v>114</v>
      </c>
      <c r="F9" s="15" t="s">
        <v>115</v>
      </c>
      <c r="G9" s="17">
        <v>75</v>
      </c>
      <c r="H9" s="18">
        <v>160</v>
      </c>
      <c r="I9" s="18">
        <v>84</v>
      </c>
      <c r="J9" s="19">
        <v>6.1798203890334392E-2</v>
      </c>
      <c r="K9" s="19">
        <v>6.8901420948688105E-2</v>
      </c>
      <c r="L9" s="19">
        <v>3.7824634486854365E-2</v>
      </c>
      <c r="M9" s="18">
        <v>63.790486789435171</v>
      </c>
      <c r="N9" s="13">
        <f t="shared" si="0"/>
        <v>139.76933747537572</v>
      </c>
      <c r="O9" s="13">
        <f t="shared" si="1"/>
        <v>12000</v>
      </c>
      <c r="P9" s="13">
        <f t="shared" si="2"/>
        <v>741.57844668401276</v>
      </c>
      <c r="Q9" s="13">
        <f t="shared" si="3"/>
        <v>775.72124266280787</v>
      </c>
      <c r="R9" s="13">
        <f t="shared" si="4"/>
        <v>453.89561384225237</v>
      </c>
      <c r="S9" s="13">
        <f t="shared" si="5"/>
        <v>9965.0142100214907</v>
      </c>
      <c r="T9" s="13">
        <f t="shared" si="6"/>
        <v>6300</v>
      </c>
      <c r="U9" s="13">
        <f t="shared" si="7"/>
        <v>3665.0142100214907</v>
      </c>
      <c r="V9" s="14">
        <f t="shared" si="8"/>
        <v>0.36778815692362038</v>
      </c>
      <c r="W9" s="13">
        <f t="shared" si="9"/>
        <v>2034.9857899785081</v>
      </c>
      <c r="X9" s="14">
        <f t="shared" si="10"/>
        <v>0.16958214916487568</v>
      </c>
      <c r="Y9" s="12" t="str">
        <f>IF(AND(V9&lt;Inputs!$B$12,X9&gt;Inputs!$B$13),"Priority: margin + leakage",IF(V9&lt;Inputs!$B$12,"Margin review",IF(X9&gt;Inputs!$B$13,"Leakage review","Monitor")))</f>
        <v>Leakage review</v>
      </c>
      <c r="Z9" s="1"/>
    </row>
    <row r="10" spans="1:26" ht="20" customHeight="1">
      <c r="A10" s="15" t="s">
        <v>130</v>
      </c>
      <c r="B10" s="16">
        <v>45709</v>
      </c>
      <c r="C10" s="15" t="s">
        <v>121</v>
      </c>
      <c r="D10" s="15" t="s">
        <v>122</v>
      </c>
      <c r="E10" s="15" t="s">
        <v>114</v>
      </c>
      <c r="F10" s="15" t="s">
        <v>115</v>
      </c>
      <c r="G10" s="17">
        <v>10</v>
      </c>
      <c r="H10" s="18">
        <v>160</v>
      </c>
      <c r="I10" s="18">
        <v>84</v>
      </c>
      <c r="J10" s="19">
        <v>1.3105667725294402E-2</v>
      </c>
      <c r="K10" s="19">
        <v>0</v>
      </c>
      <c r="L10" s="19">
        <v>6.0241355616926034E-2</v>
      </c>
      <c r="M10" s="18">
        <v>103.5909688579884</v>
      </c>
      <c r="N10" s="13">
        <f t="shared" si="0"/>
        <v>157.90309316395289</v>
      </c>
      <c r="O10" s="13">
        <f t="shared" si="1"/>
        <v>1600</v>
      </c>
      <c r="P10" s="13">
        <f t="shared" si="2"/>
        <v>20.969068360471045</v>
      </c>
      <c r="Q10" s="13">
        <f t="shared" si="3"/>
        <v>0</v>
      </c>
      <c r="R10" s="13">
        <f t="shared" si="4"/>
        <v>96.38616898708166</v>
      </c>
      <c r="S10" s="13">
        <f t="shared" si="5"/>
        <v>1379.0537937944589</v>
      </c>
      <c r="T10" s="13">
        <f t="shared" si="6"/>
        <v>840</v>
      </c>
      <c r="U10" s="13">
        <f t="shared" si="7"/>
        <v>539.0537937944589</v>
      </c>
      <c r="V10" s="14">
        <f t="shared" si="8"/>
        <v>0.39088670523232844</v>
      </c>
      <c r="W10" s="13">
        <f t="shared" si="9"/>
        <v>220.9462062055411</v>
      </c>
      <c r="X10" s="14">
        <f t="shared" si="10"/>
        <v>0.13809137887846318</v>
      </c>
      <c r="Y10" s="12" t="str">
        <f>IF(AND(V10&lt;Inputs!$B$12,X10&gt;Inputs!$B$13),"Priority: margin + leakage",IF(V10&lt;Inputs!$B$12,"Margin review",IF(X10&gt;Inputs!$B$13,"Leakage review","Monitor")))</f>
        <v>Leakage review</v>
      </c>
      <c r="Z10" s="1"/>
    </row>
    <row r="11" spans="1:26" ht="20" customHeight="1">
      <c r="A11" s="15" t="s">
        <v>131</v>
      </c>
      <c r="B11" s="16">
        <v>45794</v>
      </c>
      <c r="C11" s="15" t="s">
        <v>128</v>
      </c>
      <c r="D11" s="15" t="s">
        <v>129</v>
      </c>
      <c r="E11" s="15" t="s">
        <v>132</v>
      </c>
      <c r="F11" s="15" t="s">
        <v>126</v>
      </c>
      <c r="G11" s="17">
        <v>63</v>
      </c>
      <c r="H11" s="18">
        <v>125</v>
      </c>
      <c r="I11" s="18">
        <v>78</v>
      </c>
      <c r="J11" s="19">
        <v>5.3055508717314001E-2</v>
      </c>
      <c r="K11" s="19">
        <v>1.7065722654585565E-2</v>
      </c>
      <c r="L11" s="19">
        <v>1.6540571065551752E-2</v>
      </c>
      <c r="M11" s="18">
        <v>64.973056019071265</v>
      </c>
      <c r="N11" s="13">
        <f t="shared" si="0"/>
        <v>116.348024903146</v>
      </c>
      <c r="O11" s="13">
        <f t="shared" si="1"/>
        <v>7875</v>
      </c>
      <c r="P11" s="13">
        <f t="shared" si="2"/>
        <v>417.81213114884775</v>
      </c>
      <c r="Q11" s="13">
        <f t="shared" si="3"/>
        <v>127.26229995295375</v>
      </c>
      <c r="R11" s="13">
        <f t="shared" si="4"/>
        <v>130.25699714122004</v>
      </c>
      <c r="S11" s="13">
        <f t="shared" si="5"/>
        <v>7134.6955157379061</v>
      </c>
      <c r="T11" s="13">
        <f t="shared" si="6"/>
        <v>4914</v>
      </c>
      <c r="U11" s="13">
        <f t="shared" si="7"/>
        <v>2220.6955157379061</v>
      </c>
      <c r="V11" s="14">
        <f t="shared" si="8"/>
        <v>0.31125301855411142</v>
      </c>
      <c r="W11" s="13">
        <f t="shared" si="9"/>
        <v>740.30448426209284</v>
      </c>
      <c r="X11" s="14">
        <f t="shared" si="10"/>
        <v>9.400691863645623E-2</v>
      </c>
      <c r="Y11" s="12" t="str">
        <f>IF(AND(V11&lt;Inputs!$B$12,X11&gt;Inputs!$B$13),"Priority: margin + leakage",IF(V11&lt;Inputs!$B$12,"Margin review",IF(X11&gt;Inputs!$B$13,"Leakage review","Monitor")))</f>
        <v>Monitor</v>
      </c>
      <c r="Z11" s="1"/>
    </row>
    <row r="12" spans="1:26" ht="20" customHeight="1">
      <c r="A12" s="15" t="s">
        <v>133</v>
      </c>
      <c r="B12" s="16">
        <v>45796</v>
      </c>
      <c r="C12" s="15" t="s">
        <v>121</v>
      </c>
      <c r="D12" s="15" t="s">
        <v>122</v>
      </c>
      <c r="E12" s="15" t="s">
        <v>114</v>
      </c>
      <c r="F12" s="15" t="s">
        <v>115</v>
      </c>
      <c r="G12" s="17">
        <v>82</v>
      </c>
      <c r="H12" s="18">
        <v>160</v>
      </c>
      <c r="I12" s="18">
        <v>84</v>
      </c>
      <c r="J12" s="19">
        <v>1.6386812861864591E-2</v>
      </c>
      <c r="K12" s="19">
        <v>1.1824024280556032E-2</v>
      </c>
      <c r="L12" s="19">
        <v>2.5653596066183202E-2</v>
      </c>
      <c r="M12" s="18">
        <v>220.19722760809901</v>
      </c>
      <c r="N12" s="13">
        <f t="shared" si="0"/>
        <v>155.51726734891824</v>
      </c>
      <c r="O12" s="13">
        <f t="shared" si="1"/>
        <v>13120</v>
      </c>
      <c r="P12" s="13">
        <f t="shared" si="2"/>
        <v>214.99498474766344</v>
      </c>
      <c r="Q12" s="13">
        <f t="shared" si="3"/>
        <v>152.58909264104099</v>
      </c>
      <c r="R12" s="13">
        <f t="shared" si="4"/>
        <v>336.57518038832359</v>
      </c>
      <c r="S12" s="13">
        <f t="shared" si="5"/>
        <v>12195.643514614872</v>
      </c>
      <c r="T12" s="13">
        <f t="shared" si="6"/>
        <v>6888</v>
      </c>
      <c r="U12" s="13">
        <f t="shared" si="7"/>
        <v>5307.6435146148724</v>
      </c>
      <c r="V12" s="14">
        <f t="shared" si="8"/>
        <v>0.43520815512968714</v>
      </c>
      <c r="W12" s="13">
        <f t="shared" si="9"/>
        <v>924.35648538512692</v>
      </c>
      <c r="X12" s="14">
        <f t="shared" si="10"/>
        <v>7.0454000410451745E-2</v>
      </c>
      <c r="Y12" s="12" t="str">
        <f>IF(AND(V12&lt;Inputs!$B$12,X12&gt;Inputs!$B$13),"Priority: margin + leakage",IF(V12&lt;Inputs!$B$12,"Margin review",IF(X12&gt;Inputs!$B$13,"Leakage review","Monitor")))</f>
        <v>Monitor</v>
      </c>
      <c r="Z12" s="1"/>
    </row>
    <row r="13" spans="1:26" ht="20" customHeight="1">
      <c r="A13" s="15" t="s">
        <v>134</v>
      </c>
      <c r="B13" s="16">
        <v>45819</v>
      </c>
      <c r="C13" s="15" t="s">
        <v>112</v>
      </c>
      <c r="D13" s="15" t="s">
        <v>113</v>
      </c>
      <c r="E13" s="15" t="s">
        <v>135</v>
      </c>
      <c r="F13" s="15" t="s">
        <v>136</v>
      </c>
      <c r="G13" s="17">
        <v>92</v>
      </c>
      <c r="H13" s="18">
        <v>310</v>
      </c>
      <c r="I13" s="18">
        <v>142</v>
      </c>
      <c r="J13" s="19">
        <v>8.3066320850625375E-2</v>
      </c>
      <c r="K13" s="19">
        <v>7.3181792112420041E-2</v>
      </c>
      <c r="L13" s="19">
        <v>5.6388420102515741E-2</v>
      </c>
      <c r="M13" s="18">
        <v>177.54965580377282</v>
      </c>
      <c r="N13" s="13">
        <f t="shared" si="0"/>
        <v>263.44755707090644</v>
      </c>
      <c r="O13" s="13">
        <f t="shared" si="1"/>
        <v>28520</v>
      </c>
      <c r="P13" s="13">
        <f t="shared" si="2"/>
        <v>2369.0514706598356</v>
      </c>
      <c r="Q13" s="13">
        <f t="shared" si="3"/>
        <v>1913.7732788167684</v>
      </c>
      <c r="R13" s="13">
        <f t="shared" si="4"/>
        <v>1608.1977413237489</v>
      </c>
      <c r="S13" s="13">
        <f t="shared" si="5"/>
        <v>22451.427853395871</v>
      </c>
      <c r="T13" s="13">
        <f t="shared" si="6"/>
        <v>13064</v>
      </c>
      <c r="U13" s="13">
        <f t="shared" si="7"/>
        <v>9387.4278533958714</v>
      </c>
      <c r="V13" s="14">
        <f t="shared" si="8"/>
        <v>0.41812164084592884</v>
      </c>
      <c r="W13" s="13">
        <f t="shared" si="9"/>
        <v>6068.5721466041259</v>
      </c>
      <c r="X13" s="14">
        <f t="shared" si="10"/>
        <v>0.21278303459341255</v>
      </c>
      <c r="Y13" s="12" t="str">
        <f>IF(AND(V13&lt;Inputs!$B$12,X13&gt;Inputs!$B$13),"Priority: margin + leakage",IF(V13&lt;Inputs!$B$12,"Margin review",IF(X13&gt;Inputs!$B$13,"Leakage review","Monitor")))</f>
        <v>Leakage review</v>
      </c>
      <c r="Z13" s="1"/>
    </row>
    <row r="14" spans="1:26" ht="20" customHeight="1">
      <c r="A14" s="15" t="s">
        <v>137</v>
      </c>
      <c r="B14" s="16">
        <v>45993</v>
      </c>
      <c r="C14" s="15" t="s">
        <v>128</v>
      </c>
      <c r="D14" s="15" t="s">
        <v>129</v>
      </c>
      <c r="E14" s="15" t="s">
        <v>132</v>
      </c>
      <c r="F14" s="15" t="s">
        <v>126</v>
      </c>
      <c r="G14" s="17">
        <v>13</v>
      </c>
      <c r="H14" s="18">
        <v>125</v>
      </c>
      <c r="I14" s="18">
        <v>78</v>
      </c>
      <c r="J14" s="19">
        <v>9.5327290953429816E-2</v>
      </c>
      <c r="K14" s="19">
        <v>9.303521292251829E-2</v>
      </c>
      <c r="L14" s="19">
        <v>3.6159419819916438E-2</v>
      </c>
      <c r="M14" s="18">
        <v>20.623861654277515</v>
      </c>
      <c r="N14" s="13">
        <f t="shared" si="0"/>
        <v>102.56328636690388</v>
      </c>
      <c r="O14" s="13">
        <f t="shared" si="1"/>
        <v>1625</v>
      </c>
      <c r="P14" s="13">
        <f t="shared" si="2"/>
        <v>154.90684779932346</v>
      </c>
      <c r="Q14" s="13">
        <f t="shared" si="3"/>
        <v>136.77042943092601</v>
      </c>
      <c r="R14" s="13">
        <f t="shared" si="4"/>
        <v>58.759057207364215</v>
      </c>
      <c r="S14" s="13">
        <f t="shared" si="5"/>
        <v>1253.9398039081086</v>
      </c>
      <c r="T14" s="13">
        <f t="shared" si="6"/>
        <v>1014</v>
      </c>
      <c r="U14" s="13">
        <f t="shared" si="7"/>
        <v>239.93980390810862</v>
      </c>
      <c r="V14" s="14">
        <f t="shared" si="8"/>
        <v>0.19134874190953741</v>
      </c>
      <c r="W14" s="13">
        <f t="shared" si="9"/>
        <v>371.06019609189121</v>
      </c>
      <c r="X14" s="14">
        <f t="shared" si="10"/>
        <v>0.22834473605654845</v>
      </c>
      <c r="Y14" s="12" t="str">
        <f>IF(AND(V14&lt;Inputs!$B$12,X14&gt;Inputs!$B$13),"Priority: margin + leakage",IF(V14&lt;Inputs!$B$12,"Margin review",IF(X14&gt;Inputs!$B$13,"Leakage review","Monitor")))</f>
        <v>Priority: margin + leakage</v>
      </c>
      <c r="Z14" s="1"/>
    </row>
    <row r="15" spans="1:26" ht="20" customHeight="1">
      <c r="A15" s="15" t="s">
        <v>138</v>
      </c>
      <c r="B15" s="16">
        <v>45945</v>
      </c>
      <c r="C15" s="15" t="s">
        <v>139</v>
      </c>
      <c r="D15" s="15" t="s">
        <v>113</v>
      </c>
      <c r="E15" s="15" t="s">
        <v>118</v>
      </c>
      <c r="F15" s="15" t="s">
        <v>119</v>
      </c>
      <c r="G15" s="17">
        <v>118</v>
      </c>
      <c r="H15" s="18">
        <v>420</v>
      </c>
      <c r="I15" s="18">
        <v>180</v>
      </c>
      <c r="J15" s="19">
        <v>0.14332957459355372</v>
      </c>
      <c r="K15" s="19">
        <v>2.0829179129657479E-2</v>
      </c>
      <c r="L15" s="19">
        <v>2.3735306073389244E-2</v>
      </c>
      <c r="M15" s="18">
        <v>187.43723573607076</v>
      </c>
      <c r="N15" s="13">
        <f t="shared" si="0"/>
        <v>352.30720713744176</v>
      </c>
      <c r="O15" s="13">
        <f t="shared" si="1"/>
        <v>49560</v>
      </c>
      <c r="P15" s="13">
        <f t="shared" si="2"/>
        <v>7103.4137168565221</v>
      </c>
      <c r="Q15" s="13">
        <f t="shared" si="3"/>
        <v>884.33584092535409</v>
      </c>
      <c r="R15" s="13">
        <f t="shared" si="4"/>
        <v>1176.3217689971709</v>
      </c>
      <c r="S15" s="13">
        <f t="shared" si="5"/>
        <v>40208.491437484889</v>
      </c>
      <c r="T15" s="13">
        <f t="shared" si="6"/>
        <v>21240</v>
      </c>
      <c r="U15" s="13">
        <f t="shared" si="7"/>
        <v>18968.491437484889</v>
      </c>
      <c r="V15" s="14">
        <f t="shared" si="8"/>
        <v>0.47175337246801718</v>
      </c>
      <c r="W15" s="13">
        <f t="shared" si="9"/>
        <v>9351.5085625151187</v>
      </c>
      <c r="X15" s="14">
        <f t="shared" si="10"/>
        <v>0.18869064896116058</v>
      </c>
      <c r="Y15" s="12" t="str">
        <f>IF(AND(V15&lt;Inputs!$B$12,X15&gt;Inputs!$B$13),"Priority: margin + leakage",IF(V15&lt;Inputs!$B$12,"Margin review",IF(X15&gt;Inputs!$B$13,"Leakage review","Monitor")))</f>
        <v>Leakage review</v>
      </c>
      <c r="Z15" s="1"/>
    </row>
    <row r="16" spans="1:26" ht="20" customHeight="1">
      <c r="A16" s="15" t="s">
        <v>140</v>
      </c>
      <c r="B16" s="16">
        <v>45728</v>
      </c>
      <c r="C16" s="15" t="s">
        <v>141</v>
      </c>
      <c r="D16" s="15" t="s">
        <v>122</v>
      </c>
      <c r="E16" s="15" t="s">
        <v>132</v>
      </c>
      <c r="F16" s="15" t="s">
        <v>126</v>
      </c>
      <c r="G16" s="17">
        <v>100</v>
      </c>
      <c r="H16" s="18">
        <v>125</v>
      </c>
      <c r="I16" s="18">
        <v>78</v>
      </c>
      <c r="J16" s="19">
        <v>0</v>
      </c>
      <c r="K16" s="19">
        <v>7.9380345240321719E-3</v>
      </c>
      <c r="L16" s="19">
        <v>1.4780744580546706E-2</v>
      </c>
      <c r="M16" s="18">
        <v>61.630439540666863</v>
      </c>
      <c r="N16" s="13">
        <f t="shared" si="0"/>
        <v>124.00774568449597</v>
      </c>
      <c r="O16" s="13">
        <f t="shared" si="1"/>
        <v>12500</v>
      </c>
      <c r="P16" s="13">
        <f t="shared" si="2"/>
        <v>0</v>
      </c>
      <c r="Q16" s="13">
        <f t="shared" si="3"/>
        <v>99.225431550402149</v>
      </c>
      <c r="R16" s="13">
        <f t="shared" si="4"/>
        <v>184.75930725683384</v>
      </c>
      <c r="S16" s="13">
        <f t="shared" si="5"/>
        <v>12154.384821652096</v>
      </c>
      <c r="T16" s="13">
        <f t="shared" si="6"/>
        <v>7800</v>
      </c>
      <c r="U16" s="13">
        <f t="shared" si="7"/>
        <v>4354.3848216520964</v>
      </c>
      <c r="V16" s="14">
        <f t="shared" si="8"/>
        <v>0.35825629067586345</v>
      </c>
      <c r="W16" s="13">
        <f t="shared" si="9"/>
        <v>345.61517834790288</v>
      </c>
      <c r="X16" s="14">
        <f t="shared" si="10"/>
        <v>2.764921426783223E-2</v>
      </c>
      <c r="Y16" s="12" t="str">
        <f>IF(AND(V16&lt;Inputs!$B$12,X16&gt;Inputs!$B$13),"Priority: margin + leakage",IF(V16&lt;Inputs!$B$12,"Margin review",IF(X16&gt;Inputs!$B$13,"Leakage review","Monitor")))</f>
        <v>Monitor</v>
      </c>
      <c r="Z16" s="1"/>
    </row>
    <row r="17" spans="1:26" ht="20" customHeight="1">
      <c r="A17" s="15" t="s">
        <v>142</v>
      </c>
      <c r="B17" s="16">
        <v>46006</v>
      </c>
      <c r="C17" s="15" t="s">
        <v>141</v>
      </c>
      <c r="D17" s="15" t="s">
        <v>122</v>
      </c>
      <c r="E17" s="15" t="s">
        <v>143</v>
      </c>
      <c r="F17" s="15" t="s">
        <v>119</v>
      </c>
      <c r="G17" s="17">
        <v>16</v>
      </c>
      <c r="H17" s="18">
        <v>575</v>
      </c>
      <c r="I17" s="18">
        <v>235</v>
      </c>
      <c r="J17" s="19">
        <v>4.7525999618427815E-2</v>
      </c>
      <c r="K17" s="19">
        <v>0</v>
      </c>
      <c r="L17" s="19">
        <v>3.1092837299680695E-2</v>
      </c>
      <c r="M17" s="18">
        <v>163.54435792173373</v>
      </c>
      <c r="N17" s="13">
        <f t="shared" si="0"/>
        <v>547.672550219404</v>
      </c>
      <c r="O17" s="13">
        <f t="shared" si="1"/>
        <v>9200</v>
      </c>
      <c r="P17" s="13">
        <f t="shared" si="2"/>
        <v>437.23919648953591</v>
      </c>
      <c r="Q17" s="13">
        <f t="shared" si="3"/>
        <v>0</v>
      </c>
      <c r="R17" s="13">
        <f t="shared" si="4"/>
        <v>286.0541031570624</v>
      </c>
      <c r="S17" s="13">
        <f t="shared" si="5"/>
        <v>8313.1623424316676</v>
      </c>
      <c r="T17" s="13">
        <f t="shared" si="6"/>
        <v>3760</v>
      </c>
      <c r="U17" s="13">
        <f t="shared" si="7"/>
        <v>4553.1623424316676</v>
      </c>
      <c r="V17" s="14">
        <f t="shared" si="8"/>
        <v>0.54770521191335597</v>
      </c>
      <c r="W17" s="13">
        <f t="shared" si="9"/>
        <v>886.83765756833213</v>
      </c>
      <c r="X17" s="14">
        <f t="shared" si="10"/>
        <v>9.6395397561775231E-2</v>
      </c>
      <c r="Y17" s="12" t="str">
        <f>IF(AND(V17&lt;Inputs!$B$12,X17&gt;Inputs!$B$13),"Priority: margin + leakage",IF(V17&lt;Inputs!$B$12,"Margin review",IF(X17&gt;Inputs!$B$13,"Leakage review","Monitor")))</f>
        <v>Monitor</v>
      </c>
      <c r="Z17" s="1"/>
    </row>
    <row r="18" spans="1:26" ht="20" customHeight="1">
      <c r="A18" s="15" t="s">
        <v>144</v>
      </c>
      <c r="B18" s="16">
        <v>45663</v>
      </c>
      <c r="C18" s="15" t="s">
        <v>128</v>
      </c>
      <c r="D18" s="15" t="s">
        <v>129</v>
      </c>
      <c r="E18" s="15" t="s">
        <v>114</v>
      </c>
      <c r="F18" s="15" t="s">
        <v>115</v>
      </c>
      <c r="G18" s="17">
        <v>54</v>
      </c>
      <c r="H18" s="18">
        <v>160</v>
      </c>
      <c r="I18" s="18">
        <v>84</v>
      </c>
      <c r="J18" s="19">
        <v>0</v>
      </c>
      <c r="K18" s="19">
        <v>9.1407932402697872E-2</v>
      </c>
      <c r="L18" s="19">
        <v>0</v>
      </c>
      <c r="M18" s="18">
        <v>76.417188007113793</v>
      </c>
      <c r="N18" s="13">
        <f t="shared" si="0"/>
        <v>145.37473081556834</v>
      </c>
      <c r="O18" s="13">
        <f t="shared" si="1"/>
        <v>8640</v>
      </c>
      <c r="P18" s="13">
        <f t="shared" si="2"/>
        <v>0</v>
      </c>
      <c r="Q18" s="13">
        <f t="shared" si="3"/>
        <v>789.76453595930957</v>
      </c>
      <c r="R18" s="13">
        <f t="shared" si="4"/>
        <v>0</v>
      </c>
      <c r="S18" s="13">
        <f t="shared" si="5"/>
        <v>7773.8182760335767</v>
      </c>
      <c r="T18" s="13">
        <f t="shared" si="6"/>
        <v>4536</v>
      </c>
      <c r="U18" s="13">
        <f t="shared" si="7"/>
        <v>3237.8182760335767</v>
      </c>
      <c r="V18" s="14">
        <f t="shared" si="8"/>
        <v>0.41650295402655124</v>
      </c>
      <c r="W18" s="13">
        <f t="shared" si="9"/>
        <v>866.18172396642331</v>
      </c>
      <c r="X18" s="14">
        <f t="shared" si="10"/>
        <v>0.10025251434796566</v>
      </c>
      <c r="Y18" s="12" t="str">
        <f>IF(AND(V18&lt;Inputs!$B$12,X18&gt;Inputs!$B$13),"Priority: margin + leakage",IF(V18&lt;Inputs!$B$12,"Margin review",IF(X18&gt;Inputs!$B$13,"Leakage review","Monitor")))</f>
        <v>Monitor</v>
      </c>
      <c r="Z18" s="1"/>
    </row>
    <row r="19" spans="1:26" ht="20" customHeight="1">
      <c r="A19" s="15" t="s">
        <v>145</v>
      </c>
      <c r="B19" s="16">
        <v>45808</v>
      </c>
      <c r="C19" s="15" t="s">
        <v>112</v>
      </c>
      <c r="D19" s="15" t="s">
        <v>113</v>
      </c>
      <c r="E19" s="15" t="s">
        <v>114</v>
      </c>
      <c r="F19" s="15" t="s">
        <v>115</v>
      </c>
      <c r="G19" s="17">
        <v>92</v>
      </c>
      <c r="H19" s="18">
        <v>160</v>
      </c>
      <c r="I19" s="18">
        <v>84</v>
      </c>
      <c r="J19" s="19">
        <v>0.15371968180340129</v>
      </c>
      <c r="K19" s="19">
        <v>7.3946527877854079E-3</v>
      </c>
      <c r="L19" s="19">
        <v>2.6913790141540286E-2</v>
      </c>
      <c r="M19" s="18">
        <v>38.488693959074268</v>
      </c>
      <c r="N19" s="13">
        <f t="shared" si="0"/>
        <v>134.40357905318373</v>
      </c>
      <c r="O19" s="13">
        <f t="shared" si="1"/>
        <v>14720</v>
      </c>
      <c r="P19" s="13">
        <f t="shared" si="2"/>
        <v>2262.7537161460668</v>
      </c>
      <c r="Q19" s="13">
        <f t="shared" si="3"/>
        <v>92.117010961029891</v>
      </c>
      <c r="R19" s="13">
        <f t="shared" si="4"/>
        <v>396.170990883473</v>
      </c>
      <c r="S19" s="13">
        <f t="shared" si="5"/>
        <v>11930.469588050357</v>
      </c>
      <c r="T19" s="13">
        <f t="shared" si="6"/>
        <v>7728</v>
      </c>
      <c r="U19" s="13">
        <f t="shared" si="7"/>
        <v>4202.4695880503568</v>
      </c>
      <c r="V19" s="14">
        <f t="shared" si="8"/>
        <v>0.35224678769221124</v>
      </c>
      <c r="W19" s="13">
        <f t="shared" si="9"/>
        <v>2789.5304119496441</v>
      </c>
      <c r="X19" s="14">
        <f t="shared" si="10"/>
        <v>0.1895061421161443</v>
      </c>
      <c r="Y19" s="12" t="str">
        <f>IF(AND(V19&lt;Inputs!$B$12,X19&gt;Inputs!$B$13),"Priority: margin + leakage",IF(V19&lt;Inputs!$B$12,"Margin review",IF(X19&gt;Inputs!$B$13,"Leakage review","Monitor")))</f>
        <v>Leakage review</v>
      </c>
      <c r="Z19" s="1"/>
    </row>
    <row r="20" spans="1:26" ht="20" customHeight="1">
      <c r="A20" s="15" t="s">
        <v>146</v>
      </c>
      <c r="B20" s="16">
        <v>45749</v>
      </c>
      <c r="C20" s="15" t="s">
        <v>128</v>
      </c>
      <c r="D20" s="15" t="s">
        <v>129</v>
      </c>
      <c r="E20" s="15" t="s">
        <v>147</v>
      </c>
      <c r="F20" s="15" t="s">
        <v>136</v>
      </c>
      <c r="G20" s="17">
        <v>63</v>
      </c>
      <c r="H20" s="18">
        <v>220</v>
      </c>
      <c r="I20" s="18">
        <v>98</v>
      </c>
      <c r="J20" s="19">
        <v>0.13099853534840611</v>
      </c>
      <c r="K20" s="19">
        <v>3.581572862565803E-2</v>
      </c>
      <c r="L20" s="19">
        <v>1.5890677354930084E-2</v>
      </c>
      <c r="M20" s="18">
        <v>0</v>
      </c>
      <c r="N20" s="13">
        <f t="shared" si="0"/>
        <v>184.33305968403326</v>
      </c>
      <c r="O20" s="13">
        <f t="shared" si="1"/>
        <v>13860</v>
      </c>
      <c r="P20" s="13">
        <f t="shared" si="2"/>
        <v>1815.6396999289086</v>
      </c>
      <c r="Q20" s="13">
        <f t="shared" si="3"/>
        <v>431.37753997699537</v>
      </c>
      <c r="R20" s="13">
        <f t="shared" si="4"/>
        <v>220.24478813933098</v>
      </c>
      <c r="S20" s="13">
        <f t="shared" si="5"/>
        <v>11392.737971954764</v>
      </c>
      <c r="T20" s="13">
        <f t="shared" si="6"/>
        <v>6174</v>
      </c>
      <c r="U20" s="13">
        <f t="shared" si="7"/>
        <v>5218.7379719547644</v>
      </c>
      <c r="V20" s="14">
        <f t="shared" si="8"/>
        <v>0.45807583609854008</v>
      </c>
      <c r="W20" s="13">
        <f t="shared" si="9"/>
        <v>2467.2620280452347</v>
      </c>
      <c r="X20" s="14">
        <f t="shared" si="10"/>
        <v>0.17801313333659702</v>
      </c>
      <c r="Y20" s="12" t="str">
        <f>IF(AND(V20&lt;Inputs!$B$12,X20&gt;Inputs!$B$13),"Priority: margin + leakage",IF(V20&lt;Inputs!$B$12,"Margin review",IF(X20&gt;Inputs!$B$13,"Leakage review","Monitor")))</f>
        <v>Leakage review</v>
      </c>
      <c r="Z20" s="1"/>
    </row>
    <row r="21" spans="1:26" ht="20" customHeight="1">
      <c r="A21" s="15" t="s">
        <v>148</v>
      </c>
      <c r="B21" s="16">
        <v>45849</v>
      </c>
      <c r="C21" s="15" t="s">
        <v>141</v>
      </c>
      <c r="D21" s="15" t="s">
        <v>122</v>
      </c>
      <c r="E21" s="15" t="s">
        <v>114</v>
      </c>
      <c r="F21" s="15" t="s">
        <v>115</v>
      </c>
      <c r="G21" s="17">
        <v>116</v>
      </c>
      <c r="H21" s="18">
        <v>160</v>
      </c>
      <c r="I21" s="18">
        <v>84</v>
      </c>
      <c r="J21" s="19">
        <v>0</v>
      </c>
      <c r="K21" s="19">
        <v>9.9611809566760301E-4</v>
      </c>
      <c r="L21" s="19">
        <v>1.3025747851906423E-2</v>
      </c>
      <c r="M21" s="18">
        <v>117.11513045748815</v>
      </c>
      <c r="N21" s="13">
        <f t="shared" si="0"/>
        <v>159.84062110469318</v>
      </c>
      <c r="O21" s="13">
        <f t="shared" si="1"/>
        <v>18560</v>
      </c>
      <c r="P21" s="13">
        <f t="shared" si="2"/>
        <v>0</v>
      </c>
      <c r="Q21" s="13">
        <f t="shared" si="3"/>
        <v>18.487951855590712</v>
      </c>
      <c r="R21" s="13">
        <f t="shared" si="4"/>
        <v>241.75788013138322</v>
      </c>
      <c r="S21" s="13">
        <f t="shared" si="5"/>
        <v>18182.639037555538</v>
      </c>
      <c r="T21" s="13">
        <f t="shared" si="6"/>
        <v>9744</v>
      </c>
      <c r="U21" s="13">
        <f t="shared" si="7"/>
        <v>8438.6390375555384</v>
      </c>
      <c r="V21" s="14">
        <f t="shared" si="8"/>
        <v>0.46410419412307835</v>
      </c>
      <c r="W21" s="13">
        <f t="shared" si="9"/>
        <v>377.36096244446207</v>
      </c>
      <c r="X21" s="14">
        <f t="shared" si="10"/>
        <v>2.0331948407567999E-2</v>
      </c>
      <c r="Y21" s="12" t="str">
        <f>IF(AND(V21&lt;Inputs!$B$12,X21&gt;Inputs!$B$13),"Priority: margin + leakage",IF(V21&lt;Inputs!$B$12,"Margin review",IF(X21&gt;Inputs!$B$13,"Leakage review","Monitor")))</f>
        <v>Monitor</v>
      </c>
      <c r="Z21" s="1"/>
    </row>
    <row r="22" spans="1:26" ht="20" customHeight="1">
      <c r="A22" s="15" t="s">
        <v>149</v>
      </c>
      <c r="B22" s="16">
        <v>45815</v>
      </c>
      <c r="C22" s="15" t="s">
        <v>150</v>
      </c>
      <c r="D22" s="15" t="s">
        <v>129</v>
      </c>
      <c r="E22" s="15" t="s">
        <v>151</v>
      </c>
      <c r="F22" s="15" t="s">
        <v>115</v>
      </c>
      <c r="G22" s="17">
        <v>81</v>
      </c>
      <c r="H22" s="18">
        <v>105</v>
      </c>
      <c r="I22" s="18">
        <v>58</v>
      </c>
      <c r="J22" s="19">
        <v>7.1881322682326526E-2</v>
      </c>
      <c r="K22" s="19">
        <v>3.9429878251269028E-2</v>
      </c>
      <c r="L22" s="19">
        <v>5.8365241765239467E-2</v>
      </c>
      <c r="M22" s="18">
        <v>40.340403804374446</v>
      </c>
      <c r="N22" s="13">
        <f t="shared" si="0"/>
        <v>93.609922441172429</v>
      </c>
      <c r="O22" s="13">
        <f t="shared" si="1"/>
        <v>8505</v>
      </c>
      <c r="P22" s="13">
        <f t="shared" si="2"/>
        <v>611.35064941318706</v>
      </c>
      <c r="Q22" s="13">
        <f t="shared" si="3"/>
        <v>311.24563285184684</v>
      </c>
      <c r="R22" s="13">
        <f t="shared" si="4"/>
        <v>496.39638121336168</v>
      </c>
      <c r="S22" s="13">
        <f t="shared" si="5"/>
        <v>7045.6669327172303</v>
      </c>
      <c r="T22" s="13">
        <f t="shared" si="6"/>
        <v>4698</v>
      </c>
      <c r="U22" s="13">
        <f t="shared" si="7"/>
        <v>2347.6669327172303</v>
      </c>
      <c r="V22" s="14">
        <f t="shared" si="8"/>
        <v>0.33320719743586141</v>
      </c>
      <c r="W22" s="13">
        <f t="shared" si="9"/>
        <v>1459.3330672827701</v>
      </c>
      <c r="X22" s="14">
        <f t="shared" si="10"/>
        <v>0.17158531067404703</v>
      </c>
      <c r="Y22" s="12" t="str">
        <f>IF(AND(V22&lt;Inputs!$B$12,X22&gt;Inputs!$B$13),"Priority: margin + leakage",IF(V22&lt;Inputs!$B$12,"Margin review",IF(X22&gt;Inputs!$B$13,"Leakage review","Monitor")))</f>
        <v>Leakage review</v>
      </c>
      <c r="Z22" s="1"/>
    </row>
    <row r="23" spans="1:26" ht="20" customHeight="1">
      <c r="A23" s="15" t="s">
        <v>152</v>
      </c>
      <c r="B23" s="16">
        <v>45693</v>
      </c>
      <c r="C23" s="15" t="s">
        <v>153</v>
      </c>
      <c r="D23" s="15" t="s">
        <v>113</v>
      </c>
      <c r="E23" s="15" t="s">
        <v>151</v>
      </c>
      <c r="F23" s="15" t="s">
        <v>115</v>
      </c>
      <c r="G23" s="17">
        <v>35</v>
      </c>
      <c r="H23" s="18">
        <v>105</v>
      </c>
      <c r="I23" s="18">
        <v>58</v>
      </c>
      <c r="J23" s="19">
        <v>0.1711002321429867</v>
      </c>
      <c r="K23" s="19">
        <v>0</v>
      </c>
      <c r="L23" s="19">
        <v>4.283115423655881E-2</v>
      </c>
      <c r="M23" s="18">
        <v>173.22186124343247</v>
      </c>
      <c r="N23" s="13">
        <f t="shared" si="0"/>
        <v>87.034475624986399</v>
      </c>
      <c r="O23" s="13">
        <f t="shared" si="1"/>
        <v>3675</v>
      </c>
      <c r="P23" s="13">
        <f t="shared" si="2"/>
        <v>628.79335312547607</v>
      </c>
      <c r="Q23" s="13">
        <f t="shared" si="3"/>
        <v>0</v>
      </c>
      <c r="R23" s="13">
        <f t="shared" si="4"/>
        <v>157.40449181935364</v>
      </c>
      <c r="S23" s="13">
        <f t="shared" si="5"/>
        <v>2715.5802938117376</v>
      </c>
      <c r="T23" s="13">
        <f t="shared" si="6"/>
        <v>2030</v>
      </c>
      <c r="U23" s="13">
        <f t="shared" si="7"/>
        <v>685.58029381173765</v>
      </c>
      <c r="V23" s="14">
        <f t="shared" si="8"/>
        <v>0.25246180176444699</v>
      </c>
      <c r="W23" s="13">
        <f t="shared" si="9"/>
        <v>959.41970618826224</v>
      </c>
      <c r="X23" s="14">
        <f t="shared" si="10"/>
        <v>0.26106658671789451</v>
      </c>
      <c r="Y23" s="12" t="str">
        <f>IF(AND(V23&lt;Inputs!$B$12,X23&gt;Inputs!$B$13),"Priority: margin + leakage",IF(V23&lt;Inputs!$B$12,"Margin review",IF(X23&gt;Inputs!$B$13,"Leakage review","Monitor")))</f>
        <v>Priority: margin + leakage</v>
      </c>
      <c r="Z23" s="1"/>
    </row>
    <row r="24" spans="1:26" ht="20" customHeight="1">
      <c r="A24" s="15" t="s">
        <v>154</v>
      </c>
      <c r="B24" s="16">
        <v>45968</v>
      </c>
      <c r="C24" s="15" t="s">
        <v>141</v>
      </c>
      <c r="D24" s="15" t="s">
        <v>122</v>
      </c>
      <c r="E24" s="15" t="s">
        <v>147</v>
      </c>
      <c r="F24" s="15" t="s">
        <v>136</v>
      </c>
      <c r="G24" s="17">
        <v>21</v>
      </c>
      <c r="H24" s="18">
        <v>220</v>
      </c>
      <c r="I24" s="18">
        <v>98</v>
      </c>
      <c r="J24" s="19">
        <v>0</v>
      </c>
      <c r="K24" s="19">
        <v>0</v>
      </c>
      <c r="L24" s="19">
        <v>3.6207523213231209E-2</v>
      </c>
      <c r="M24" s="18">
        <v>214.92717801878052</v>
      </c>
      <c r="N24" s="13">
        <f t="shared" si="0"/>
        <v>220</v>
      </c>
      <c r="O24" s="13">
        <f t="shared" si="1"/>
        <v>4620</v>
      </c>
      <c r="P24" s="13">
        <f t="shared" si="2"/>
        <v>0</v>
      </c>
      <c r="Q24" s="13">
        <f t="shared" si="3"/>
        <v>0</v>
      </c>
      <c r="R24" s="13">
        <f t="shared" si="4"/>
        <v>167.27875724512819</v>
      </c>
      <c r="S24" s="13">
        <f t="shared" si="5"/>
        <v>4237.794064736092</v>
      </c>
      <c r="T24" s="13">
        <f t="shared" si="6"/>
        <v>2058</v>
      </c>
      <c r="U24" s="13">
        <f t="shared" si="7"/>
        <v>2179.794064736092</v>
      </c>
      <c r="V24" s="14">
        <f t="shared" si="8"/>
        <v>0.51436998387316357</v>
      </c>
      <c r="W24" s="13">
        <f t="shared" si="9"/>
        <v>382.20593526390871</v>
      </c>
      <c r="X24" s="14">
        <f t="shared" si="10"/>
        <v>8.2728557416430454E-2</v>
      </c>
      <c r="Y24" s="12" t="str">
        <f>IF(AND(V24&lt;Inputs!$B$12,X24&gt;Inputs!$B$13),"Priority: margin + leakage",IF(V24&lt;Inputs!$B$12,"Margin review",IF(X24&gt;Inputs!$B$13,"Leakage review","Monitor")))</f>
        <v>Monitor</v>
      </c>
      <c r="Z24" s="1"/>
    </row>
    <row r="25" spans="1:26" ht="20" customHeight="1">
      <c r="A25" s="15" t="s">
        <v>155</v>
      </c>
      <c r="B25" s="16">
        <v>46001</v>
      </c>
      <c r="C25" s="15" t="s">
        <v>128</v>
      </c>
      <c r="D25" s="15" t="s">
        <v>129</v>
      </c>
      <c r="E25" s="15" t="s">
        <v>135</v>
      </c>
      <c r="F25" s="15" t="s">
        <v>136</v>
      </c>
      <c r="G25" s="17">
        <v>74</v>
      </c>
      <c r="H25" s="18">
        <v>310</v>
      </c>
      <c r="I25" s="18">
        <v>142</v>
      </c>
      <c r="J25" s="19">
        <v>7.6771460594046464E-2</v>
      </c>
      <c r="K25" s="19">
        <v>0</v>
      </c>
      <c r="L25" s="19">
        <v>2.0809560638700722E-2</v>
      </c>
      <c r="M25" s="18">
        <v>31.63034753827624</v>
      </c>
      <c r="N25" s="13">
        <f t="shared" si="0"/>
        <v>286.20084721584561</v>
      </c>
      <c r="O25" s="13">
        <f t="shared" si="1"/>
        <v>22940</v>
      </c>
      <c r="P25" s="13">
        <f t="shared" si="2"/>
        <v>1761.1373060274259</v>
      </c>
      <c r="Q25" s="13">
        <f t="shared" si="3"/>
        <v>0</v>
      </c>
      <c r="R25" s="13">
        <f t="shared" si="4"/>
        <v>477.37132105179455</v>
      </c>
      <c r="S25" s="13">
        <f t="shared" si="5"/>
        <v>20669.861025382503</v>
      </c>
      <c r="T25" s="13">
        <f t="shared" si="6"/>
        <v>10508</v>
      </c>
      <c r="U25" s="13">
        <f t="shared" si="7"/>
        <v>10161.861025382503</v>
      </c>
      <c r="V25" s="14">
        <f t="shared" si="8"/>
        <v>0.49162696415344931</v>
      </c>
      <c r="W25" s="13">
        <f t="shared" si="9"/>
        <v>2270.1389746174964</v>
      </c>
      <c r="X25" s="14">
        <f t="shared" si="10"/>
        <v>9.8959850680797573E-2</v>
      </c>
      <c r="Y25" s="12" t="str">
        <f>IF(AND(V25&lt;Inputs!$B$12,X25&gt;Inputs!$B$13),"Priority: margin + leakage",IF(V25&lt;Inputs!$B$12,"Margin review",IF(X25&gt;Inputs!$B$13,"Leakage review","Monitor")))</f>
        <v>Monitor</v>
      </c>
      <c r="Z25" s="1"/>
    </row>
    <row r="26" spans="1:26" ht="20" customHeight="1">
      <c r="A26" s="15" t="s">
        <v>156</v>
      </c>
      <c r="B26" s="16">
        <v>45668</v>
      </c>
      <c r="C26" s="15" t="s">
        <v>112</v>
      </c>
      <c r="D26" s="15" t="s">
        <v>113</v>
      </c>
      <c r="E26" s="15" t="s">
        <v>125</v>
      </c>
      <c r="F26" s="15" t="s">
        <v>126</v>
      </c>
      <c r="G26" s="17">
        <v>61</v>
      </c>
      <c r="H26" s="18">
        <v>260</v>
      </c>
      <c r="I26" s="18">
        <v>165</v>
      </c>
      <c r="J26" s="19">
        <v>0.14097744492628478</v>
      </c>
      <c r="K26" s="19">
        <v>1.8841859286271818E-2</v>
      </c>
      <c r="L26" s="19">
        <v>2.5086165596013822E-2</v>
      </c>
      <c r="M26" s="18">
        <v>59.549887952893364</v>
      </c>
      <c r="N26" s="13">
        <f t="shared" si="0"/>
        <v>219.13761297149347</v>
      </c>
      <c r="O26" s="13">
        <f t="shared" si="1"/>
        <v>15860</v>
      </c>
      <c r="P26" s="13">
        <f t="shared" si="2"/>
        <v>2235.9022765308764</v>
      </c>
      <c r="Q26" s="13">
        <f t="shared" si="3"/>
        <v>256.70333220802144</v>
      </c>
      <c r="R26" s="13">
        <f t="shared" si="4"/>
        <v>397.86658635277922</v>
      </c>
      <c r="S26" s="13">
        <f t="shared" si="5"/>
        <v>12909.977916955429</v>
      </c>
      <c r="T26" s="13">
        <f t="shared" si="6"/>
        <v>10065</v>
      </c>
      <c r="U26" s="13">
        <f t="shared" si="7"/>
        <v>2844.9779169554295</v>
      </c>
      <c r="V26" s="14">
        <f t="shared" si="8"/>
        <v>0.22037047121660475</v>
      </c>
      <c r="W26" s="13">
        <f t="shared" si="9"/>
        <v>2950.0220830445705</v>
      </c>
      <c r="X26" s="14">
        <f t="shared" si="10"/>
        <v>0.1860039144416501</v>
      </c>
      <c r="Y26" s="12" t="str">
        <f>IF(AND(V26&lt;Inputs!$B$12,X26&gt;Inputs!$B$13),"Priority: margin + leakage",IF(V26&lt;Inputs!$B$12,"Margin review",IF(X26&gt;Inputs!$B$13,"Leakage review","Monitor")))</f>
        <v>Priority: margin + leakage</v>
      </c>
      <c r="Z26" s="1"/>
    </row>
    <row r="27" spans="1:26" ht="20" customHeight="1">
      <c r="A27" s="15" t="s">
        <v>157</v>
      </c>
      <c r="B27" s="16">
        <v>45674</v>
      </c>
      <c r="C27" s="15" t="s">
        <v>158</v>
      </c>
      <c r="D27" s="15" t="s">
        <v>129</v>
      </c>
      <c r="E27" s="15" t="s">
        <v>135</v>
      </c>
      <c r="F27" s="15" t="s">
        <v>136</v>
      </c>
      <c r="G27" s="17">
        <v>80</v>
      </c>
      <c r="H27" s="18">
        <v>310</v>
      </c>
      <c r="I27" s="18">
        <v>142</v>
      </c>
      <c r="J27" s="19">
        <v>7.7498862487441589E-2</v>
      </c>
      <c r="K27" s="19">
        <v>4.4426717238282239E-2</v>
      </c>
      <c r="L27" s="19">
        <v>1.618052027611358E-2</v>
      </c>
      <c r="M27" s="18">
        <v>72.384034931231838</v>
      </c>
      <c r="N27" s="13">
        <f t="shared" si="0"/>
        <v>273.27040650053124</v>
      </c>
      <c r="O27" s="13">
        <f t="shared" si="1"/>
        <v>24800</v>
      </c>
      <c r="P27" s="13">
        <f t="shared" si="2"/>
        <v>1921.9717896885513</v>
      </c>
      <c r="Q27" s="13">
        <f t="shared" si="3"/>
        <v>1016.3956902689509</v>
      </c>
      <c r="R27" s="13">
        <f t="shared" si="4"/>
        <v>401.27690284761678</v>
      </c>
      <c r="S27" s="13">
        <f t="shared" si="5"/>
        <v>21387.97158226365</v>
      </c>
      <c r="T27" s="13">
        <f t="shared" si="6"/>
        <v>11360</v>
      </c>
      <c r="U27" s="13">
        <f t="shared" si="7"/>
        <v>10027.97158226365</v>
      </c>
      <c r="V27" s="14">
        <f t="shared" si="8"/>
        <v>0.46886033786296599</v>
      </c>
      <c r="W27" s="13">
        <f t="shared" si="9"/>
        <v>3412.028417736351</v>
      </c>
      <c r="X27" s="14">
        <f t="shared" si="10"/>
        <v>0.13758179103775608</v>
      </c>
      <c r="Y27" s="12" t="str">
        <f>IF(AND(V27&lt;Inputs!$B$12,X27&gt;Inputs!$B$13),"Priority: margin + leakage",IF(V27&lt;Inputs!$B$12,"Margin review",IF(X27&gt;Inputs!$B$13,"Leakage review","Monitor")))</f>
        <v>Leakage review</v>
      </c>
      <c r="Z27" s="1"/>
    </row>
    <row r="28" spans="1:26" ht="20" customHeight="1">
      <c r="A28" s="15" t="s">
        <v>159</v>
      </c>
      <c r="B28" s="16">
        <v>45950</v>
      </c>
      <c r="C28" s="15" t="s">
        <v>160</v>
      </c>
      <c r="D28" s="15" t="s">
        <v>122</v>
      </c>
      <c r="E28" s="15" t="s">
        <v>114</v>
      </c>
      <c r="F28" s="15" t="s">
        <v>115</v>
      </c>
      <c r="G28" s="17">
        <v>70</v>
      </c>
      <c r="H28" s="18">
        <v>160</v>
      </c>
      <c r="I28" s="18">
        <v>84</v>
      </c>
      <c r="J28" s="19">
        <v>4.8918846315406044E-2</v>
      </c>
      <c r="K28" s="19">
        <v>7.2069216710928391E-2</v>
      </c>
      <c r="L28" s="19">
        <v>2.7136824763962404E-2</v>
      </c>
      <c r="M28" s="18">
        <v>166.7439889625291</v>
      </c>
      <c r="N28" s="13">
        <f t="shared" si="0"/>
        <v>141.20599678560308</v>
      </c>
      <c r="O28" s="13">
        <f t="shared" si="1"/>
        <v>11200</v>
      </c>
      <c r="P28" s="13">
        <f t="shared" si="2"/>
        <v>547.89107873254773</v>
      </c>
      <c r="Q28" s="13">
        <f t="shared" si="3"/>
        <v>767.6891462752377</v>
      </c>
      <c r="R28" s="13">
        <f t="shared" si="4"/>
        <v>303.9324373563789</v>
      </c>
      <c r="S28" s="13">
        <f t="shared" si="5"/>
        <v>9413.7433486733062</v>
      </c>
      <c r="T28" s="13">
        <f t="shared" si="6"/>
        <v>5880</v>
      </c>
      <c r="U28" s="13">
        <f t="shared" si="7"/>
        <v>3533.7433486733062</v>
      </c>
      <c r="V28" s="14">
        <f t="shared" si="8"/>
        <v>0.37538131408387315</v>
      </c>
      <c r="W28" s="13">
        <f t="shared" si="9"/>
        <v>1786.2566513266934</v>
      </c>
      <c r="X28" s="14">
        <f t="shared" si="10"/>
        <v>0.15948720101131192</v>
      </c>
      <c r="Y28" s="12" t="str">
        <f>IF(AND(V28&lt;Inputs!$B$12,X28&gt;Inputs!$B$13),"Priority: margin + leakage",IF(V28&lt;Inputs!$B$12,"Margin review",IF(X28&gt;Inputs!$B$13,"Leakage review","Monitor")))</f>
        <v>Leakage review</v>
      </c>
      <c r="Z28" s="1"/>
    </row>
    <row r="29" spans="1:26" ht="20" customHeight="1">
      <c r="A29" s="15" t="s">
        <v>161</v>
      </c>
      <c r="B29" s="16">
        <v>45878</v>
      </c>
      <c r="C29" s="15" t="s">
        <v>158</v>
      </c>
      <c r="D29" s="15" t="s">
        <v>129</v>
      </c>
      <c r="E29" s="15" t="s">
        <v>143</v>
      </c>
      <c r="F29" s="15" t="s">
        <v>119</v>
      </c>
      <c r="G29" s="17">
        <v>36</v>
      </c>
      <c r="H29" s="18">
        <v>575</v>
      </c>
      <c r="I29" s="18">
        <v>235</v>
      </c>
      <c r="J29" s="19">
        <v>8.8711475259105124E-2</v>
      </c>
      <c r="K29" s="19">
        <v>0</v>
      </c>
      <c r="L29" s="19">
        <v>2.7972713768586878E-2</v>
      </c>
      <c r="M29" s="18">
        <v>157.82543213801358</v>
      </c>
      <c r="N29" s="13">
        <f t="shared" si="0"/>
        <v>523.9909017260145</v>
      </c>
      <c r="O29" s="13">
        <f t="shared" si="1"/>
        <v>20700</v>
      </c>
      <c r="P29" s="13">
        <f t="shared" si="2"/>
        <v>1836.327537863476</v>
      </c>
      <c r="Q29" s="13">
        <f t="shared" si="3"/>
        <v>0</v>
      </c>
      <c r="R29" s="13">
        <f t="shared" si="4"/>
        <v>579.0351750097484</v>
      </c>
      <c r="S29" s="13">
        <f t="shared" si="5"/>
        <v>18126.811854988762</v>
      </c>
      <c r="T29" s="13">
        <f t="shared" si="6"/>
        <v>8460</v>
      </c>
      <c r="U29" s="13">
        <f t="shared" si="7"/>
        <v>9666.8118549887622</v>
      </c>
      <c r="V29" s="14">
        <f t="shared" si="8"/>
        <v>0.53328803389815704</v>
      </c>
      <c r="W29" s="13">
        <f t="shared" si="9"/>
        <v>2573.1881450112378</v>
      </c>
      <c r="X29" s="14">
        <f t="shared" si="10"/>
        <v>0.12430860603919024</v>
      </c>
      <c r="Y29" s="12" t="str">
        <f>IF(AND(V29&lt;Inputs!$B$12,X29&gt;Inputs!$B$13),"Priority: margin + leakage",IF(V29&lt;Inputs!$B$12,"Margin review",IF(X29&gt;Inputs!$B$13,"Leakage review","Monitor")))</f>
        <v>Leakage review</v>
      </c>
      <c r="Z29" s="1"/>
    </row>
    <row r="30" spans="1:26" ht="20" customHeight="1">
      <c r="A30" s="15" t="s">
        <v>162</v>
      </c>
      <c r="B30" s="16">
        <v>45708</v>
      </c>
      <c r="C30" s="15" t="s">
        <v>160</v>
      </c>
      <c r="D30" s="15" t="s">
        <v>122</v>
      </c>
      <c r="E30" s="15" t="s">
        <v>118</v>
      </c>
      <c r="F30" s="15" t="s">
        <v>119</v>
      </c>
      <c r="G30" s="17">
        <v>57</v>
      </c>
      <c r="H30" s="18">
        <v>420</v>
      </c>
      <c r="I30" s="18">
        <v>180</v>
      </c>
      <c r="J30" s="19">
        <v>0</v>
      </c>
      <c r="K30" s="19">
        <v>4.3311321159334379E-2</v>
      </c>
      <c r="L30" s="19">
        <v>9.9653220837030501E-4</v>
      </c>
      <c r="M30" s="18">
        <v>0</v>
      </c>
      <c r="N30" s="13">
        <f t="shared" si="0"/>
        <v>401.80924511307956</v>
      </c>
      <c r="O30" s="13">
        <f t="shared" si="1"/>
        <v>23940</v>
      </c>
      <c r="P30" s="13">
        <f t="shared" si="2"/>
        <v>0</v>
      </c>
      <c r="Q30" s="13">
        <f t="shared" si="3"/>
        <v>1036.873028554465</v>
      </c>
      <c r="R30" s="13">
        <f t="shared" si="4"/>
        <v>23.856981068385103</v>
      </c>
      <c r="S30" s="13">
        <f t="shared" si="5"/>
        <v>22879.26999037715</v>
      </c>
      <c r="T30" s="13">
        <f t="shared" si="6"/>
        <v>10260</v>
      </c>
      <c r="U30" s="13">
        <f t="shared" si="7"/>
        <v>12619.26999037715</v>
      </c>
      <c r="V30" s="14">
        <f t="shared" si="8"/>
        <v>0.55155911861194529</v>
      </c>
      <c r="W30" s="13">
        <f t="shared" si="9"/>
        <v>1060.73000962285</v>
      </c>
      <c r="X30" s="14">
        <f t="shared" si="10"/>
        <v>4.430785336770468E-2</v>
      </c>
      <c r="Y30" s="12" t="str">
        <f>IF(AND(V30&lt;Inputs!$B$12,X30&gt;Inputs!$B$13),"Priority: margin + leakage",IF(V30&lt;Inputs!$B$12,"Margin review",IF(X30&gt;Inputs!$B$13,"Leakage review","Monitor")))</f>
        <v>Monitor</v>
      </c>
      <c r="Z30" s="1"/>
    </row>
    <row r="31" spans="1:26" ht="20" customHeight="1">
      <c r="A31" s="15" t="s">
        <v>163</v>
      </c>
      <c r="B31" s="16">
        <v>45887</v>
      </c>
      <c r="C31" s="15" t="s">
        <v>164</v>
      </c>
      <c r="D31" s="15" t="s">
        <v>113</v>
      </c>
      <c r="E31" s="15" t="s">
        <v>118</v>
      </c>
      <c r="F31" s="15" t="s">
        <v>119</v>
      </c>
      <c r="G31" s="17">
        <v>98</v>
      </c>
      <c r="H31" s="18">
        <v>420</v>
      </c>
      <c r="I31" s="18">
        <v>180</v>
      </c>
      <c r="J31" s="19">
        <v>7.2955666779464606E-2</v>
      </c>
      <c r="K31" s="19">
        <v>7.7101308221233428E-2</v>
      </c>
      <c r="L31" s="19">
        <v>2.5098712728468454E-2</v>
      </c>
      <c r="M31" s="18">
        <v>178.46037812016476</v>
      </c>
      <c r="N31" s="13">
        <f t="shared" si="0"/>
        <v>359.33856098706343</v>
      </c>
      <c r="O31" s="13">
        <f t="shared" si="1"/>
        <v>41160</v>
      </c>
      <c r="P31" s="13">
        <f t="shared" si="2"/>
        <v>3002.8552446427634</v>
      </c>
      <c r="Q31" s="13">
        <f t="shared" si="3"/>
        <v>2941.9657786250186</v>
      </c>
      <c r="R31" s="13">
        <f t="shared" si="4"/>
        <v>1033.0630159037617</v>
      </c>
      <c r="S31" s="13">
        <f t="shared" si="5"/>
        <v>34003.655582708292</v>
      </c>
      <c r="T31" s="13">
        <f t="shared" si="6"/>
        <v>17640</v>
      </c>
      <c r="U31" s="13">
        <f t="shared" si="7"/>
        <v>16363.655582708292</v>
      </c>
      <c r="V31" s="14">
        <f t="shared" si="8"/>
        <v>0.48123224701257178</v>
      </c>
      <c r="W31" s="13">
        <f t="shared" si="9"/>
        <v>7156.3444172917089</v>
      </c>
      <c r="X31" s="14">
        <f t="shared" si="10"/>
        <v>0.17386648244148953</v>
      </c>
      <c r="Y31" s="12" t="str">
        <f>IF(AND(V31&lt;Inputs!$B$12,X31&gt;Inputs!$B$13),"Priority: margin + leakage",IF(V31&lt;Inputs!$B$12,"Margin review",IF(X31&gt;Inputs!$B$13,"Leakage review","Monitor")))</f>
        <v>Leakage review</v>
      </c>
      <c r="Z31" s="1"/>
    </row>
    <row r="32" spans="1:26" ht="20" customHeight="1">
      <c r="A32" s="15" t="s">
        <v>165</v>
      </c>
      <c r="B32" s="16">
        <v>45939</v>
      </c>
      <c r="C32" s="15" t="s">
        <v>150</v>
      </c>
      <c r="D32" s="15" t="s">
        <v>129</v>
      </c>
      <c r="E32" s="15" t="s">
        <v>118</v>
      </c>
      <c r="F32" s="15" t="s">
        <v>119</v>
      </c>
      <c r="G32" s="17">
        <v>28</v>
      </c>
      <c r="H32" s="18">
        <v>420</v>
      </c>
      <c r="I32" s="18">
        <v>180</v>
      </c>
      <c r="J32" s="19">
        <v>7.0266026738390996E-2</v>
      </c>
      <c r="K32" s="19">
        <v>5.3650633107164891E-2</v>
      </c>
      <c r="L32" s="19">
        <v>4.225678479768679E-2</v>
      </c>
      <c r="M32" s="18">
        <v>74.845086877367152</v>
      </c>
      <c r="N32" s="13">
        <f t="shared" si="0"/>
        <v>369.53832592945116</v>
      </c>
      <c r="O32" s="13">
        <f t="shared" si="1"/>
        <v>11760</v>
      </c>
      <c r="P32" s="13">
        <f t="shared" si="2"/>
        <v>826.32847444347817</v>
      </c>
      <c r="Q32" s="13">
        <f t="shared" si="3"/>
        <v>586.59839953188873</v>
      </c>
      <c r="R32" s="13">
        <f t="shared" si="4"/>
        <v>496.93978922079663</v>
      </c>
      <c r="S32" s="13">
        <f t="shared" si="5"/>
        <v>9775.2882499264688</v>
      </c>
      <c r="T32" s="13">
        <f t="shared" si="6"/>
        <v>5040</v>
      </c>
      <c r="U32" s="13">
        <f t="shared" si="7"/>
        <v>4735.2882499264688</v>
      </c>
      <c r="V32" s="14">
        <f t="shared" si="8"/>
        <v>0.48441418082603227</v>
      </c>
      <c r="W32" s="13">
        <f t="shared" si="9"/>
        <v>1984.7117500735308</v>
      </c>
      <c r="X32" s="14">
        <f t="shared" si="10"/>
        <v>0.16876800595863356</v>
      </c>
      <c r="Y32" s="12" t="str">
        <f>IF(AND(V32&lt;Inputs!$B$12,X32&gt;Inputs!$B$13),"Priority: margin + leakage",IF(V32&lt;Inputs!$B$12,"Margin review",IF(X32&gt;Inputs!$B$13,"Leakage review","Monitor")))</f>
        <v>Leakage review</v>
      </c>
      <c r="Z32" s="1"/>
    </row>
    <row r="33" spans="1:26" ht="20" customHeight="1">
      <c r="A33" s="15" t="s">
        <v>166</v>
      </c>
      <c r="B33" s="16">
        <v>45779</v>
      </c>
      <c r="C33" s="15" t="s">
        <v>117</v>
      </c>
      <c r="D33" s="15" t="s">
        <v>113</v>
      </c>
      <c r="E33" s="15" t="s">
        <v>151</v>
      </c>
      <c r="F33" s="15" t="s">
        <v>115</v>
      </c>
      <c r="G33" s="17">
        <v>88</v>
      </c>
      <c r="H33" s="18">
        <v>105</v>
      </c>
      <c r="I33" s="18">
        <v>58</v>
      </c>
      <c r="J33" s="19">
        <v>0.17655561417341445</v>
      </c>
      <c r="K33" s="19">
        <v>3.4785671218480148E-2</v>
      </c>
      <c r="L33" s="19">
        <v>6.5336986667960215E-2</v>
      </c>
      <c r="M33" s="18">
        <v>80.206683112780794</v>
      </c>
      <c r="N33" s="13">
        <f t="shared" si="0"/>
        <v>83.45403361622445</v>
      </c>
      <c r="O33" s="13">
        <f t="shared" si="1"/>
        <v>9240</v>
      </c>
      <c r="P33" s="13">
        <f t="shared" si="2"/>
        <v>1631.3738749623494</v>
      </c>
      <c r="Q33" s="13">
        <f t="shared" si="3"/>
        <v>264.6711668098983</v>
      </c>
      <c r="R33" s="13">
        <f t="shared" si="4"/>
        <v>603.71375681195241</v>
      </c>
      <c r="S33" s="13">
        <f t="shared" si="5"/>
        <v>6660.0345183030186</v>
      </c>
      <c r="T33" s="13">
        <f t="shared" si="6"/>
        <v>5104</v>
      </c>
      <c r="U33" s="13">
        <f t="shared" si="7"/>
        <v>1556.0345183030186</v>
      </c>
      <c r="V33" s="14">
        <f t="shared" si="8"/>
        <v>0.23363760563503763</v>
      </c>
      <c r="W33" s="13">
        <f t="shared" si="9"/>
        <v>2579.965481696981</v>
      </c>
      <c r="X33" s="14">
        <f t="shared" si="10"/>
        <v>0.27921704347369924</v>
      </c>
      <c r="Y33" s="12" t="str">
        <f>IF(AND(V33&lt;Inputs!$B$12,X33&gt;Inputs!$B$13),"Priority: margin + leakage",IF(V33&lt;Inputs!$B$12,"Margin review",IF(X33&gt;Inputs!$B$13,"Leakage review","Monitor")))</f>
        <v>Priority: margin + leakage</v>
      </c>
      <c r="Z33" s="1"/>
    </row>
    <row r="34" spans="1:26" ht="20" customHeight="1">
      <c r="A34" s="15" t="s">
        <v>167</v>
      </c>
      <c r="B34" s="16">
        <v>45659</v>
      </c>
      <c r="C34" s="15" t="s">
        <v>150</v>
      </c>
      <c r="D34" s="15" t="s">
        <v>129</v>
      </c>
      <c r="E34" s="15" t="s">
        <v>118</v>
      </c>
      <c r="F34" s="15" t="s">
        <v>119</v>
      </c>
      <c r="G34" s="17">
        <v>67</v>
      </c>
      <c r="H34" s="18">
        <v>420</v>
      </c>
      <c r="I34" s="18">
        <v>180</v>
      </c>
      <c r="J34" s="19">
        <v>5.4814586936406395E-3</v>
      </c>
      <c r="K34" s="19">
        <v>4.0842889505329209E-2</v>
      </c>
      <c r="L34" s="19">
        <v>3.3831064436699199E-2</v>
      </c>
      <c r="M34" s="18">
        <v>88.943433065448815</v>
      </c>
      <c r="N34" s="13">
        <f t="shared" si="0"/>
        <v>400.63780277336861</v>
      </c>
      <c r="O34" s="13">
        <f t="shared" si="1"/>
        <v>28140</v>
      </c>
      <c r="P34" s="13">
        <f t="shared" si="2"/>
        <v>154.24824763904761</v>
      </c>
      <c r="Q34" s="13">
        <f t="shared" si="3"/>
        <v>1143.0189665452517</v>
      </c>
      <c r="R34" s="13">
        <f t="shared" si="4"/>
        <v>952.00615324871546</v>
      </c>
      <c r="S34" s="13">
        <f t="shared" si="5"/>
        <v>25801.783199501533</v>
      </c>
      <c r="T34" s="13">
        <f t="shared" si="6"/>
        <v>12060</v>
      </c>
      <c r="U34" s="13">
        <f t="shared" si="7"/>
        <v>13741.783199501533</v>
      </c>
      <c r="V34" s="14">
        <f t="shared" si="8"/>
        <v>0.53259044513508713</v>
      </c>
      <c r="W34" s="13">
        <f t="shared" si="9"/>
        <v>2338.2168004984637</v>
      </c>
      <c r="X34" s="14">
        <f t="shared" si="10"/>
        <v>8.3092281467607096E-2</v>
      </c>
      <c r="Y34" s="12" t="str">
        <f>IF(AND(V34&lt;Inputs!$B$12,X34&gt;Inputs!$B$13),"Priority: margin + leakage",IF(V34&lt;Inputs!$B$12,"Margin review",IF(X34&gt;Inputs!$B$13,"Leakage review","Monitor")))</f>
        <v>Monitor</v>
      </c>
      <c r="Z34" s="1"/>
    </row>
    <row r="35" spans="1:26" ht="20" customHeight="1">
      <c r="A35" s="15" t="s">
        <v>168</v>
      </c>
      <c r="B35" s="16">
        <v>45942</v>
      </c>
      <c r="C35" s="15" t="s">
        <v>128</v>
      </c>
      <c r="D35" s="15" t="s">
        <v>129</v>
      </c>
      <c r="E35" s="15" t="s">
        <v>132</v>
      </c>
      <c r="F35" s="15" t="s">
        <v>126</v>
      </c>
      <c r="G35" s="17">
        <v>105</v>
      </c>
      <c r="H35" s="18">
        <v>125</v>
      </c>
      <c r="I35" s="18">
        <v>78</v>
      </c>
      <c r="J35" s="19">
        <v>8.1279934510199617E-2</v>
      </c>
      <c r="K35" s="19">
        <v>1.5008614398369747E-2</v>
      </c>
      <c r="L35" s="19">
        <v>1.5400879948546033E-2</v>
      </c>
      <c r="M35" s="18">
        <v>0</v>
      </c>
      <c r="N35" s="13">
        <f t="shared" si="0"/>
        <v>113.11641878585237</v>
      </c>
      <c r="O35" s="13">
        <f t="shared" si="1"/>
        <v>13125</v>
      </c>
      <c r="P35" s="13">
        <f t="shared" si="2"/>
        <v>1066.7991404463701</v>
      </c>
      <c r="Q35" s="13">
        <f t="shared" si="3"/>
        <v>180.97688703913107</v>
      </c>
      <c r="R35" s="13">
        <f t="shared" si="4"/>
        <v>202.13654932466667</v>
      </c>
      <c r="S35" s="13">
        <f t="shared" si="5"/>
        <v>11675.087423189832</v>
      </c>
      <c r="T35" s="13">
        <f t="shared" si="6"/>
        <v>8190</v>
      </c>
      <c r="U35" s="13">
        <f t="shared" si="7"/>
        <v>3485.0874231898324</v>
      </c>
      <c r="V35" s="14">
        <f t="shared" si="8"/>
        <v>0.29850632349591838</v>
      </c>
      <c r="W35" s="13">
        <f t="shared" si="9"/>
        <v>1449.9125768101678</v>
      </c>
      <c r="X35" s="14">
        <f t="shared" si="10"/>
        <v>0.11046952966172707</v>
      </c>
      <c r="Y35" s="12" t="str">
        <f>IF(AND(V35&lt;Inputs!$B$12,X35&gt;Inputs!$B$13),"Priority: margin + leakage",IF(V35&lt;Inputs!$B$12,"Margin review",IF(X35&gt;Inputs!$B$13,"Leakage review","Monitor")))</f>
        <v>Margin review</v>
      </c>
      <c r="Z35" s="1"/>
    </row>
    <row r="36" spans="1:26" ht="20" customHeight="1">
      <c r="A36" s="15" t="s">
        <v>169</v>
      </c>
      <c r="B36" s="16">
        <v>45689</v>
      </c>
      <c r="C36" s="15" t="s">
        <v>112</v>
      </c>
      <c r="D36" s="15" t="s">
        <v>113</v>
      </c>
      <c r="E36" s="15" t="s">
        <v>143</v>
      </c>
      <c r="F36" s="15" t="s">
        <v>119</v>
      </c>
      <c r="G36" s="17">
        <v>24</v>
      </c>
      <c r="H36" s="18">
        <v>575</v>
      </c>
      <c r="I36" s="18">
        <v>235</v>
      </c>
      <c r="J36" s="19">
        <v>0.11904321493878811</v>
      </c>
      <c r="K36" s="19">
        <v>5.1284142764574547E-2</v>
      </c>
      <c r="L36" s="19">
        <v>5.2405653050531416E-2</v>
      </c>
      <c r="M36" s="18">
        <v>172.74841161279326</v>
      </c>
      <c r="N36" s="13">
        <f t="shared" ref="N36:N67" si="11">H36*(1-J36)*(1-K36)</f>
        <v>480.57216112785949</v>
      </c>
      <c r="O36" s="13">
        <f t="shared" ref="O36:O67" si="12">G36*H36</f>
        <v>13800</v>
      </c>
      <c r="P36" s="13">
        <f t="shared" ref="P36:P67" si="13">O36*J36</f>
        <v>1642.796366155276</v>
      </c>
      <c r="Q36" s="13">
        <f t="shared" ref="Q36:Q67" si="14">(O36-P36)*K36</f>
        <v>623.4717667760973</v>
      </c>
      <c r="R36" s="13">
        <f t="shared" ref="R36:R67" si="15">O36*L36</f>
        <v>723.1980120973335</v>
      </c>
      <c r="S36" s="13">
        <f t="shared" ref="S36:S67" si="16">G36*N36-R36-M36</f>
        <v>10637.785443358502</v>
      </c>
      <c r="T36" s="13">
        <f t="shared" ref="T36:T67" si="17">G36*I36</f>
        <v>5640</v>
      </c>
      <c r="U36" s="13">
        <f t="shared" ref="U36:U67" si="18">S36-T36</f>
        <v>4997.7854433585017</v>
      </c>
      <c r="V36" s="14">
        <f t="shared" ref="V36:V67" si="19">IFERROR(U36/S36,0)</f>
        <v>0.46981446185105885</v>
      </c>
      <c r="W36" s="13">
        <f t="shared" ref="W36:W67" si="20">P36+Q36+R36+M36</f>
        <v>3162.2145566415002</v>
      </c>
      <c r="X36" s="14">
        <f t="shared" ref="X36:X67" si="21">IFERROR(W36/O36,0)</f>
        <v>0.2291459823653261</v>
      </c>
      <c r="Y36" s="12" t="str">
        <f>IF(AND(V36&lt;Inputs!$B$12,X36&gt;Inputs!$B$13),"Priority: margin + leakage",IF(V36&lt;Inputs!$B$12,"Margin review",IF(X36&gt;Inputs!$B$13,"Leakage review","Monitor")))</f>
        <v>Leakage review</v>
      </c>
      <c r="Z36" s="1"/>
    </row>
    <row r="37" spans="1:26" ht="20" customHeight="1">
      <c r="A37" s="15" t="s">
        <v>170</v>
      </c>
      <c r="B37" s="16">
        <v>45687</v>
      </c>
      <c r="C37" s="15" t="s">
        <v>121</v>
      </c>
      <c r="D37" s="15" t="s">
        <v>122</v>
      </c>
      <c r="E37" s="15" t="s">
        <v>125</v>
      </c>
      <c r="F37" s="15" t="s">
        <v>126</v>
      </c>
      <c r="G37" s="17">
        <v>12</v>
      </c>
      <c r="H37" s="18">
        <v>260</v>
      </c>
      <c r="I37" s="18">
        <v>165</v>
      </c>
      <c r="J37" s="19">
        <v>8.2876795940725292E-2</v>
      </c>
      <c r="K37" s="19">
        <v>4.3817413251204036E-2</v>
      </c>
      <c r="L37" s="19">
        <v>4.4372641687490499E-2</v>
      </c>
      <c r="M37" s="18">
        <v>21.116550410920865</v>
      </c>
      <c r="N37" s="13">
        <f t="shared" si="11"/>
        <v>228.00368178243269</v>
      </c>
      <c r="O37" s="13">
        <f t="shared" si="12"/>
        <v>3120</v>
      </c>
      <c r="P37" s="13">
        <f t="shared" si="13"/>
        <v>258.57560333506291</v>
      </c>
      <c r="Q37" s="13">
        <f t="shared" si="14"/>
        <v>125.38021527574472</v>
      </c>
      <c r="R37" s="13">
        <f t="shared" si="15"/>
        <v>138.44264206497036</v>
      </c>
      <c r="S37" s="13">
        <f t="shared" si="16"/>
        <v>2576.4849889133011</v>
      </c>
      <c r="T37" s="13">
        <f t="shared" si="17"/>
        <v>1980</v>
      </c>
      <c r="U37" s="13">
        <f t="shared" si="18"/>
        <v>596.48498891330109</v>
      </c>
      <c r="V37" s="14">
        <f t="shared" si="19"/>
        <v>0.23151114463309333</v>
      </c>
      <c r="W37" s="13">
        <f t="shared" si="20"/>
        <v>543.51501108669891</v>
      </c>
      <c r="X37" s="14">
        <f t="shared" si="21"/>
        <v>0.17420352919445478</v>
      </c>
      <c r="Y37" s="12" t="str">
        <f>IF(AND(V37&lt;Inputs!$B$12,X37&gt;Inputs!$B$13),"Priority: margin + leakage",IF(V37&lt;Inputs!$B$12,"Margin review",IF(X37&gt;Inputs!$B$13,"Leakage review","Monitor")))</f>
        <v>Priority: margin + leakage</v>
      </c>
      <c r="Z37" s="1"/>
    </row>
    <row r="38" spans="1:26" ht="20" customHeight="1">
      <c r="A38" s="15" t="s">
        <v>171</v>
      </c>
      <c r="B38" s="16">
        <v>45719</v>
      </c>
      <c r="C38" s="15" t="s">
        <v>141</v>
      </c>
      <c r="D38" s="15" t="s">
        <v>122</v>
      </c>
      <c r="E38" s="15" t="s">
        <v>114</v>
      </c>
      <c r="F38" s="15" t="s">
        <v>115</v>
      </c>
      <c r="G38" s="17">
        <v>113</v>
      </c>
      <c r="H38" s="18">
        <v>160</v>
      </c>
      <c r="I38" s="18">
        <v>84</v>
      </c>
      <c r="J38" s="19">
        <v>6.3465853144218348E-2</v>
      </c>
      <c r="K38" s="19">
        <v>6.5918769217956849E-2</v>
      </c>
      <c r="L38" s="19">
        <v>1.9031300304771195E-2</v>
      </c>
      <c r="M38" s="18">
        <v>61.234951185037588</v>
      </c>
      <c r="N38" s="13">
        <f t="shared" si="11"/>
        <v>139.96783497031348</v>
      </c>
      <c r="O38" s="13">
        <f t="shared" si="12"/>
        <v>18080</v>
      </c>
      <c r="P38" s="13">
        <f t="shared" si="13"/>
        <v>1147.4626248474676</v>
      </c>
      <c r="Q38" s="13">
        <f t="shared" si="14"/>
        <v>1116.1720235071086</v>
      </c>
      <c r="R38" s="13">
        <f t="shared" si="15"/>
        <v>344.08590951026321</v>
      </c>
      <c r="S38" s="13">
        <f t="shared" si="16"/>
        <v>15411.044490950124</v>
      </c>
      <c r="T38" s="13">
        <f t="shared" si="17"/>
        <v>9492</v>
      </c>
      <c r="U38" s="13">
        <f t="shared" si="18"/>
        <v>5919.0444909501239</v>
      </c>
      <c r="V38" s="14">
        <f t="shared" si="19"/>
        <v>0.3840780872721497</v>
      </c>
      <c r="W38" s="13">
        <f t="shared" si="20"/>
        <v>2668.955509049877</v>
      </c>
      <c r="X38" s="14">
        <f t="shared" si="21"/>
        <v>0.14761922063328967</v>
      </c>
      <c r="Y38" s="12" t="str">
        <f>IF(AND(V38&lt;Inputs!$B$12,X38&gt;Inputs!$B$13),"Priority: margin + leakage",IF(V38&lt;Inputs!$B$12,"Margin review",IF(X38&gt;Inputs!$B$13,"Leakage review","Monitor")))</f>
        <v>Leakage review</v>
      </c>
      <c r="Z38" s="1"/>
    </row>
    <row r="39" spans="1:26" ht="20" customHeight="1">
      <c r="A39" s="15" t="s">
        <v>172</v>
      </c>
      <c r="B39" s="16">
        <v>45925</v>
      </c>
      <c r="C39" s="15" t="s">
        <v>158</v>
      </c>
      <c r="D39" s="15" t="s">
        <v>129</v>
      </c>
      <c r="E39" s="15" t="s">
        <v>135</v>
      </c>
      <c r="F39" s="15" t="s">
        <v>136</v>
      </c>
      <c r="G39" s="17">
        <v>79</v>
      </c>
      <c r="H39" s="18">
        <v>310</v>
      </c>
      <c r="I39" s="18">
        <v>142</v>
      </c>
      <c r="J39" s="19">
        <v>3.4682022005176949E-2</v>
      </c>
      <c r="K39" s="19">
        <v>1.5555453972502173E-2</v>
      </c>
      <c r="L39" s="19">
        <v>4.1744609033243021E-3</v>
      </c>
      <c r="M39" s="18">
        <v>177.90682644875938</v>
      </c>
      <c r="N39" s="13">
        <f t="shared" si="11"/>
        <v>294.59362577198175</v>
      </c>
      <c r="O39" s="13">
        <f t="shared" si="12"/>
        <v>24490</v>
      </c>
      <c r="P39" s="13">
        <f t="shared" si="13"/>
        <v>849.36271890678347</v>
      </c>
      <c r="Q39" s="13">
        <f t="shared" si="14"/>
        <v>367.74084510666444</v>
      </c>
      <c r="R39" s="13">
        <f t="shared" si="15"/>
        <v>102.23254752241216</v>
      </c>
      <c r="S39" s="13">
        <f t="shared" si="16"/>
        <v>22992.757062015386</v>
      </c>
      <c r="T39" s="13">
        <f t="shared" si="17"/>
        <v>11218</v>
      </c>
      <c r="U39" s="13">
        <f t="shared" si="18"/>
        <v>11774.757062015386</v>
      </c>
      <c r="V39" s="14">
        <f t="shared" si="19"/>
        <v>0.51210722708272249</v>
      </c>
      <c r="W39" s="13">
        <f t="shared" si="20"/>
        <v>1497.2429379846194</v>
      </c>
      <c r="X39" s="14">
        <f t="shared" si="21"/>
        <v>6.1136910493451178E-2</v>
      </c>
      <c r="Y39" s="12" t="str">
        <f>IF(AND(V39&lt;Inputs!$B$12,X39&gt;Inputs!$B$13),"Priority: margin + leakage",IF(V39&lt;Inputs!$B$12,"Margin review",IF(X39&gt;Inputs!$B$13,"Leakage review","Monitor")))</f>
        <v>Monitor</v>
      </c>
      <c r="Z39" s="1"/>
    </row>
    <row r="40" spans="1:26" ht="20" customHeight="1">
      <c r="A40" s="15" t="s">
        <v>173</v>
      </c>
      <c r="B40" s="16">
        <v>45988</v>
      </c>
      <c r="C40" s="15" t="s">
        <v>160</v>
      </c>
      <c r="D40" s="15" t="s">
        <v>122</v>
      </c>
      <c r="E40" s="15" t="s">
        <v>132</v>
      </c>
      <c r="F40" s="15" t="s">
        <v>126</v>
      </c>
      <c r="G40" s="17">
        <v>31</v>
      </c>
      <c r="H40" s="18">
        <v>125</v>
      </c>
      <c r="I40" s="18">
        <v>78</v>
      </c>
      <c r="J40" s="19">
        <v>3.0310059320529385E-2</v>
      </c>
      <c r="K40" s="19">
        <v>1.5991239542888155E-2</v>
      </c>
      <c r="L40" s="19">
        <v>2.406613410175678E-2</v>
      </c>
      <c r="M40" s="18">
        <v>66.084686771809714</v>
      </c>
      <c r="N40" s="13">
        <f t="shared" si="11"/>
        <v>119.27292456946701</v>
      </c>
      <c r="O40" s="13">
        <f t="shared" si="12"/>
        <v>3875</v>
      </c>
      <c r="P40" s="13">
        <f t="shared" si="13"/>
        <v>117.45147986705136</v>
      </c>
      <c r="Q40" s="13">
        <f t="shared" si="14"/>
        <v>60.087858479470881</v>
      </c>
      <c r="R40" s="13">
        <f t="shared" si="15"/>
        <v>93.256269644307523</v>
      </c>
      <c r="S40" s="13">
        <f t="shared" si="16"/>
        <v>3538.1197052373604</v>
      </c>
      <c r="T40" s="13">
        <f t="shared" si="17"/>
        <v>2418</v>
      </c>
      <c r="U40" s="13">
        <f t="shared" si="18"/>
        <v>1120.1197052373604</v>
      </c>
      <c r="V40" s="14">
        <f t="shared" si="19"/>
        <v>0.31658615268988344</v>
      </c>
      <c r="W40" s="13">
        <f t="shared" si="20"/>
        <v>336.88029476263944</v>
      </c>
      <c r="X40" s="14">
        <f t="shared" si="21"/>
        <v>8.6936850261326304E-2</v>
      </c>
      <c r="Y40" s="12" t="str">
        <f>IF(AND(V40&lt;Inputs!$B$12,X40&gt;Inputs!$B$13),"Priority: margin + leakage",IF(V40&lt;Inputs!$B$12,"Margin review",IF(X40&gt;Inputs!$B$13,"Leakage review","Monitor")))</f>
        <v>Monitor</v>
      </c>
      <c r="Z40" s="1"/>
    </row>
    <row r="41" spans="1:26" ht="20" customHeight="1">
      <c r="A41" s="15" t="s">
        <v>174</v>
      </c>
      <c r="B41" s="16">
        <v>45946</v>
      </c>
      <c r="C41" s="15" t="s">
        <v>175</v>
      </c>
      <c r="D41" s="15" t="s">
        <v>129</v>
      </c>
      <c r="E41" s="15" t="s">
        <v>143</v>
      </c>
      <c r="F41" s="15" t="s">
        <v>119</v>
      </c>
      <c r="G41" s="17">
        <v>45</v>
      </c>
      <c r="H41" s="18">
        <v>575</v>
      </c>
      <c r="I41" s="18">
        <v>235</v>
      </c>
      <c r="J41" s="19">
        <v>0.14898228351792481</v>
      </c>
      <c r="K41" s="19">
        <v>9.7339881725771182E-3</v>
      </c>
      <c r="L41" s="19">
        <v>5.0036413391222542E-2</v>
      </c>
      <c r="M41" s="18">
        <v>127.33537778499183</v>
      </c>
      <c r="N41" s="13">
        <f t="shared" si="11"/>
        <v>484.57200405473139</v>
      </c>
      <c r="O41" s="13">
        <f t="shared" si="12"/>
        <v>25875</v>
      </c>
      <c r="P41" s="13">
        <f t="shared" si="13"/>
        <v>3854.9165860263042</v>
      </c>
      <c r="Q41" s="13">
        <f t="shared" si="14"/>
        <v>214.34323151078152</v>
      </c>
      <c r="R41" s="13">
        <f t="shared" si="15"/>
        <v>1294.6921964978833</v>
      </c>
      <c r="S41" s="13">
        <f t="shared" si="16"/>
        <v>20383.712608180038</v>
      </c>
      <c r="T41" s="13">
        <f t="shared" si="17"/>
        <v>10575</v>
      </c>
      <c r="U41" s="13">
        <f t="shared" si="18"/>
        <v>9808.7126081800379</v>
      </c>
      <c r="V41" s="14">
        <f t="shared" si="19"/>
        <v>0.48120343907536134</v>
      </c>
      <c r="W41" s="13">
        <f t="shared" si="20"/>
        <v>5491.2873918199602</v>
      </c>
      <c r="X41" s="14">
        <f t="shared" si="21"/>
        <v>0.21222366731671344</v>
      </c>
      <c r="Y41" s="12" t="str">
        <f>IF(AND(V41&lt;Inputs!$B$12,X41&gt;Inputs!$B$13),"Priority: margin + leakage",IF(V41&lt;Inputs!$B$12,"Margin review",IF(X41&gt;Inputs!$B$13,"Leakage review","Monitor")))</f>
        <v>Leakage review</v>
      </c>
      <c r="Z41" s="1"/>
    </row>
    <row r="42" spans="1:26" ht="20" customHeight="1">
      <c r="A42" s="15" t="s">
        <v>176</v>
      </c>
      <c r="B42" s="16">
        <v>45783</v>
      </c>
      <c r="C42" s="15" t="s">
        <v>117</v>
      </c>
      <c r="D42" s="15" t="s">
        <v>113</v>
      </c>
      <c r="E42" s="15" t="s">
        <v>114</v>
      </c>
      <c r="F42" s="15" t="s">
        <v>115</v>
      </c>
      <c r="G42" s="17">
        <v>73</v>
      </c>
      <c r="H42" s="18">
        <v>160</v>
      </c>
      <c r="I42" s="18">
        <v>84</v>
      </c>
      <c r="J42" s="19">
        <v>0.11630448438412949</v>
      </c>
      <c r="K42" s="19">
        <v>5.4102827648223398E-2</v>
      </c>
      <c r="L42" s="19">
        <v>5.8912642316169966E-2</v>
      </c>
      <c r="M42" s="18">
        <v>44.411164097800011</v>
      </c>
      <c r="N42" s="13">
        <f t="shared" si="11"/>
        <v>133.74161431055956</v>
      </c>
      <c r="O42" s="13">
        <f t="shared" si="12"/>
        <v>11680</v>
      </c>
      <c r="P42" s="13">
        <f t="shared" si="13"/>
        <v>1358.4363776066325</v>
      </c>
      <c r="Q42" s="13">
        <f t="shared" si="14"/>
        <v>558.42577772252071</v>
      </c>
      <c r="R42" s="13">
        <f t="shared" si="15"/>
        <v>688.09966225286519</v>
      </c>
      <c r="S42" s="13">
        <f t="shared" si="16"/>
        <v>9030.6270183201814</v>
      </c>
      <c r="T42" s="13">
        <f t="shared" si="17"/>
        <v>6132</v>
      </c>
      <c r="U42" s="13">
        <f t="shared" si="18"/>
        <v>2898.6270183201814</v>
      </c>
      <c r="V42" s="14">
        <f t="shared" si="19"/>
        <v>0.32097738201786186</v>
      </c>
      <c r="W42" s="13">
        <f t="shared" si="20"/>
        <v>2649.3729816798182</v>
      </c>
      <c r="X42" s="14">
        <f t="shared" si="21"/>
        <v>0.22682987856847758</v>
      </c>
      <c r="Y42" s="12" t="str">
        <f>IF(AND(V42&lt;Inputs!$B$12,X42&gt;Inputs!$B$13),"Priority: margin + leakage",IF(V42&lt;Inputs!$B$12,"Margin review",IF(X42&gt;Inputs!$B$13,"Leakage review","Monitor")))</f>
        <v>Leakage review</v>
      </c>
      <c r="Z42" s="1"/>
    </row>
    <row r="43" spans="1:26" ht="20" customHeight="1">
      <c r="A43" s="15" t="s">
        <v>177</v>
      </c>
      <c r="B43" s="16">
        <v>45992</v>
      </c>
      <c r="C43" s="15" t="s">
        <v>160</v>
      </c>
      <c r="D43" s="15" t="s">
        <v>122</v>
      </c>
      <c r="E43" s="15" t="s">
        <v>132</v>
      </c>
      <c r="F43" s="15" t="s">
        <v>126</v>
      </c>
      <c r="G43" s="17">
        <v>25</v>
      </c>
      <c r="H43" s="18">
        <v>125</v>
      </c>
      <c r="I43" s="18">
        <v>78</v>
      </c>
      <c r="J43" s="19">
        <v>4.4490983601194606E-3</v>
      </c>
      <c r="K43" s="19">
        <v>4.6851962883272431E-2</v>
      </c>
      <c r="L43" s="19">
        <v>8.2457442801314867E-3</v>
      </c>
      <c r="M43" s="18">
        <v>153.70662699664015</v>
      </c>
      <c r="N43" s="13">
        <f t="shared" si="11"/>
        <v>118.61342346848006</v>
      </c>
      <c r="O43" s="13">
        <f t="shared" si="12"/>
        <v>3125</v>
      </c>
      <c r="P43" s="13">
        <f t="shared" si="13"/>
        <v>13.903432375373315</v>
      </c>
      <c r="Q43" s="13">
        <f t="shared" si="14"/>
        <v>145.76098091262526</v>
      </c>
      <c r="R43" s="13">
        <f t="shared" si="15"/>
        <v>25.767950875410897</v>
      </c>
      <c r="S43" s="13">
        <f t="shared" si="16"/>
        <v>2785.8610088399505</v>
      </c>
      <c r="T43" s="13">
        <f t="shared" si="17"/>
        <v>1950</v>
      </c>
      <c r="U43" s="13">
        <f t="shared" si="18"/>
        <v>835.8610088399505</v>
      </c>
      <c r="V43" s="14">
        <f t="shared" si="19"/>
        <v>0.3000368669462114</v>
      </c>
      <c r="W43" s="13">
        <f t="shared" si="20"/>
        <v>339.13899116004961</v>
      </c>
      <c r="X43" s="14">
        <f t="shared" si="21"/>
        <v>0.10852447717121588</v>
      </c>
      <c r="Y43" s="12" t="str">
        <f>IF(AND(V43&lt;Inputs!$B$12,X43&gt;Inputs!$B$13),"Priority: margin + leakage",IF(V43&lt;Inputs!$B$12,"Margin review",IF(X43&gt;Inputs!$B$13,"Leakage review","Monitor")))</f>
        <v>Monitor</v>
      </c>
      <c r="Z43" s="1"/>
    </row>
    <row r="44" spans="1:26" ht="20" customHeight="1">
      <c r="A44" s="15" t="s">
        <v>178</v>
      </c>
      <c r="B44" s="16">
        <v>45726</v>
      </c>
      <c r="C44" s="15" t="s">
        <v>141</v>
      </c>
      <c r="D44" s="15" t="s">
        <v>122</v>
      </c>
      <c r="E44" s="15" t="s">
        <v>151</v>
      </c>
      <c r="F44" s="15" t="s">
        <v>115</v>
      </c>
      <c r="G44" s="17">
        <v>90</v>
      </c>
      <c r="H44" s="18">
        <v>105</v>
      </c>
      <c r="I44" s="18">
        <v>58</v>
      </c>
      <c r="J44" s="19">
        <v>5.7082678164007999E-2</v>
      </c>
      <c r="K44" s="19">
        <v>1.5758130553023542E-2</v>
      </c>
      <c r="L44" s="19">
        <v>2.9637218336908792E-3</v>
      </c>
      <c r="M44" s="18">
        <v>0</v>
      </c>
      <c r="N44" s="13">
        <f t="shared" si="11"/>
        <v>97.446164295668268</v>
      </c>
      <c r="O44" s="13">
        <f t="shared" si="12"/>
        <v>9450</v>
      </c>
      <c r="P44" s="13">
        <f t="shared" si="13"/>
        <v>539.43130864987563</v>
      </c>
      <c r="Q44" s="13">
        <f t="shared" si="14"/>
        <v>140.41390473997942</v>
      </c>
      <c r="R44" s="13">
        <f t="shared" si="15"/>
        <v>28.00717132837881</v>
      </c>
      <c r="S44" s="13">
        <f t="shared" si="16"/>
        <v>8742.147615281765</v>
      </c>
      <c r="T44" s="13">
        <f t="shared" si="17"/>
        <v>5220</v>
      </c>
      <c r="U44" s="13">
        <f t="shared" si="18"/>
        <v>3522.147615281765</v>
      </c>
      <c r="V44" s="14">
        <f t="shared" si="19"/>
        <v>0.40289271816056427</v>
      </c>
      <c r="W44" s="13">
        <f t="shared" si="20"/>
        <v>707.85238471823391</v>
      </c>
      <c r="X44" s="14">
        <f t="shared" si="21"/>
        <v>7.4905014255897767E-2</v>
      </c>
      <c r="Y44" s="12" t="str">
        <f>IF(AND(V44&lt;Inputs!$B$12,X44&gt;Inputs!$B$13),"Priority: margin + leakage",IF(V44&lt;Inputs!$B$12,"Margin review",IF(X44&gt;Inputs!$B$13,"Leakage review","Monitor")))</f>
        <v>Monitor</v>
      </c>
      <c r="Z44" s="1"/>
    </row>
    <row r="45" spans="1:26" ht="20" customHeight="1">
      <c r="A45" s="15" t="s">
        <v>179</v>
      </c>
      <c r="B45" s="16">
        <v>45833</v>
      </c>
      <c r="C45" s="15" t="s">
        <v>175</v>
      </c>
      <c r="D45" s="15" t="s">
        <v>129</v>
      </c>
      <c r="E45" s="15" t="s">
        <v>114</v>
      </c>
      <c r="F45" s="15" t="s">
        <v>115</v>
      </c>
      <c r="G45" s="17">
        <v>118</v>
      </c>
      <c r="H45" s="18">
        <v>160</v>
      </c>
      <c r="I45" s="18">
        <v>84</v>
      </c>
      <c r="J45" s="19">
        <v>0.1097547784624499</v>
      </c>
      <c r="K45" s="19">
        <v>5.4769892199480821E-2</v>
      </c>
      <c r="L45" s="19">
        <v>2.156711954313504E-2</v>
      </c>
      <c r="M45" s="18">
        <v>241.43348664781368</v>
      </c>
      <c r="N45" s="13">
        <f t="shared" si="11"/>
        <v>134.63785387565369</v>
      </c>
      <c r="O45" s="13">
        <f t="shared" si="12"/>
        <v>18880</v>
      </c>
      <c r="P45" s="13">
        <f t="shared" si="13"/>
        <v>2072.1702173710542</v>
      </c>
      <c r="Q45" s="13">
        <f t="shared" si="14"/>
        <v>920.56302530181051</v>
      </c>
      <c r="R45" s="13">
        <f t="shared" si="15"/>
        <v>407.18721697438957</v>
      </c>
      <c r="S45" s="13">
        <f t="shared" si="16"/>
        <v>15238.646053704933</v>
      </c>
      <c r="T45" s="13">
        <f t="shared" si="17"/>
        <v>9912</v>
      </c>
      <c r="U45" s="13">
        <f t="shared" si="18"/>
        <v>5326.6460537049334</v>
      </c>
      <c r="V45" s="14">
        <f t="shared" si="19"/>
        <v>0.34954851204840992</v>
      </c>
      <c r="W45" s="13">
        <f t="shared" si="20"/>
        <v>3641.353946295068</v>
      </c>
      <c r="X45" s="14">
        <f t="shared" si="21"/>
        <v>0.19286832342664556</v>
      </c>
      <c r="Y45" s="12" t="str">
        <f>IF(AND(V45&lt;Inputs!$B$12,X45&gt;Inputs!$B$13),"Priority: margin + leakage",IF(V45&lt;Inputs!$B$12,"Margin review",IF(X45&gt;Inputs!$B$13,"Leakage review","Monitor")))</f>
        <v>Leakage review</v>
      </c>
      <c r="Z45" s="1"/>
    </row>
    <row r="46" spans="1:26" ht="20" customHeight="1">
      <c r="A46" s="15" t="s">
        <v>180</v>
      </c>
      <c r="B46" s="16">
        <v>45874</v>
      </c>
      <c r="C46" s="15" t="s">
        <v>153</v>
      </c>
      <c r="D46" s="15" t="s">
        <v>113</v>
      </c>
      <c r="E46" s="15" t="s">
        <v>132</v>
      </c>
      <c r="F46" s="15" t="s">
        <v>126</v>
      </c>
      <c r="G46" s="17">
        <v>69</v>
      </c>
      <c r="H46" s="18">
        <v>125</v>
      </c>
      <c r="I46" s="18">
        <v>78</v>
      </c>
      <c r="J46" s="19">
        <v>3.4199214817488041E-2</v>
      </c>
      <c r="K46" s="19">
        <v>3.8908151324644175E-2</v>
      </c>
      <c r="L46" s="19">
        <v>2.9497940651718988E-2</v>
      </c>
      <c r="M46" s="18">
        <v>30.509367564716072</v>
      </c>
      <c r="N46" s="13">
        <f t="shared" si="11"/>
        <v>116.02790776039632</v>
      </c>
      <c r="O46" s="13">
        <f t="shared" si="12"/>
        <v>8625</v>
      </c>
      <c r="P46" s="13">
        <f t="shared" si="13"/>
        <v>294.96822780083437</v>
      </c>
      <c r="Q46" s="13">
        <f t="shared" si="14"/>
        <v>324.10613673181899</v>
      </c>
      <c r="R46" s="13">
        <f t="shared" si="15"/>
        <v>254.41973812107628</v>
      </c>
      <c r="S46" s="13">
        <f t="shared" si="16"/>
        <v>7720.9965297815543</v>
      </c>
      <c r="T46" s="13">
        <f t="shared" si="17"/>
        <v>5382</v>
      </c>
      <c r="U46" s="13">
        <f t="shared" si="18"/>
        <v>2338.9965297815543</v>
      </c>
      <c r="V46" s="14">
        <f t="shared" si="19"/>
        <v>0.30293972037929801</v>
      </c>
      <c r="W46" s="13">
        <f t="shared" si="20"/>
        <v>904.00347021844573</v>
      </c>
      <c r="X46" s="14">
        <f t="shared" si="21"/>
        <v>0.10481199654706617</v>
      </c>
      <c r="Y46" s="12" t="str">
        <f>IF(AND(V46&lt;Inputs!$B$12,X46&gt;Inputs!$B$13),"Priority: margin + leakage",IF(V46&lt;Inputs!$B$12,"Margin review",IF(X46&gt;Inputs!$B$13,"Leakage review","Monitor")))</f>
        <v>Monitor</v>
      </c>
      <c r="Z46" s="1"/>
    </row>
    <row r="47" spans="1:26" ht="20" customHeight="1">
      <c r="A47" s="15" t="s">
        <v>181</v>
      </c>
      <c r="B47" s="16">
        <v>45884</v>
      </c>
      <c r="C47" s="15" t="s">
        <v>175</v>
      </c>
      <c r="D47" s="15" t="s">
        <v>129</v>
      </c>
      <c r="E47" s="15" t="s">
        <v>151</v>
      </c>
      <c r="F47" s="15" t="s">
        <v>115</v>
      </c>
      <c r="G47" s="17">
        <v>5</v>
      </c>
      <c r="H47" s="18">
        <v>105</v>
      </c>
      <c r="I47" s="18">
        <v>58</v>
      </c>
      <c r="J47" s="19">
        <v>6.5710603643552204E-2</v>
      </c>
      <c r="K47" s="19">
        <v>4.6455515297461877E-2</v>
      </c>
      <c r="L47" s="19">
        <v>3.5600582665927437E-2</v>
      </c>
      <c r="M47" s="18">
        <v>113.23580320722517</v>
      </c>
      <c r="N47" s="13">
        <f t="shared" si="11"/>
        <v>93.543082606234222</v>
      </c>
      <c r="O47" s="13">
        <f t="shared" si="12"/>
        <v>525</v>
      </c>
      <c r="P47" s="13">
        <f t="shared" si="13"/>
        <v>34.498066912864907</v>
      </c>
      <c r="Q47" s="13">
        <f t="shared" si="14"/>
        <v>22.786520055964026</v>
      </c>
      <c r="R47" s="13">
        <f t="shared" si="15"/>
        <v>18.690305899611904</v>
      </c>
      <c r="S47" s="13">
        <f t="shared" si="16"/>
        <v>335.78930392433404</v>
      </c>
      <c r="T47" s="13">
        <f t="shared" si="17"/>
        <v>290</v>
      </c>
      <c r="U47" s="13">
        <f t="shared" si="18"/>
        <v>45.789303924334035</v>
      </c>
      <c r="V47" s="14">
        <f t="shared" si="19"/>
        <v>0.13636319974817329</v>
      </c>
      <c r="W47" s="13">
        <f t="shared" si="20"/>
        <v>189.21069607566602</v>
      </c>
      <c r="X47" s="14">
        <f t="shared" si="21"/>
        <v>0.36040132585841145</v>
      </c>
      <c r="Y47" s="12" t="str">
        <f>IF(AND(V47&lt;Inputs!$B$12,X47&gt;Inputs!$B$13),"Priority: margin + leakage",IF(V47&lt;Inputs!$B$12,"Margin review",IF(X47&gt;Inputs!$B$13,"Leakage review","Monitor")))</f>
        <v>Priority: margin + leakage</v>
      </c>
      <c r="Z47" s="1"/>
    </row>
    <row r="48" spans="1:26" ht="20" customHeight="1">
      <c r="A48" s="15" t="s">
        <v>182</v>
      </c>
      <c r="B48" s="16">
        <v>45937</v>
      </c>
      <c r="C48" s="15" t="s">
        <v>141</v>
      </c>
      <c r="D48" s="15" t="s">
        <v>122</v>
      </c>
      <c r="E48" s="15" t="s">
        <v>118</v>
      </c>
      <c r="F48" s="15" t="s">
        <v>119</v>
      </c>
      <c r="G48" s="17">
        <v>76</v>
      </c>
      <c r="H48" s="18">
        <v>420</v>
      </c>
      <c r="I48" s="18">
        <v>180</v>
      </c>
      <c r="J48" s="19">
        <v>5.8818291390911499E-2</v>
      </c>
      <c r="K48" s="19">
        <v>3.5600418411311806E-2</v>
      </c>
      <c r="L48" s="19">
        <v>5.3917284813085345E-2</v>
      </c>
      <c r="M48" s="18">
        <v>0</v>
      </c>
      <c r="N48" s="13">
        <f t="shared" si="11"/>
        <v>381.22360331224326</v>
      </c>
      <c r="O48" s="13">
        <f t="shared" si="12"/>
        <v>31920</v>
      </c>
      <c r="P48" s="13">
        <f t="shared" si="13"/>
        <v>1877.4798611978952</v>
      </c>
      <c r="Q48" s="13">
        <f t="shared" si="14"/>
        <v>1069.5262870716163</v>
      </c>
      <c r="R48" s="13">
        <f t="shared" si="15"/>
        <v>1721.0397312336843</v>
      </c>
      <c r="S48" s="13">
        <f t="shared" si="16"/>
        <v>27251.954120496805</v>
      </c>
      <c r="T48" s="13">
        <f t="shared" si="17"/>
        <v>13680</v>
      </c>
      <c r="U48" s="13">
        <f t="shared" si="18"/>
        <v>13571.954120496805</v>
      </c>
      <c r="V48" s="14">
        <f t="shared" si="19"/>
        <v>0.49801764895417294</v>
      </c>
      <c r="W48" s="13">
        <f t="shared" si="20"/>
        <v>4668.0458795031955</v>
      </c>
      <c r="X48" s="14">
        <f t="shared" si="21"/>
        <v>0.14624203883155373</v>
      </c>
      <c r="Y48" s="12" t="str">
        <f>IF(AND(V48&lt;Inputs!$B$12,X48&gt;Inputs!$B$13),"Priority: margin + leakage",IF(V48&lt;Inputs!$B$12,"Margin review",IF(X48&gt;Inputs!$B$13,"Leakage review","Monitor")))</f>
        <v>Leakage review</v>
      </c>
      <c r="Z48" s="1"/>
    </row>
    <row r="49" spans="1:26" ht="20" customHeight="1">
      <c r="A49" s="15" t="s">
        <v>183</v>
      </c>
      <c r="B49" s="16">
        <v>45678</v>
      </c>
      <c r="C49" s="15" t="s">
        <v>164</v>
      </c>
      <c r="D49" s="15" t="s">
        <v>113</v>
      </c>
      <c r="E49" s="15" t="s">
        <v>125</v>
      </c>
      <c r="F49" s="15" t="s">
        <v>126</v>
      </c>
      <c r="G49" s="17">
        <v>79</v>
      </c>
      <c r="H49" s="18">
        <v>260</v>
      </c>
      <c r="I49" s="18">
        <v>165</v>
      </c>
      <c r="J49" s="19">
        <v>7.4903852924512654E-2</v>
      </c>
      <c r="K49" s="19">
        <v>2.6412657006611558E-2</v>
      </c>
      <c r="L49" s="19">
        <v>4.1555419188156459E-2</v>
      </c>
      <c r="M49" s="18">
        <v>54.897997189353525</v>
      </c>
      <c r="N49" s="13">
        <f t="shared" si="11"/>
        <v>234.17209395960759</v>
      </c>
      <c r="O49" s="13">
        <f t="shared" si="12"/>
        <v>20540</v>
      </c>
      <c r="P49" s="13">
        <f t="shared" si="13"/>
        <v>1538.52513906949</v>
      </c>
      <c r="Q49" s="13">
        <f t="shared" si="14"/>
        <v>501.87943812150962</v>
      </c>
      <c r="R49" s="13">
        <f t="shared" si="15"/>
        <v>853.54831012473369</v>
      </c>
      <c r="S49" s="13">
        <f t="shared" si="16"/>
        <v>17591.149115494914</v>
      </c>
      <c r="T49" s="13">
        <f t="shared" si="17"/>
        <v>13035</v>
      </c>
      <c r="U49" s="13">
        <f t="shared" si="18"/>
        <v>4556.1491154949144</v>
      </c>
      <c r="V49" s="14">
        <f t="shared" si="19"/>
        <v>0.25900235883292555</v>
      </c>
      <c r="W49" s="13">
        <f t="shared" si="20"/>
        <v>2948.8508845050869</v>
      </c>
      <c r="X49" s="14">
        <f t="shared" si="21"/>
        <v>0.14356625533130901</v>
      </c>
      <c r="Y49" s="12" t="str">
        <f>IF(AND(V49&lt;Inputs!$B$12,X49&gt;Inputs!$B$13),"Priority: margin + leakage",IF(V49&lt;Inputs!$B$12,"Margin review",IF(X49&gt;Inputs!$B$13,"Leakage review","Monitor")))</f>
        <v>Priority: margin + leakage</v>
      </c>
      <c r="Z49" s="1"/>
    </row>
    <row r="50" spans="1:26" ht="20" customHeight="1">
      <c r="A50" s="15" t="s">
        <v>184</v>
      </c>
      <c r="B50" s="16">
        <v>45866</v>
      </c>
      <c r="C50" s="15" t="s">
        <v>160</v>
      </c>
      <c r="D50" s="15" t="s">
        <v>122</v>
      </c>
      <c r="E50" s="15" t="s">
        <v>135</v>
      </c>
      <c r="F50" s="15" t="s">
        <v>136</v>
      </c>
      <c r="G50" s="17">
        <v>92</v>
      </c>
      <c r="H50" s="18">
        <v>310</v>
      </c>
      <c r="I50" s="18">
        <v>142</v>
      </c>
      <c r="J50" s="19">
        <v>4.5048167553570564E-2</v>
      </c>
      <c r="K50" s="19">
        <v>4.6644119772854584E-2</v>
      </c>
      <c r="L50" s="19">
        <v>3.2029588011607761E-2</v>
      </c>
      <c r="M50" s="18">
        <v>0</v>
      </c>
      <c r="N50" s="13">
        <f t="shared" si="11"/>
        <v>282.22677288691227</v>
      </c>
      <c r="O50" s="13">
        <f t="shared" si="12"/>
        <v>28520</v>
      </c>
      <c r="P50" s="13">
        <f t="shared" si="13"/>
        <v>1284.7737386278325</v>
      </c>
      <c r="Q50" s="13">
        <f t="shared" si="14"/>
        <v>1270.363155776238</v>
      </c>
      <c r="R50" s="13">
        <f t="shared" si="15"/>
        <v>913.48385009105334</v>
      </c>
      <c r="S50" s="13">
        <f t="shared" si="16"/>
        <v>25051.379255504879</v>
      </c>
      <c r="T50" s="13">
        <f t="shared" si="17"/>
        <v>13064</v>
      </c>
      <c r="U50" s="13">
        <f t="shared" si="18"/>
        <v>11987.379255504879</v>
      </c>
      <c r="V50" s="14">
        <f t="shared" si="19"/>
        <v>0.47851174712748518</v>
      </c>
      <c r="W50" s="13">
        <f t="shared" si="20"/>
        <v>3468.6207444951237</v>
      </c>
      <c r="X50" s="14">
        <f t="shared" si="21"/>
        <v>0.12162064321511654</v>
      </c>
      <c r="Y50" s="12" t="str">
        <f>IF(AND(V50&lt;Inputs!$B$12,X50&gt;Inputs!$B$13),"Priority: margin + leakage",IF(V50&lt;Inputs!$B$12,"Margin review",IF(X50&gt;Inputs!$B$13,"Leakage review","Monitor")))</f>
        <v>Leakage review</v>
      </c>
      <c r="Z50" s="1"/>
    </row>
    <row r="51" spans="1:26" ht="20" customHeight="1">
      <c r="A51" s="15" t="s">
        <v>185</v>
      </c>
      <c r="B51" s="16">
        <v>45670</v>
      </c>
      <c r="C51" s="15" t="s">
        <v>158</v>
      </c>
      <c r="D51" s="15" t="s">
        <v>129</v>
      </c>
      <c r="E51" s="15" t="s">
        <v>147</v>
      </c>
      <c r="F51" s="15" t="s">
        <v>136</v>
      </c>
      <c r="G51" s="17">
        <v>35</v>
      </c>
      <c r="H51" s="18">
        <v>220</v>
      </c>
      <c r="I51" s="18">
        <v>98</v>
      </c>
      <c r="J51" s="19">
        <v>0.13811088835285867</v>
      </c>
      <c r="K51" s="19">
        <v>0</v>
      </c>
      <c r="L51" s="19">
        <v>3.8850678176856113E-2</v>
      </c>
      <c r="M51" s="18">
        <v>0</v>
      </c>
      <c r="N51" s="13">
        <f t="shared" si="11"/>
        <v>189.61560456237109</v>
      </c>
      <c r="O51" s="13">
        <f t="shared" si="12"/>
        <v>7700</v>
      </c>
      <c r="P51" s="13">
        <f t="shared" si="13"/>
        <v>1063.4538403170118</v>
      </c>
      <c r="Q51" s="13">
        <f t="shared" si="14"/>
        <v>0</v>
      </c>
      <c r="R51" s="13">
        <f t="shared" si="15"/>
        <v>299.15022196179206</v>
      </c>
      <c r="S51" s="13">
        <f t="shared" si="16"/>
        <v>6337.3959377211959</v>
      </c>
      <c r="T51" s="13">
        <f t="shared" si="17"/>
        <v>3430</v>
      </c>
      <c r="U51" s="13">
        <f t="shared" si="18"/>
        <v>2907.3959377211959</v>
      </c>
      <c r="V51" s="14">
        <f t="shared" si="19"/>
        <v>0.45876823324481109</v>
      </c>
      <c r="W51" s="13">
        <f t="shared" si="20"/>
        <v>1362.6040622788039</v>
      </c>
      <c r="X51" s="14">
        <f t="shared" si="21"/>
        <v>0.17696156652971479</v>
      </c>
      <c r="Y51" s="12" t="str">
        <f>IF(AND(V51&lt;Inputs!$B$12,X51&gt;Inputs!$B$13),"Priority: margin + leakage",IF(V51&lt;Inputs!$B$12,"Margin review",IF(X51&gt;Inputs!$B$13,"Leakage review","Monitor")))</f>
        <v>Leakage review</v>
      </c>
      <c r="Z51" s="1"/>
    </row>
    <row r="52" spans="1:26" ht="20" customHeight="1">
      <c r="A52" s="15" t="s">
        <v>186</v>
      </c>
      <c r="B52" s="16">
        <v>45794</v>
      </c>
      <c r="C52" s="15" t="s">
        <v>150</v>
      </c>
      <c r="D52" s="15" t="s">
        <v>129</v>
      </c>
      <c r="E52" s="15" t="s">
        <v>125</v>
      </c>
      <c r="F52" s="15" t="s">
        <v>126</v>
      </c>
      <c r="G52" s="17">
        <v>105</v>
      </c>
      <c r="H52" s="18">
        <v>260</v>
      </c>
      <c r="I52" s="18">
        <v>165</v>
      </c>
      <c r="J52" s="19">
        <v>0.13215279472421396</v>
      </c>
      <c r="K52" s="19">
        <v>1.6044957323970387E-2</v>
      </c>
      <c r="L52" s="19">
        <v>4.6574727922215162E-2</v>
      </c>
      <c r="M52" s="18">
        <v>0</v>
      </c>
      <c r="N52" s="13">
        <f t="shared" si="11"/>
        <v>222.01988481488638</v>
      </c>
      <c r="O52" s="13">
        <f t="shared" si="12"/>
        <v>27300</v>
      </c>
      <c r="P52" s="13">
        <f t="shared" si="13"/>
        <v>3607.7712959710411</v>
      </c>
      <c r="Q52" s="13">
        <f t="shared" si="14"/>
        <v>380.1407984658909</v>
      </c>
      <c r="R52" s="13">
        <f t="shared" si="15"/>
        <v>1271.4900722764739</v>
      </c>
      <c r="S52" s="13">
        <f t="shared" si="16"/>
        <v>22040.597833286596</v>
      </c>
      <c r="T52" s="13">
        <f t="shared" si="17"/>
        <v>17325</v>
      </c>
      <c r="U52" s="13">
        <f t="shared" si="18"/>
        <v>4715.5978332865961</v>
      </c>
      <c r="V52" s="14">
        <f t="shared" si="19"/>
        <v>0.21395054113118978</v>
      </c>
      <c r="W52" s="13">
        <f t="shared" si="20"/>
        <v>5259.4021667134057</v>
      </c>
      <c r="X52" s="14">
        <f t="shared" si="21"/>
        <v>0.19265209401880606</v>
      </c>
      <c r="Y52" s="12" t="str">
        <f>IF(AND(V52&lt;Inputs!$B$12,X52&gt;Inputs!$B$13),"Priority: margin + leakage",IF(V52&lt;Inputs!$B$12,"Margin review",IF(X52&gt;Inputs!$B$13,"Leakage review","Monitor")))</f>
        <v>Priority: margin + leakage</v>
      </c>
      <c r="Z52" s="1"/>
    </row>
    <row r="53" spans="1:26" ht="20" customHeight="1">
      <c r="A53" s="15" t="s">
        <v>187</v>
      </c>
      <c r="B53" s="16">
        <v>45893</v>
      </c>
      <c r="C53" s="15" t="s">
        <v>150</v>
      </c>
      <c r="D53" s="15" t="s">
        <v>129</v>
      </c>
      <c r="E53" s="15" t="s">
        <v>114</v>
      </c>
      <c r="F53" s="15" t="s">
        <v>115</v>
      </c>
      <c r="G53" s="17">
        <v>53</v>
      </c>
      <c r="H53" s="18">
        <v>160</v>
      </c>
      <c r="I53" s="18">
        <v>84</v>
      </c>
      <c r="J53" s="19">
        <v>0.12307228601940291</v>
      </c>
      <c r="K53" s="19">
        <v>0</v>
      </c>
      <c r="L53" s="19">
        <v>3.0713293028705495E-2</v>
      </c>
      <c r="M53" s="18">
        <v>283.27695065399791</v>
      </c>
      <c r="N53" s="13">
        <f t="shared" si="11"/>
        <v>140.30843423689555</v>
      </c>
      <c r="O53" s="13">
        <f t="shared" si="12"/>
        <v>8480</v>
      </c>
      <c r="P53" s="13">
        <f t="shared" si="13"/>
        <v>1043.6529854445366</v>
      </c>
      <c r="Q53" s="13">
        <f t="shared" si="14"/>
        <v>0</v>
      </c>
      <c r="R53" s="13">
        <f t="shared" si="15"/>
        <v>260.44872488342259</v>
      </c>
      <c r="S53" s="13">
        <f t="shared" si="16"/>
        <v>6892.6213390180428</v>
      </c>
      <c r="T53" s="13">
        <f t="shared" si="17"/>
        <v>4452</v>
      </c>
      <c r="U53" s="13">
        <f t="shared" si="18"/>
        <v>2440.6213390180428</v>
      </c>
      <c r="V53" s="14">
        <f t="shared" si="19"/>
        <v>0.35409189319628953</v>
      </c>
      <c r="W53" s="13">
        <f t="shared" si="20"/>
        <v>1587.3786609819572</v>
      </c>
      <c r="X53" s="14">
        <f t="shared" si="21"/>
        <v>0.18719087983277796</v>
      </c>
      <c r="Y53" s="12" t="str">
        <f>IF(AND(V53&lt;Inputs!$B$12,X53&gt;Inputs!$B$13),"Priority: margin + leakage",IF(V53&lt;Inputs!$B$12,"Margin review",IF(X53&gt;Inputs!$B$13,"Leakage review","Monitor")))</f>
        <v>Leakage review</v>
      </c>
      <c r="Z53" s="1"/>
    </row>
    <row r="54" spans="1:26" ht="20" customHeight="1">
      <c r="A54" s="15" t="s">
        <v>188</v>
      </c>
      <c r="B54" s="16">
        <v>45826</v>
      </c>
      <c r="C54" s="15" t="s">
        <v>160</v>
      </c>
      <c r="D54" s="15" t="s">
        <v>122</v>
      </c>
      <c r="E54" s="15" t="s">
        <v>132</v>
      </c>
      <c r="F54" s="15" t="s">
        <v>126</v>
      </c>
      <c r="G54" s="17">
        <v>110</v>
      </c>
      <c r="H54" s="18">
        <v>125</v>
      </c>
      <c r="I54" s="18">
        <v>78</v>
      </c>
      <c r="J54" s="19">
        <v>5.2070057433252701E-2</v>
      </c>
      <c r="K54" s="19">
        <v>1.7757445278035303E-2</v>
      </c>
      <c r="L54" s="19">
        <v>3.6662085209774549E-2</v>
      </c>
      <c r="M54" s="18">
        <v>48.88201127239585</v>
      </c>
      <c r="N54" s="13">
        <f t="shared" si="11"/>
        <v>116.38714106052588</v>
      </c>
      <c r="O54" s="13">
        <f t="shared" si="12"/>
        <v>13750</v>
      </c>
      <c r="P54" s="13">
        <f t="shared" si="13"/>
        <v>715.96328970722459</v>
      </c>
      <c r="Q54" s="13">
        <f t="shared" si="14"/>
        <v>231.45119363492725</v>
      </c>
      <c r="R54" s="13">
        <f t="shared" si="15"/>
        <v>504.10367163440003</v>
      </c>
      <c r="S54" s="13">
        <f t="shared" si="16"/>
        <v>12249.59983375105</v>
      </c>
      <c r="T54" s="13">
        <f t="shared" si="17"/>
        <v>8580</v>
      </c>
      <c r="U54" s="13">
        <f t="shared" si="18"/>
        <v>3669.59983375105</v>
      </c>
      <c r="V54" s="14">
        <f t="shared" si="19"/>
        <v>0.29956895601114114</v>
      </c>
      <c r="W54" s="13">
        <f t="shared" si="20"/>
        <v>1500.4001662489477</v>
      </c>
      <c r="X54" s="14">
        <f t="shared" si="21"/>
        <v>0.10912001209083257</v>
      </c>
      <c r="Y54" s="12" t="str">
        <f>IF(AND(V54&lt;Inputs!$B$12,X54&gt;Inputs!$B$13),"Priority: margin + leakage",IF(V54&lt;Inputs!$B$12,"Margin review",IF(X54&gt;Inputs!$B$13,"Leakage review","Monitor")))</f>
        <v>Margin review</v>
      </c>
      <c r="Z54" s="1"/>
    </row>
    <row r="55" spans="1:26" ht="20" customHeight="1">
      <c r="A55" s="15" t="s">
        <v>189</v>
      </c>
      <c r="B55" s="16">
        <v>45932</v>
      </c>
      <c r="C55" s="15" t="s">
        <v>175</v>
      </c>
      <c r="D55" s="15" t="s">
        <v>129</v>
      </c>
      <c r="E55" s="15" t="s">
        <v>114</v>
      </c>
      <c r="F55" s="15" t="s">
        <v>115</v>
      </c>
      <c r="G55" s="17">
        <v>103</v>
      </c>
      <c r="H55" s="18">
        <v>160</v>
      </c>
      <c r="I55" s="18">
        <v>84</v>
      </c>
      <c r="J55" s="19">
        <v>6.5877197569817289E-2</v>
      </c>
      <c r="K55" s="19">
        <v>7.0210191709940598E-2</v>
      </c>
      <c r="L55" s="19">
        <v>0</v>
      </c>
      <c r="M55" s="18">
        <v>269.50091329166571</v>
      </c>
      <c r="N55" s="13">
        <f t="shared" si="11"/>
        <v>138.96605782254923</v>
      </c>
      <c r="O55" s="13">
        <f t="shared" si="12"/>
        <v>16480</v>
      </c>
      <c r="P55" s="13">
        <f t="shared" si="13"/>
        <v>1085.6562159505888</v>
      </c>
      <c r="Q55" s="13">
        <f t="shared" si="14"/>
        <v>1080.8398283268416</v>
      </c>
      <c r="R55" s="13">
        <f t="shared" si="15"/>
        <v>0</v>
      </c>
      <c r="S55" s="13">
        <f t="shared" si="16"/>
        <v>14044.003042430904</v>
      </c>
      <c r="T55" s="13">
        <f t="shared" si="17"/>
        <v>8652</v>
      </c>
      <c r="U55" s="13">
        <f t="shared" si="18"/>
        <v>5392.0030424309043</v>
      </c>
      <c r="V55" s="14">
        <f t="shared" si="19"/>
        <v>0.38393633397401999</v>
      </c>
      <c r="W55" s="13">
        <f t="shared" si="20"/>
        <v>2435.9969575690961</v>
      </c>
      <c r="X55" s="14">
        <f t="shared" si="21"/>
        <v>0.14781534936705681</v>
      </c>
      <c r="Y55" s="12" t="str">
        <f>IF(AND(V55&lt;Inputs!$B$12,X55&gt;Inputs!$B$13),"Priority: margin + leakage",IF(V55&lt;Inputs!$B$12,"Margin review",IF(X55&gt;Inputs!$B$13,"Leakage review","Monitor")))</f>
        <v>Leakage review</v>
      </c>
      <c r="Z55" s="1"/>
    </row>
    <row r="56" spans="1:26" ht="20" customHeight="1">
      <c r="A56" s="15" t="s">
        <v>190</v>
      </c>
      <c r="B56" s="16">
        <v>45677</v>
      </c>
      <c r="C56" s="15" t="s">
        <v>160</v>
      </c>
      <c r="D56" s="15" t="s">
        <v>122</v>
      </c>
      <c r="E56" s="15" t="s">
        <v>151</v>
      </c>
      <c r="F56" s="15" t="s">
        <v>115</v>
      </c>
      <c r="G56" s="17">
        <v>19</v>
      </c>
      <c r="H56" s="18">
        <v>105</v>
      </c>
      <c r="I56" s="18">
        <v>58</v>
      </c>
      <c r="J56" s="19">
        <v>6.4502971992578803E-2</v>
      </c>
      <c r="K56" s="19">
        <v>2.1421653019479299E-2</v>
      </c>
      <c r="L56" s="19">
        <v>0</v>
      </c>
      <c r="M56" s="18">
        <v>0</v>
      </c>
      <c r="N56" s="13">
        <f t="shared" si="11"/>
        <v>96.122999203632673</v>
      </c>
      <c r="O56" s="13">
        <f t="shared" si="12"/>
        <v>1995</v>
      </c>
      <c r="P56" s="13">
        <f t="shared" si="13"/>
        <v>128.68342912519472</v>
      </c>
      <c r="Q56" s="13">
        <f t="shared" si="14"/>
        <v>39.979586005784519</v>
      </c>
      <c r="R56" s="13">
        <f t="shared" si="15"/>
        <v>0</v>
      </c>
      <c r="S56" s="13">
        <f t="shared" si="16"/>
        <v>1826.3369848690209</v>
      </c>
      <c r="T56" s="13">
        <f t="shared" si="17"/>
        <v>1102</v>
      </c>
      <c r="U56" s="13">
        <f t="shared" si="18"/>
        <v>724.33698486902085</v>
      </c>
      <c r="V56" s="14">
        <f t="shared" si="19"/>
        <v>0.39660642634413279</v>
      </c>
      <c r="W56" s="13">
        <f t="shared" si="20"/>
        <v>168.66301513097923</v>
      </c>
      <c r="X56" s="14">
        <f t="shared" si="21"/>
        <v>8.454286472730789E-2</v>
      </c>
      <c r="Y56" s="12" t="str">
        <f>IF(AND(V56&lt;Inputs!$B$12,X56&gt;Inputs!$B$13),"Priority: margin + leakage",IF(V56&lt;Inputs!$B$12,"Margin review",IF(X56&gt;Inputs!$B$13,"Leakage review","Monitor")))</f>
        <v>Monitor</v>
      </c>
      <c r="Z56" s="1"/>
    </row>
    <row r="57" spans="1:26" ht="20" customHeight="1">
      <c r="A57" s="15" t="s">
        <v>191</v>
      </c>
      <c r="B57" s="16">
        <v>45855</v>
      </c>
      <c r="C57" s="15" t="s">
        <v>117</v>
      </c>
      <c r="D57" s="15" t="s">
        <v>113</v>
      </c>
      <c r="E57" s="15" t="s">
        <v>118</v>
      </c>
      <c r="F57" s="15" t="s">
        <v>119</v>
      </c>
      <c r="G57" s="17">
        <v>49</v>
      </c>
      <c r="H57" s="18">
        <v>420</v>
      </c>
      <c r="I57" s="18">
        <v>180</v>
      </c>
      <c r="J57" s="19">
        <v>0.10591865697685868</v>
      </c>
      <c r="K57" s="19">
        <v>1.3505568989335321E-2</v>
      </c>
      <c r="L57" s="19">
        <v>8.0778401702115039E-3</v>
      </c>
      <c r="M57" s="18">
        <v>53.333686187330684</v>
      </c>
      <c r="N57" s="13">
        <f t="shared" si="11"/>
        <v>370.44263162040318</v>
      </c>
      <c r="O57" s="13">
        <f t="shared" si="12"/>
        <v>20580</v>
      </c>
      <c r="P57" s="13">
        <f t="shared" si="13"/>
        <v>2179.8059605837516</v>
      </c>
      <c r="Q57" s="13">
        <f t="shared" si="14"/>
        <v>248.50509001649269</v>
      </c>
      <c r="R57" s="13">
        <f t="shared" si="15"/>
        <v>166.24195070295275</v>
      </c>
      <c r="S57" s="13">
        <f t="shared" si="16"/>
        <v>17932.113312509471</v>
      </c>
      <c r="T57" s="13">
        <f t="shared" si="17"/>
        <v>8820</v>
      </c>
      <c r="U57" s="13">
        <f t="shared" si="18"/>
        <v>9112.1133125094711</v>
      </c>
      <c r="V57" s="14">
        <f t="shared" si="19"/>
        <v>0.50814497732137609</v>
      </c>
      <c r="W57" s="13">
        <f t="shared" si="20"/>
        <v>2647.8866874905279</v>
      </c>
      <c r="X57" s="14">
        <f t="shared" si="21"/>
        <v>0.12866310434842215</v>
      </c>
      <c r="Y57" s="12" t="str">
        <f>IF(AND(V57&lt;Inputs!$B$12,X57&gt;Inputs!$B$13),"Priority: margin + leakage",IF(V57&lt;Inputs!$B$12,"Margin review",IF(X57&gt;Inputs!$B$13,"Leakage review","Monitor")))</f>
        <v>Leakage review</v>
      </c>
      <c r="Z57" s="1"/>
    </row>
    <row r="58" spans="1:26" ht="20" customHeight="1">
      <c r="A58" s="15" t="s">
        <v>192</v>
      </c>
      <c r="B58" s="16">
        <v>46009</v>
      </c>
      <c r="C58" s="15" t="s">
        <v>158</v>
      </c>
      <c r="D58" s="15" t="s">
        <v>129</v>
      </c>
      <c r="E58" s="15" t="s">
        <v>135</v>
      </c>
      <c r="F58" s="15" t="s">
        <v>136</v>
      </c>
      <c r="G58" s="17">
        <v>37</v>
      </c>
      <c r="H58" s="18">
        <v>310</v>
      </c>
      <c r="I58" s="18">
        <v>142</v>
      </c>
      <c r="J58" s="19">
        <v>0.11101410336074102</v>
      </c>
      <c r="K58" s="19">
        <v>4.2366212672336465E-2</v>
      </c>
      <c r="L58" s="19">
        <v>0</v>
      </c>
      <c r="M58" s="18">
        <v>99.636287277531849</v>
      </c>
      <c r="N58" s="13">
        <f t="shared" si="11"/>
        <v>263.91010863465505</v>
      </c>
      <c r="O58" s="13">
        <f t="shared" si="12"/>
        <v>11470</v>
      </c>
      <c r="P58" s="13">
        <f t="shared" si="13"/>
        <v>1273.3317655476994</v>
      </c>
      <c r="Q58" s="13">
        <f t="shared" si="14"/>
        <v>431.99421497006369</v>
      </c>
      <c r="R58" s="13">
        <f t="shared" si="15"/>
        <v>0</v>
      </c>
      <c r="S58" s="13">
        <f t="shared" si="16"/>
        <v>9665.0377322047043</v>
      </c>
      <c r="T58" s="13">
        <f t="shared" si="17"/>
        <v>5254</v>
      </c>
      <c r="U58" s="13">
        <f t="shared" si="18"/>
        <v>4411.0377322047043</v>
      </c>
      <c r="V58" s="14">
        <f t="shared" si="19"/>
        <v>0.45639115484327208</v>
      </c>
      <c r="W58" s="13">
        <f t="shared" si="20"/>
        <v>1804.962267795295</v>
      </c>
      <c r="X58" s="14">
        <f t="shared" si="21"/>
        <v>0.15736375482086268</v>
      </c>
      <c r="Y58" s="12" t="str">
        <f>IF(AND(V58&lt;Inputs!$B$12,X58&gt;Inputs!$B$13),"Priority: margin + leakage",IF(V58&lt;Inputs!$B$12,"Margin review",IF(X58&gt;Inputs!$B$13,"Leakage review","Monitor")))</f>
        <v>Leakage review</v>
      </c>
      <c r="Z58" s="1"/>
    </row>
    <row r="59" spans="1:26" ht="20" customHeight="1">
      <c r="A59" s="15" t="s">
        <v>193</v>
      </c>
      <c r="B59" s="16">
        <v>45997</v>
      </c>
      <c r="C59" s="15" t="s">
        <v>121</v>
      </c>
      <c r="D59" s="15" t="s">
        <v>122</v>
      </c>
      <c r="E59" s="15" t="s">
        <v>135</v>
      </c>
      <c r="F59" s="15" t="s">
        <v>136</v>
      </c>
      <c r="G59" s="17">
        <v>51</v>
      </c>
      <c r="H59" s="18">
        <v>310</v>
      </c>
      <c r="I59" s="18">
        <v>142</v>
      </c>
      <c r="J59" s="19">
        <v>0</v>
      </c>
      <c r="K59" s="19">
        <v>6.0507472518751979E-2</v>
      </c>
      <c r="L59" s="19">
        <v>4.7095358032971782E-2</v>
      </c>
      <c r="M59" s="18">
        <v>59.959831881170913</v>
      </c>
      <c r="N59" s="13">
        <f t="shared" si="11"/>
        <v>291.24268351918687</v>
      </c>
      <c r="O59" s="13">
        <f t="shared" si="12"/>
        <v>15810</v>
      </c>
      <c r="P59" s="13">
        <f t="shared" si="13"/>
        <v>0</v>
      </c>
      <c r="Q59" s="13">
        <f t="shared" si="14"/>
        <v>956.62314052146883</v>
      </c>
      <c r="R59" s="13">
        <f t="shared" si="15"/>
        <v>744.57761050128386</v>
      </c>
      <c r="S59" s="13">
        <f t="shared" si="16"/>
        <v>14048.839417096075</v>
      </c>
      <c r="T59" s="13">
        <f t="shared" si="17"/>
        <v>7242</v>
      </c>
      <c r="U59" s="13">
        <f t="shared" si="18"/>
        <v>6806.8394170960746</v>
      </c>
      <c r="V59" s="14">
        <f t="shared" si="19"/>
        <v>0.48451257894035088</v>
      </c>
      <c r="W59" s="13">
        <f t="shared" si="20"/>
        <v>1761.1605829039236</v>
      </c>
      <c r="X59" s="14">
        <f t="shared" si="21"/>
        <v>0.1113953562874082</v>
      </c>
      <c r="Y59" s="12" t="str">
        <f>IF(AND(V59&lt;Inputs!$B$12,X59&gt;Inputs!$B$13),"Priority: margin + leakage",IF(V59&lt;Inputs!$B$12,"Margin review",IF(X59&gt;Inputs!$B$13,"Leakage review","Monitor")))</f>
        <v>Monitor</v>
      </c>
      <c r="Z59" s="1"/>
    </row>
    <row r="60" spans="1:26" ht="20" customHeight="1">
      <c r="A60" s="15" t="s">
        <v>194</v>
      </c>
      <c r="B60" s="16">
        <v>45723</v>
      </c>
      <c r="C60" s="15" t="s">
        <v>117</v>
      </c>
      <c r="D60" s="15" t="s">
        <v>113</v>
      </c>
      <c r="E60" s="15" t="s">
        <v>132</v>
      </c>
      <c r="F60" s="15" t="s">
        <v>126</v>
      </c>
      <c r="G60" s="17">
        <v>69</v>
      </c>
      <c r="H60" s="18">
        <v>125</v>
      </c>
      <c r="I60" s="18">
        <v>78</v>
      </c>
      <c r="J60" s="19">
        <v>9.6948556325670607E-2</v>
      </c>
      <c r="K60" s="19">
        <v>5.8858592701134249E-2</v>
      </c>
      <c r="L60" s="19">
        <v>1.2675615207233966E-2</v>
      </c>
      <c r="M60" s="18">
        <v>64.273892373273156</v>
      </c>
      <c r="N60" s="13">
        <f t="shared" si="11"/>
        <v>106.23738832036635</v>
      </c>
      <c r="O60" s="13">
        <f t="shared" si="12"/>
        <v>8625</v>
      </c>
      <c r="P60" s="13">
        <f t="shared" si="13"/>
        <v>836.18129830890894</v>
      </c>
      <c r="Q60" s="13">
        <f t="shared" si="14"/>
        <v>458.43890758581318</v>
      </c>
      <c r="R60" s="13">
        <f t="shared" si="15"/>
        <v>109.32718116239295</v>
      </c>
      <c r="S60" s="13">
        <f t="shared" si="16"/>
        <v>7156.7787205696122</v>
      </c>
      <c r="T60" s="13">
        <f t="shared" si="17"/>
        <v>5382</v>
      </c>
      <c r="U60" s="13">
        <f t="shared" si="18"/>
        <v>1774.7787205696122</v>
      </c>
      <c r="V60" s="14">
        <f t="shared" si="19"/>
        <v>0.24798569158896064</v>
      </c>
      <c r="W60" s="13">
        <f t="shared" si="20"/>
        <v>1468.2212794303882</v>
      </c>
      <c r="X60" s="14">
        <f t="shared" si="21"/>
        <v>0.17022855413685661</v>
      </c>
      <c r="Y60" s="12" t="str">
        <f>IF(AND(V60&lt;Inputs!$B$12,X60&gt;Inputs!$B$13),"Priority: margin + leakage",IF(V60&lt;Inputs!$B$12,"Margin review",IF(X60&gt;Inputs!$B$13,"Leakage review","Monitor")))</f>
        <v>Priority: margin + leakage</v>
      </c>
      <c r="Z60" s="1"/>
    </row>
    <row r="61" spans="1:26" ht="20" customHeight="1">
      <c r="A61" s="15" t="s">
        <v>195</v>
      </c>
      <c r="B61" s="16">
        <v>45812</v>
      </c>
      <c r="C61" s="15" t="s">
        <v>153</v>
      </c>
      <c r="D61" s="15" t="s">
        <v>113</v>
      </c>
      <c r="E61" s="15" t="s">
        <v>118</v>
      </c>
      <c r="F61" s="15" t="s">
        <v>119</v>
      </c>
      <c r="G61" s="17">
        <v>90</v>
      </c>
      <c r="H61" s="18">
        <v>420</v>
      </c>
      <c r="I61" s="18">
        <v>180</v>
      </c>
      <c r="J61" s="19">
        <v>0.15898931349188278</v>
      </c>
      <c r="K61" s="19">
        <v>2.1237950509089804E-2</v>
      </c>
      <c r="L61" s="19">
        <v>4.5389191519275951E-2</v>
      </c>
      <c r="M61" s="18">
        <v>48.643176016976753</v>
      </c>
      <c r="N61" s="13">
        <f t="shared" si="11"/>
        <v>345.72272413158578</v>
      </c>
      <c r="O61" s="13">
        <f t="shared" si="12"/>
        <v>37800</v>
      </c>
      <c r="P61" s="13">
        <f t="shared" si="13"/>
        <v>6009.7960499931687</v>
      </c>
      <c r="Q61" s="13">
        <f t="shared" si="14"/>
        <v>675.15877816411626</v>
      </c>
      <c r="R61" s="13">
        <f t="shared" si="15"/>
        <v>1715.7114394286309</v>
      </c>
      <c r="S61" s="13">
        <f t="shared" si="16"/>
        <v>29350.690556397112</v>
      </c>
      <c r="T61" s="13">
        <f t="shared" si="17"/>
        <v>16200</v>
      </c>
      <c r="U61" s="13">
        <f t="shared" si="18"/>
        <v>13150.690556397112</v>
      </c>
      <c r="V61" s="14">
        <f t="shared" si="19"/>
        <v>0.44805387222928089</v>
      </c>
      <c r="W61" s="13">
        <f t="shared" si="20"/>
        <v>8449.3094436028914</v>
      </c>
      <c r="X61" s="14">
        <f t="shared" si="21"/>
        <v>0.22352670485721934</v>
      </c>
      <c r="Y61" s="12" t="str">
        <f>IF(AND(V61&lt;Inputs!$B$12,X61&gt;Inputs!$B$13),"Priority: margin + leakage",IF(V61&lt;Inputs!$B$12,"Margin review",IF(X61&gt;Inputs!$B$13,"Leakage review","Monitor")))</f>
        <v>Leakage review</v>
      </c>
      <c r="Z61" s="1"/>
    </row>
    <row r="62" spans="1:26" ht="20" customHeight="1">
      <c r="A62" s="15" t="s">
        <v>196</v>
      </c>
      <c r="B62" s="16">
        <v>45896</v>
      </c>
      <c r="C62" s="15" t="s">
        <v>128</v>
      </c>
      <c r="D62" s="15" t="s">
        <v>129</v>
      </c>
      <c r="E62" s="15" t="s">
        <v>151</v>
      </c>
      <c r="F62" s="15" t="s">
        <v>115</v>
      </c>
      <c r="G62" s="17">
        <v>43</v>
      </c>
      <c r="H62" s="18">
        <v>105</v>
      </c>
      <c r="I62" s="18">
        <v>58</v>
      </c>
      <c r="J62" s="19">
        <v>6.6471194297302222E-2</v>
      </c>
      <c r="K62" s="19">
        <v>6.0793233085732007E-2</v>
      </c>
      <c r="L62" s="19">
        <v>1.9958496962128904E-3</v>
      </c>
      <c r="M62" s="18">
        <v>56.781128683173648</v>
      </c>
      <c r="N62" s="13">
        <f t="shared" si="11"/>
        <v>92.061539999663708</v>
      </c>
      <c r="O62" s="13">
        <f t="shared" si="12"/>
        <v>4515</v>
      </c>
      <c r="P62" s="13">
        <f t="shared" si="13"/>
        <v>300.11744225231951</v>
      </c>
      <c r="Q62" s="13">
        <f t="shared" si="14"/>
        <v>256.23633776214103</v>
      </c>
      <c r="R62" s="13">
        <f t="shared" si="15"/>
        <v>9.0112613784011995</v>
      </c>
      <c r="S62" s="13">
        <f t="shared" si="16"/>
        <v>3892.8538299239644</v>
      </c>
      <c r="T62" s="13">
        <f t="shared" si="17"/>
        <v>2494</v>
      </c>
      <c r="U62" s="13">
        <f t="shared" si="18"/>
        <v>1398.8538299239644</v>
      </c>
      <c r="V62" s="14">
        <f t="shared" si="19"/>
        <v>0.35933890432030091</v>
      </c>
      <c r="W62" s="13">
        <f t="shared" si="20"/>
        <v>622.14617007603533</v>
      </c>
      <c r="X62" s="14">
        <f t="shared" si="21"/>
        <v>0.13779538650632012</v>
      </c>
      <c r="Y62" s="12" t="str">
        <f>IF(AND(V62&lt;Inputs!$B$12,X62&gt;Inputs!$B$13),"Priority: margin + leakage",IF(V62&lt;Inputs!$B$12,"Margin review",IF(X62&gt;Inputs!$B$13,"Leakage review","Monitor")))</f>
        <v>Leakage review</v>
      </c>
      <c r="Z62" s="1"/>
    </row>
    <row r="63" spans="1:26" ht="20" customHeight="1">
      <c r="A63" s="15" t="s">
        <v>197</v>
      </c>
      <c r="B63" s="16">
        <v>45744</v>
      </c>
      <c r="C63" s="15" t="s">
        <v>139</v>
      </c>
      <c r="D63" s="15" t="s">
        <v>113</v>
      </c>
      <c r="E63" s="15" t="s">
        <v>143</v>
      </c>
      <c r="F63" s="15" t="s">
        <v>119</v>
      </c>
      <c r="G63" s="17">
        <v>91</v>
      </c>
      <c r="H63" s="18">
        <v>575</v>
      </c>
      <c r="I63" s="18">
        <v>235</v>
      </c>
      <c r="J63" s="19">
        <v>0.11895940222422746</v>
      </c>
      <c r="K63" s="19">
        <v>6.2571372358079955E-2</v>
      </c>
      <c r="L63" s="19">
        <v>5.110557895029498E-2</v>
      </c>
      <c r="M63" s="18">
        <v>26.637659221297682</v>
      </c>
      <c r="N63" s="13">
        <f t="shared" si="11"/>
        <v>474.89979012011156</v>
      </c>
      <c r="O63" s="13">
        <f t="shared" si="12"/>
        <v>52325</v>
      </c>
      <c r="P63" s="13">
        <f t="shared" si="13"/>
        <v>6224.5507213827022</v>
      </c>
      <c r="Q63" s="13">
        <f t="shared" si="14"/>
        <v>2884.5683776871415</v>
      </c>
      <c r="R63" s="13">
        <f t="shared" si="15"/>
        <v>2674.0994185741847</v>
      </c>
      <c r="S63" s="13">
        <f t="shared" si="16"/>
        <v>40515.143823134669</v>
      </c>
      <c r="T63" s="13">
        <f t="shared" si="17"/>
        <v>21385</v>
      </c>
      <c r="U63" s="13">
        <f t="shared" si="18"/>
        <v>19130.143823134669</v>
      </c>
      <c r="V63" s="14">
        <f t="shared" si="19"/>
        <v>0.47217267465828694</v>
      </c>
      <c r="W63" s="13">
        <f t="shared" si="20"/>
        <v>11809.856176865327</v>
      </c>
      <c r="X63" s="14">
        <f t="shared" si="21"/>
        <v>0.22570198140210851</v>
      </c>
      <c r="Y63" s="12" t="str">
        <f>IF(AND(V63&lt;Inputs!$B$12,X63&gt;Inputs!$B$13),"Priority: margin + leakage",IF(V63&lt;Inputs!$B$12,"Margin review",IF(X63&gt;Inputs!$B$13,"Leakage review","Monitor")))</f>
        <v>Leakage review</v>
      </c>
      <c r="Z63" s="1"/>
    </row>
    <row r="64" spans="1:26" ht="20" customHeight="1">
      <c r="A64" s="15" t="s">
        <v>198</v>
      </c>
      <c r="B64" s="16">
        <v>45778</v>
      </c>
      <c r="C64" s="15" t="s">
        <v>112</v>
      </c>
      <c r="D64" s="15" t="s">
        <v>113</v>
      </c>
      <c r="E64" s="15" t="s">
        <v>114</v>
      </c>
      <c r="F64" s="15" t="s">
        <v>115</v>
      </c>
      <c r="G64" s="17">
        <v>41</v>
      </c>
      <c r="H64" s="18">
        <v>160</v>
      </c>
      <c r="I64" s="18">
        <v>84</v>
      </c>
      <c r="J64" s="19">
        <v>6.068066945712116E-2</v>
      </c>
      <c r="K64" s="19">
        <v>3.1568993401633341E-2</v>
      </c>
      <c r="L64" s="19">
        <v>8.0407157677494824E-3</v>
      </c>
      <c r="M64" s="18">
        <v>262.99661206877522</v>
      </c>
      <c r="N64" s="13">
        <f t="shared" si="11"/>
        <v>145.54655436719105</v>
      </c>
      <c r="O64" s="13">
        <f t="shared" si="12"/>
        <v>6560</v>
      </c>
      <c r="P64" s="13">
        <f t="shared" si="13"/>
        <v>398.06519163871479</v>
      </c>
      <c r="Q64" s="13">
        <f t="shared" si="14"/>
        <v>194.5260793064522</v>
      </c>
      <c r="R64" s="13">
        <f t="shared" si="15"/>
        <v>52.747095436436602</v>
      </c>
      <c r="S64" s="13">
        <f t="shared" si="16"/>
        <v>5651.665021549622</v>
      </c>
      <c r="T64" s="13">
        <f t="shared" si="17"/>
        <v>3444</v>
      </c>
      <c r="U64" s="13">
        <f t="shared" si="18"/>
        <v>2207.665021549622</v>
      </c>
      <c r="V64" s="14">
        <f t="shared" si="19"/>
        <v>0.39062205794785504</v>
      </c>
      <c r="W64" s="13">
        <f t="shared" si="20"/>
        <v>908.3349784503788</v>
      </c>
      <c r="X64" s="14">
        <f t="shared" si="21"/>
        <v>0.13846569793450897</v>
      </c>
      <c r="Y64" s="12" t="str">
        <f>IF(AND(V64&lt;Inputs!$B$12,X64&gt;Inputs!$B$13),"Priority: margin + leakage",IF(V64&lt;Inputs!$B$12,"Margin review",IF(X64&gt;Inputs!$B$13,"Leakage review","Monitor")))</f>
        <v>Leakage review</v>
      </c>
      <c r="Z64" s="1"/>
    </row>
    <row r="65" spans="1:26" ht="20" customHeight="1">
      <c r="A65" s="15" t="s">
        <v>199</v>
      </c>
      <c r="B65" s="16">
        <v>45970</v>
      </c>
      <c r="C65" s="15" t="s">
        <v>112</v>
      </c>
      <c r="D65" s="15" t="s">
        <v>113</v>
      </c>
      <c r="E65" s="15" t="s">
        <v>132</v>
      </c>
      <c r="F65" s="15" t="s">
        <v>126</v>
      </c>
      <c r="G65" s="17">
        <v>33</v>
      </c>
      <c r="H65" s="18">
        <v>125</v>
      </c>
      <c r="I65" s="18">
        <v>78</v>
      </c>
      <c r="J65" s="19">
        <v>0.11687657627055535</v>
      </c>
      <c r="K65" s="19">
        <v>2.1766055012547393E-2</v>
      </c>
      <c r="L65" s="19">
        <v>7.4573833206483836E-2</v>
      </c>
      <c r="M65" s="18">
        <v>77.918686140904498</v>
      </c>
      <c r="N65" s="13">
        <f t="shared" si="11"/>
        <v>107.98766383821005</v>
      </c>
      <c r="O65" s="13">
        <f t="shared" si="12"/>
        <v>4125</v>
      </c>
      <c r="P65" s="13">
        <f t="shared" si="13"/>
        <v>482.11587711604085</v>
      </c>
      <c r="Q65" s="13">
        <f t="shared" si="14"/>
        <v>79.291216223027718</v>
      </c>
      <c r="R65" s="13">
        <f t="shared" si="15"/>
        <v>307.61706197674584</v>
      </c>
      <c r="S65" s="13">
        <f t="shared" si="16"/>
        <v>3178.0571585432817</v>
      </c>
      <c r="T65" s="13">
        <f t="shared" si="17"/>
        <v>2574</v>
      </c>
      <c r="U65" s="13">
        <f t="shared" si="18"/>
        <v>604.05715854328173</v>
      </c>
      <c r="V65" s="14">
        <f t="shared" si="19"/>
        <v>0.19007120652926265</v>
      </c>
      <c r="W65" s="13">
        <f t="shared" si="20"/>
        <v>946.94284145671884</v>
      </c>
      <c r="X65" s="14">
        <f t="shared" si="21"/>
        <v>0.22956190095920456</v>
      </c>
      <c r="Y65" s="12" t="str">
        <f>IF(AND(V65&lt;Inputs!$B$12,X65&gt;Inputs!$B$13),"Priority: margin + leakage",IF(V65&lt;Inputs!$B$12,"Margin review",IF(X65&gt;Inputs!$B$13,"Leakage review","Monitor")))</f>
        <v>Priority: margin + leakage</v>
      </c>
      <c r="Z65" s="1"/>
    </row>
    <row r="66" spans="1:26" ht="20" customHeight="1">
      <c r="A66" s="15" t="s">
        <v>200</v>
      </c>
      <c r="B66" s="16">
        <v>45862</v>
      </c>
      <c r="C66" s="15" t="s">
        <v>117</v>
      </c>
      <c r="D66" s="15" t="s">
        <v>113</v>
      </c>
      <c r="E66" s="15" t="s">
        <v>143</v>
      </c>
      <c r="F66" s="15" t="s">
        <v>119</v>
      </c>
      <c r="G66" s="17">
        <v>58</v>
      </c>
      <c r="H66" s="18">
        <v>575</v>
      </c>
      <c r="I66" s="18">
        <v>235</v>
      </c>
      <c r="J66" s="19">
        <v>0.14459209054946473</v>
      </c>
      <c r="K66" s="19">
        <v>1.3528140928789442E-2</v>
      </c>
      <c r="L66" s="19">
        <v>2.1499217812201994E-2</v>
      </c>
      <c r="M66" s="18">
        <v>33.154841571919746</v>
      </c>
      <c r="N66" s="13">
        <f t="shared" si="11"/>
        <v>485.20560265243523</v>
      </c>
      <c r="O66" s="13">
        <f t="shared" si="12"/>
        <v>33350</v>
      </c>
      <c r="P66" s="13">
        <f t="shared" si="13"/>
        <v>4822.1462198246491</v>
      </c>
      <c r="Q66" s="13">
        <f t="shared" si="14"/>
        <v>385.92882633411079</v>
      </c>
      <c r="R66" s="13">
        <f t="shared" si="15"/>
        <v>716.99891403693653</v>
      </c>
      <c r="S66" s="13">
        <f t="shared" si="16"/>
        <v>27391.771198232389</v>
      </c>
      <c r="T66" s="13">
        <f t="shared" si="17"/>
        <v>13630</v>
      </c>
      <c r="U66" s="13">
        <f t="shared" si="18"/>
        <v>13761.771198232389</v>
      </c>
      <c r="V66" s="14">
        <f t="shared" si="19"/>
        <v>0.50240530627389468</v>
      </c>
      <c r="W66" s="13">
        <f t="shared" si="20"/>
        <v>5958.2288017676156</v>
      </c>
      <c r="X66" s="14">
        <f t="shared" si="21"/>
        <v>0.17865753528538578</v>
      </c>
      <c r="Y66" s="12" t="str">
        <f>IF(AND(V66&lt;Inputs!$B$12,X66&gt;Inputs!$B$13),"Priority: margin + leakage",IF(V66&lt;Inputs!$B$12,"Margin review",IF(X66&gt;Inputs!$B$13,"Leakage review","Monitor")))</f>
        <v>Leakage review</v>
      </c>
      <c r="Z66" s="1"/>
    </row>
    <row r="67" spans="1:26" ht="20" customHeight="1">
      <c r="A67" s="15" t="s">
        <v>201</v>
      </c>
      <c r="B67" s="16">
        <v>45875</v>
      </c>
      <c r="C67" s="15" t="s">
        <v>153</v>
      </c>
      <c r="D67" s="15" t="s">
        <v>113</v>
      </c>
      <c r="E67" s="15" t="s">
        <v>147</v>
      </c>
      <c r="F67" s="15" t="s">
        <v>136</v>
      </c>
      <c r="G67" s="17">
        <v>88</v>
      </c>
      <c r="H67" s="18">
        <v>220</v>
      </c>
      <c r="I67" s="18">
        <v>98</v>
      </c>
      <c r="J67" s="19">
        <v>8.1755207570921168E-2</v>
      </c>
      <c r="K67" s="19">
        <v>0</v>
      </c>
      <c r="L67" s="19">
        <v>4.8965258398731198E-2</v>
      </c>
      <c r="M67" s="18">
        <v>0</v>
      </c>
      <c r="N67" s="13">
        <f t="shared" si="11"/>
        <v>202.01385433439734</v>
      </c>
      <c r="O67" s="13">
        <f t="shared" si="12"/>
        <v>19360</v>
      </c>
      <c r="P67" s="13">
        <f t="shared" si="13"/>
        <v>1582.7808185730339</v>
      </c>
      <c r="Q67" s="13">
        <f t="shared" si="14"/>
        <v>0</v>
      </c>
      <c r="R67" s="13">
        <f t="shared" si="15"/>
        <v>947.96740259943601</v>
      </c>
      <c r="S67" s="13">
        <f t="shared" si="16"/>
        <v>16829.251778827529</v>
      </c>
      <c r="T67" s="13">
        <f t="shared" si="17"/>
        <v>8624</v>
      </c>
      <c r="U67" s="13">
        <f t="shared" si="18"/>
        <v>8205.2517788275291</v>
      </c>
      <c r="V67" s="14">
        <f t="shared" si="19"/>
        <v>0.48755891745290519</v>
      </c>
      <c r="W67" s="13">
        <f t="shared" si="20"/>
        <v>2530.74822117247</v>
      </c>
      <c r="X67" s="14">
        <f t="shared" si="21"/>
        <v>0.13072046596965237</v>
      </c>
      <c r="Y67" s="12" t="str">
        <f>IF(AND(V67&lt;Inputs!$B$12,X67&gt;Inputs!$B$13),"Priority: margin + leakage",IF(V67&lt;Inputs!$B$12,"Margin review",IF(X67&gt;Inputs!$B$13,"Leakage review","Monitor")))</f>
        <v>Leakage review</v>
      </c>
      <c r="Z67" s="1"/>
    </row>
    <row r="68" spans="1:26" ht="20" customHeight="1">
      <c r="A68" s="15" t="s">
        <v>202</v>
      </c>
      <c r="B68" s="16">
        <v>45720</v>
      </c>
      <c r="C68" s="15" t="s">
        <v>153</v>
      </c>
      <c r="D68" s="15" t="s">
        <v>113</v>
      </c>
      <c r="E68" s="15" t="s">
        <v>147</v>
      </c>
      <c r="F68" s="15" t="s">
        <v>136</v>
      </c>
      <c r="G68" s="17">
        <v>107</v>
      </c>
      <c r="H68" s="18">
        <v>220</v>
      </c>
      <c r="I68" s="18">
        <v>98</v>
      </c>
      <c r="J68" s="19">
        <v>0.15081654118321725</v>
      </c>
      <c r="K68" s="19">
        <v>2.7115871815696295E-2</v>
      </c>
      <c r="L68" s="19">
        <v>3.7955321960915958E-2</v>
      </c>
      <c r="M68" s="18">
        <v>141.14550745874931</v>
      </c>
      <c r="N68" s="13">
        <f t="shared" ref="N68:N99" si="22">H68*(1-J68)*(1-K68)</f>
        <v>181.75456397988941</v>
      </c>
      <c r="O68" s="13">
        <f t="shared" ref="O68:O99" si="23">G68*H68</f>
        <v>23540</v>
      </c>
      <c r="P68" s="13">
        <f t="shared" ref="P68:P99" si="24">O68*J68</f>
        <v>3550.2213794529339</v>
      </c>
      <c r="Q68" s="13">
        <f t="shared" ref="Q68:Q99" si="25">(O68-P68)*K68</f>
        <v>542.04027469890059</v>
      </c>
      <c r="R68" s="13">
        <f t="shared" ref="R68:R99" si="26">O68*L68</f>
        <v>893.46827895996171</v>
      </c>
      <c r="S68" s="13">
        <f t="shared" ref="S68:S99" si="27">G68*N68-R68-M68</f>
        <v>18413.124559429456</v>
      </c>
      <c r="T68" s="13">
        <f t="shared" ref="T68:T99" si="28">G68*I68</f>
        <v>10486</v>
      </c>
      <c r="U68" s="13">
        <f t="shared" ref="U68:U99" si="29">S68-T68</f>
        <v>7927.124559429456</v>
      </c>
      <c r="V68" s="14">
        <f t="shared" ref="V68:V99" si="30">IFERROR(U68/S68,0)</f>
        <v>0.43051490440116175</v>
      </c>
      <c r="W68" s="13">
        <f t="shared" ref="W68:W99" si="31">P68+Q68+R68+M68</f>
        <v>5126.8754405705458</v>
      </c>
      <c r="X68" s="14">
        <f t="shared" ref="X68:X99" si="32">IFERROR(W68/O68,0)</f>
        <v>0.21779419883477255</v>
      </c>
      <c r="Y68" s="12" t="str">
        <f>IF(AND(V68&lt;Inputs!$B$12,X68&gt;Inputs!$B$13),"Priority: margin + leakage",IF(V68&lt;Inputs!$B$12,"Margin review",IF(X68&gt;Inputs!$B$13,"Leakage review","Monitor")))</f>
        <v>Leakage review</v>
      </c>
      <c r="Z68" s="1"/>
    </row>
    <row r="69" spans="1:26" ht="20" customHeight="1">
      <c r="A69" s="15" t="s">
        <v>203</v>
      </c>
      <c r="B69" s="16">
        <v>45884</v>
      </c>
      <c r="C69" s="15" t="s">
        <v>139</v>
      </c>
      <c r="D69" s="15" t="s">
        <v>113</v>
      </c>
      <c r="E69" s="15" t="s">
        <v>147</v>
      </c>
      <c r="F69" s="15" t="s">
        <v>136</v>
      </c>
      <c r="G69" s="17">
        <v>107</v>
      </c>
      <c r="H69" s="18">
        <v>220</v>
      </c>
      <c r="I69" s="18">
        <v>98</v>
      </c>
      <c r="J69" s="19">
        <v>6.7980643714287053E-2</v>
      </c>
      <c r="K69" s="19">
        <v>4.1779561157491742E-2</v>
      </c>
      <c r="L69" s="19">
        <v>1.0338615893470312E-2</v>
      </c>
      <c r="M69" s="18">
        <v>91.546828683038754</v>
      </c>
      <c r="N69" s="13">
        <f t="shared" si="22"/>
        <v>196.47759924975776</v>
      </c>
      <c r="O69" s="13">
        <f t="shared" si="23"/>
        <v>23540</v>
      </c>
      <c r="P69" s="13">
        <f t="shared" si="24"/>
        <v>1600.2643530343173</v>
      </c>
      <c r="Q69" s="13">
        <f t="shared" si="25"/>
        <v>916.63252724160441</v>
      </c>
      <c r="R69" s="13">
        <f t="shared" si="26"/>
        <v>243.37101813229114</v>
      </c>
      <c r="S69" s="13">
        <f t="shared" si="27"/>
        <v>20688.185272908751</v>
      </c>
      <c r="T69" s="13">
        <f t="shared" si="28"/>
        <v>10486</v>
      </c>
      <c r="U69" s="13">
        <f t="shared" si="29"/>
        <v>10202.185272908751</v>
      </c>
      <c r="V69" s="14">
        <f t="shared" si="30"/>
        <v>0.49314065677227609</v>
      </c>
      <c r="W69" s="13">
        <f t="shared" si="31"/>
        <v>2851.8147270912518</v>
      </c>
      <c r="X69" s="14">
        <f t="shared" si="32"/>
        <v>0.1211476094771135</v>
      </c>
      <c r="Y69" s="12" t="str">
        <f>IF(AND(V69&lt;Inputs!$B$12,X69&gt;Inputs!$B$13),"Priority: margin + leakage",IF(V69&lt;Inputs!$B$12,"Margin review",IF(X69&gt;Inputs!$B$13,"Leakage review","Monitor")))</f>
        <v>Leakage review</v>
      </c>
      <c r="Z69" s="1"/>
    </row>
    <row r="70" spans="1:26" ht="20" customHeight="1">
      <c r="A70" s="15" t="s">
        <v>204</v>
      </c>
      <c r="B70" s="16">
        <v>45888</v>
      </c>
      <c r="C70" s="15" t="s">
        <v>158</v>
      </c>
      <c r="D70" s="15" t="s">
        <v>129</v>
      </c>
      <c r="E70" s="15" t="s">
        <v>118</v>
      </c>
      <c r="F70" s="15" t="s">
        <v>119</v>
      </c>
      <c r="G70" s="17">
        <v>111</v>
      </c>
      <c r="H70" s="18">
        <v>420</v>
      </c>
      <c r="I70" s="18">
        <v>180</v>
      </c>
      <c r="J70" s="19">
        <v>0.10670395360658635</v>
      </c>
      <c r="K70" s="19">
        <v>1.9992786326144436E-2</v>
      </c>
      <c r="L70" s="19">
        <v>4.4337413604671222E-2</v>
      </c>
      <c r="M70" s="18">
        <v>270.58735585155318</v>
      </c>
      <c r="N70" s="13">
        <f t="shared" si="22"/>
        <v>367.68335915298985</v>
      </c>
      <c r="O70" s="13">
        <f t="shared" si="23"/>
        <v>46620</v>
      </c>
      <c r="P70" s="13">
        <f t="shared" si="24"/>
        <v>4974.5383171390558</v>
      </c>
      <c r="Q70" s="13">
        <f t="shared" si="25"/>
        <v>832.60881687907431</v>
      </c>
      <c r="R70" s="13">
        <f t="shared" si="26"/>
        <v>2067.0102222497721</v>
      </c>
      <c r="S70" s="13">
        <f t="shared" si="27"/>
        <v>38475.255287880551</v>
      </c>
      <c r="T70" s="13">
        <f t="shared" si="28"/>
        <v>19980</v>
      </c>
      <c r="U70" s="13">
        <f t="shared" si="29"/>
        <v>18495.255287880551</v>
      </c>
      <c r="V70" s="14">
        <f t="shared" si="30"/>
        <v>0.48070519999139377</v>
      </c>
      <c r="W70" s="13">
        <f t="shared" si="31"/>
        <v>8144.7447121194555</v>
      </c>
      <c r="X70" s="14">
        <f t="shared" si="32"/>
        <v>0.17470494877991111</v>
      </c>
      <c r="Y70" s="12" t="str">
        <f>IF(AND(V70&lt;Inputs!$B$12,X70&gt;Inputs!$B$13),"Priority: margin + leakage",IF(V70&lt;Inputs!$B$12,"Margin review",IF(X70&gt;Inputs!$B$13,"Leakage review","Monitor")))</f>
        <v>Leakage review</v>
      </c>
      <c r="Z70" s="1"/>
    </row>
    <row r="71" spans="1:26" ht="20" customHeight="1">
      <c r="A71" s="15" t="s">
        <v>205</v>
      </c>
      <c r="B71" s="16">
        <v>45798</v>
      </c>
      <c r="C71" s="15" t="s">
        <v>175</v>
      </c>
      <c r="D71" s="15" t="s">
        <v>129</v>
      </c>
      <c r="E71" s="15" t="s">
        <v>135</v>
      </c>
      <c r="F71" s="15" t="s">
        <v>136</v>
      </c>
      <c r="G71" s="17">
        <v>112</v>
      </c>
      <c r="H71" s="18">
        <v>310</v>
      </c>
      <c r="I71" s="18">
        <v>142</v>
      </c>
      <c r="J71" s="19">
        <v>3.6315200773891325E-2</v>
      </c>
      <c r="K71" s="19">
        <v>2.5805547408862192E-3</v>
      </c>
      <c r="L71" s="19">
        <v>0</v>
      </c>
      <c r="M71" s="18">
        <v>103.14049299166014</v>
      </c>
      <c r="N71" s="13">
        <f t="shared" si="22"/>
        <v>297.9713669331112</v>
      </c>
      <c r="O71" s="13">
        <f t="shared" si="23"/>
        <v>34720</v>
      </c>
      <c r="P71" s="13">
        <f t="shared" si="24"/>
        <v>1260.8637708695069</v>
      </c>
      <c r="Q71" s="13">
        <f t="shared" si="25"/>
        <v>86.343132622040542</v>
      </c>
      <c r="R71" s="13">
        <f t="shared" si="26"/>
        <v>0</v>
      </c>
      <c r="S71" s="13">
        <f t="shared" si="27"/>
        <v>33269.652603516792</v>
      </c>
      <c r="T71" s="13">
        <f t="shared" si="28"/>
        <v>15904</v>
      </c>
      <c r="U71" s="13">
        <f t="shared" si="29"/>
        <v>17365.652603516792</v>
      </c>
      <c r="V71" s="14">
        <f t="shared" si="30"/>
        <v>0.52196675482211508</v>
      </c>
      <c r="W71" s="13">
        <f t="shared" si="31"/>
        <v>1450.3473964832074</v>
      </c>
      <c r="X71" s="14">
        <f t="shared" si="32"/>
        <v>4.1772678470138463E-2</v>
      </c>
      <c r="Y71" s="12" t="str">
        <f>IF(AND(V71&lt;Inputs!$B$12,X71&gt;Inputs!$B$13),"Priority: margin + leakage",IF(V71&lt;Inputs!$B$12,"Margin review",IF(X71&gt;Inputs!$B$13,"Leakage review","Monitor")))</f>
        <v>Monitor</v>
      </c>
      <c r="Z71" s="1"/>
    </row>
    <row r="72" spans="1:26" ht="20" customHeight="1">
      <c r="A72" s="15" t="s">
        <v>206</v>
      </c>
      <c r="B72" s="16">
        <v>45728</v>
      </c>
      <c r="C72" s="15" t="s">
        <v>139</v>
      </c>
      <c r="D72" s="15" t="s">
        <v>113</v>
      </c>
      <c r="E72" s="15" t="s">
        <v>114</v>
      </c>
      <c r="F72" s="15" t="s">
        <v>115</v>
      </c>
      <c r="G72" s="17">
        <v>96</v>
      </c>
      <c r="H72" s="18">
        <v>160</v>
      </c>
      <c r="I72" s="18">
        <v>84</v>
      </c>
      <c r="J72" s="19">
        <v>0.10379570542801377</v>
      </c>
      <c r="K72" s="19">
        <v>5.4408484989587474E-2</v>
      </c>
      <c r="L72" s="19">
        <v>1.54839838439861E-2</v>
      </c>
      <c r="M72" s="18">
        <v>221.5936221917822</v>
      </c>
      <c r="N72" s="13">
        <f t="shared" si="22"/>
        <v>135.590908266106</v>
      </c>
      <c r="O72" s="13">
        <f t="shared" si="23"/>
        <v>15360</v>
      </c>
      <c r="P72" s="13">
        <f t="shared" si="24"/>
        <v>1594.3020353742913</v>
      </c>
      <c r="Q72" s="13">
        <f t="shared" si="25"/>
        <v>748.97077107953282</v>
      </c>
      <c r="R72" s="13">
        <f t="shared" si="26"/>
        <v>237.83399184362648</v>
      </c>
      <c r="S72" s="13">
        <f t="shared" si="27"/>
        <v>12557.299579510767</v>
      </c>
      <c r="T72" s="13">
        <f t="shared" si="28"/>
        <v>8064</v>
      </c>
      <c r="U72" s="13">
        <f t="shared" si="29"/>
        <v>4493.2995795107672</v>
      </c>
      <c r="V72" s="14">
        <f t="shared" si="30"/>
        <v>0.35782371449051836</v>
      </c>
      <c r="W72" s="13">
        <f t="shared" si="31"/>
        <v>2802.7004204892328</v>
      </c>
      <c r="X72" s="14">
        <f t="shared" si="32"/>
        <v>0.18246747529226776</v>
      </c>
      <c r="Y72" s="12" t="str">
        <f>IF(AND(V72&lt;Inputs!$B$12,X72&gt;Inputs!$B$13),"Priority: margin + leakage",IF(V72&lt;Inputs!$B$12,"Margin review",IF(X72&gt;Inputs!$B$13,"Leakage review","Monitor")))</f>
        <v>Leakage review</v>
      </c>
      <c r="Z72" s="1"/>
    </row>
    <row r="73" spans="1:26" ht="20" customHeight="1">
      <c r="A73" s="15" t="s">
        <v>207</v>
      </c>
      <c r="B73" s="16">
        <v>45935</v>
      </c>
      <c r="C73" s="15" t="s">
        <v>150</v>
      </c>
      <c r="D73" s="15" t="s">
        <v>129</v>
      </c>
      <c r="E73" s="15" t="s">
        <v>135</v>
      </c>
      <c r="F73" s="15" t="s">
        <v>136</v>
      </c>
      <c r="G73" s="17">
        <v>54</v>
      </c>
      <c r="H73" s="18">
        <v>310</v>
      </c>
      <c r="I73" s="18">
        <v>142</v>
      </c>
      <c r="J73" s="19">
        <v>5.6098337236377825E-2</v>
      </c>
      <c r="K73" s="19">
        <v>0</v>
      </c>
      <c r="L73" s="19">
        <v>4.1939746378697115E-2</v>
      </c>
      <c r="M73" s="18">
        <v>156.16619088370228</v>
      </c>
      <c r="N73" s="13">
        <f t="shared" si="22"/>
        <v>292.60951545672287</v>
      </c>
      <c r="O73" s="13">
        <f t="shared" si="23"/>
        <v>16740</v>
      </c>
      <c r="P73" s="13">
        <f t="shared" si="24"/>
        <v>939.08616533696477</v>
      </c>
      <c r="Q73" s="13">
        <f t="shared" si="25"/>
        <v>0</v>
      </c>
      <c r="R73" s="13">
        <f t="shared" si="26"/>
        <v>702.07135437938973</v>
      </c>
      <c r="S73" s="13">
        <f t="shared" si="27"/>
        <v>14942.676289399942</v>
      </c>
      <c r="T73" s="13">
        <f t="shared" si="28"/>
        <v>7668</v>
      </c>
      <c r="U73" s="13">
        <f t="shared" si="29"/>
        <v>7274.6762893999421</v>
      </c>
      <c r="V73" s="14">
        <f t="shared" si="30"/>
        <v>0.48683891349238845</v>
      </c>
      <c r="W73" s="13">
        <f t="shared" si="31"/>
        <v>1797.3237106000568</v>
      </c>
      <c r="X73" s="14">
        <f t="shared" si="32"/>
        <v>0.10736700780167603</v>
      </c>
      <c r="Y73" s="12" t="str">
        <f>IF(AND(V73&lt;Inputs!$B$12,X73&gt;Inputs!$B$13),"Priority: margin + leakage",IF(V73&lt;Inputs!$B$12,"Margin review",IF(X73&gt;Inputs!$B$13,"Leakage review","Monitor")))</f>
        <v>Monitor</v>
      </c>
      <c r="Z73" s="1"/>
    </row>
    <row r="74" spans="1:26" ht="20" customHeight="1">
      <c r="A74" s="15" t="s">
        <v>208</v>
      </c>
      <c r="B74" s="16">
        <v>46014</v>
      </c>
      <c r="C74" s="15" t="s">
        <v>139</v>
      </c>
      <c r="D74" s="15" t="s">
        <v>113</v>
      </c>
      <c r="E74" s="15" t="s">
        <v>118</v>
      </c>
      <c r="F74" s="15" t="s">
        <v>119</v>
      </c>
      <c r="G74" s="17">
        <v>12</v>
      </c>
      <c r="H74" s="18">
        <v>420</v>
      </c>
      <c r="I74" s="18">
        <v>180</v>
      </c>
      <c r="J74" s="19">
        <v>0.11978929594444142</v>
      </c>
      <c r="K74" s="19">
        <v>6.0146079122212683E-2</v>
      </c>
      <c r="L74" s="19">
        <v>4.470606254271145E-2</v>
      </c>
      <c r="M74" s="18">
        <v>52.892588729368114</v>
      </c>
      <c r="N74" s="13">
        <f t="shared" si="22"/>
        <v>347.45318219019003</v>
      </c>
      <c r="O74" s="13">
        <f t="shared" si="23"/>
        <v>5040</v>
      </c>
      <c r="P74" s="13">
        <f t="shared" si="24"/>
        <v>603.7380515599848</v>
      </c>
      <c r="Q74" s="13">
        <f t="shared" si="25"/>
        <v>266.82376215773451</v>
      </c>
      <c r="R74" s="13">
        <f t="shared" si="26"/>
        <v>225.31855521526572</v>
      </c>
      <c r="S74" s="13">
        <f t="shared" si="27"/>
        <v>3891.2270423376463</v>
      </c>
      <c r="T74" s="13">
        <f t="shared" si="28"/>
        <v>2160</v>
      </c>
      <c r="U74" s="13">
        <f t="shared" si="29"/>
        <v>1731.2270423376463</v>
      </c>
      <c r="V74" s="14">
        <f t="shared" si="30"/>
        <v>0.44490517348420133</v>
      </c>
      <c r="W74" s="13">
        <f t="shared" si="31"/>
        <v>1148.7729576623531</v>
      </c>
      <c r="X74" s="14">
        <f t="shared" si="32"/>
        <v>0.22793114239332402</v>
      </c>
      <c r="Y74" s="12" t="str">
        <f>IF(AND(V74&lt;Inputs!$B$12,X74&gt;Inputs!$B$13),"Priority: margin + leakage",IF(V74&lt;Inputs!$B$12,"Margin review",IF(X74&gt;Inputs!$B$13,"Leakage review","Monitor")))</f>
        <v>Leakage review</v>
      </c>
      <c r="Z74" s="1"/>
    </row>
    <row r="75" spans="1:26" ht="20" customHeight="1">
      <c r="A75" s="15" t="s">
        <v>209</v>
      </c>
      <c r="B75" s="16">
        <v>45872</v>
      </c>
      <c r="C75" s="15" t="s">
        <v>164</v>
      </c>
      <c r="D75" s="15" t="s">
        <v>113</v>
      </c>
      <c r="E75" s="15" t="s">
        <v>118</v>
      </c>
      <c r="F75" s="15" t="s">
        <v>119</v>
      </c>
      <c r="G75" s="17">
        <v>66</v>
      </c>
      <c r="H75" s="18">
        <v>420</v>
      </c>
      <c r="I75" s="18">
        <v>180</v>
      </c>
      <c r="J75" s="19">
        <v>0.14256684728464863</v>
      </c>
      <c r="K75" s="19">
        <v>3.586216407715332E-2</v>
      </c>
      <c r="L75" s="19">
        <v>2.5770187169499487E-2</v>
      </c>
      <c r="M75" s="18">
        <v>0</v>
      </c>
      <c r="N75" s="13">
        <f t="shared" si="22"/>
        <v>347.20717260914267</v>
      </c>
      <c r="O75" s="13">
        <f t="shared" si="23"/>
        <v>27720</v>
      </c>
      <c r="P75" s="13">
        <f t="shared" si="24"/>
        <v>3951.9530067304599</v>
      </c>
      <c r="Q75" s="13">
        <f t="shared" si="25"/>
        <v>852.37360106612289</v>
      </c>
      <c r="R75" s="13">
        <f t="shared" si="26"/>
        <v>714.34958833852579</v>
      </c>
      <c r="S75" s="13">
        <f t="shared" si="27"/>
        <v>22201.323803864892</v>
      </c>
      <c r="T75" s="13">
        <f t="shared" si="28"/>
        <v>11880</v>
      </c>
      <c r="U75" s="13">
        <f t="shared" si="29"/>
        <v>10321.323803864892</v>
      </c>
      <c r="V75" s="14">
        <f t="shared" si="30"/>
        <v>0.46489677350087188</v>
      </c>
      <c r="W75" s="13">
        <f t="shared" si="31"/>
        <v>5518.6761961351085</v>
      </c>
      <c r="X75" s="14">
        <f t="shared" si="32"/>
        <v>0.1990864428620169</v>
      </c>
      <c r="Y75" s="12" t="str">
        <f>IF(AND(V75&lt;Inputs!$B$12,X75&gt;Inputs!$B$13),"Priority: margin + leakage",IF(V75&lt;Inputs!$B$12,"Margin review",IF(X75&gt;Inputs!$B$13,"Leakage review","Monitor")))</f>
        <v>Leakage review</v>
      </c>
      <c r="Z75" s="1"/>
    </row>
    <row r="76" spans="1:26" ht="20" customHeight="1">
      <c r="A76" s="15" t="s">
        <v>210</v>
      </c>
      <c r="B76" s="16">
        <v>46005</v>
      </c>
      <c r="C76" s="15" t="s">
        <v>141</v>
      </c>
      <c r="D76" s="15" t="s">
        <v>122</v>
      </c>
      <c r="E76" s="15" t="s">
        <v>135</v>
      </c>
      <c r="F76" s="15" t="s">
        <v>136</v>
      </c>
      <c r="G76" s="17">
        <v>67</v>
      </c>
      <c r="H76" s="18">
        <v>310</v>
      </c>
      <c r="I76" s="18">
        <v>142</v>
      </c>
      <c r="J76" s="19">
        <v>5.2150817162260485E-2</v>
      </c>
      <c r="K76" s="19">
        <v>6.1256883640055923E-2</v>
      </c>
      <c r="L76" s="19">
        <v>4.1022907881234694E-2</v>
      </c>
      <c r="M76" s="18">
        <v>134.77450967585193</v>
      </c>
      <c r="N76" s="13">
        <f t="shared" si="22"/>
        <v>275.83393767826107</v>
      </c>
      <c r="O76" s="13">
        <f t="shared" si="23"/>
        <v>20770</v>
      </c>
      <c r="P76" s="13">
        <f t="shared" si="24"/>
        <v>1083.1724724601502</v>
      </c>
      <c r="Q76" s="13">
        <f t="shared" si="25"/>
        <v>1205.9537030963584</v>
      </c>
      <c r="R76" s="13">
        <f t="shared" si="26"/>
        <v>852.0457966932446</v>
      </c>
      <c r="S76" s="13">
        <f t="shared" si="27"/>
        <v>17494.053518074394</v>
      </c>
      <c r="T76" s="13">
        <f t="shared" si="28"/>
        <v>9514</v>
      </c>
      <c r="U76" s="13">
        <f t="shared" si="29"/>
        <v>7980.0535180743937</v>
      </c>
      <c r="V76" s="14">
        <f t="shared" si="30"/>
        <v>0.45615806021340982</v>
      </c>
      <c r="W76" s="13">
        <f t="shared" si="31"/>
        <v>3275.9464819256045</v>
      </c>
      <c r="X76" s="14">
        <f t="shared" si="32"/>
        <v>0.1577249148736449</v>
      </c>
      <c r="Y76" s="12" t="str">
        <f>IF(AND(V76&lt;Inputs!$B$12,X76&gt;Inputs!$B$13),"Priority: margin + leakage",IF(V76&lt;Inputs!$B$12,"Margin review",IF(X76&gt;Inputs!$B$13,"Leakage review","Monitor")))</f>
        <v>Leakage review</v>
      </c>
      <c r="Z76" s="1"/>
    </row>
    <row r="77" spans="1:26" ht="20" customHeight="1">
      <c r="A77" s="15" t="s">
        <v>211</v>
      </c>
      <c r="B77" s="16">
        <v>45859</v>
      </c>
      <c r="C77" s="15" t="s">
        <v>128</v>
      </c>
      <c r="D77" s="15" t="s">
        <v>129</v>
      </c>
      <c r="E77" s="15" t="s">
        <v>147</v>
      </c>
      <c r="F77" s="15" t="s">
        <v>136</v>
      </c>
      <c r="G77" s="17">
        <v>112</v>
      </c>
      <c r="H77" s="18">
        <v>220</v>
      </c>
      <c r="I77" s="18">
        <v>98</v>
      </c>
      <c r="J77" s="19">
        <v>5.70926669695868E-2</v>
      </c>
      <c r="K77" s="19">
        <v>3.7658087268360854E-2</v>
      </c>
      <c r="L77" s="19">
        <v>2.1973064120800623E-2</v>
      </c>
      <c r="M77" s="18">
        <v>105.37822455914066</v>
      </c>
      <c r="N77" s="13">
        <f t="shared" si="22"/>
        <v>199.62783420737884</v>
      </c>
      <c r="O77" s="13">
        <f t="shared" si="23"/>
        <v>24640</v>
      </c>
      <c r="P77" s="13">
        <f t="shared" si="24"/>
        <v>1406.7633141306187</v>
      </c>
      <c r="Q77" s="13">
        <f t="shared" si="25"/>
        <v>874.91925464295207</v>
      </c>
      <c r="R77" s="13">
        <f t="shared" si="26"/>
        <v>541.41629993652737</v>
      </c>
      <c r="S77" s="13">
        <f t="shared" si="27"/>
        <v>21711.522906730763</v>
      </c>
      <c r="T77" s="13">
        <f t="shared" si="28"/>
        <v>10976</v>
      </c>
      <c r="U77" s="13">
        <f t="shared" si="29"/>
        <v>10735.522906730763</v>
      </c>
      <c r="V77" s="14">
        <f t="shared" si="30"/>
        <v>0.49446199388448503</v>
      </c>
      <c r="W77" s="13">
        <f t="shared" si="31"/>
        <v>2928.4770932692386</v>
      </c>
      <c r="X77" s="14">
        <f t="shared" si="32"/>
        <v>0.11885053138268013</v>
      </c>
      <c r="Y77" s="12" t="str">
        <f>IF(AND(V77&lt;Inputs!$B$12,X77&gt;Inputs!$B$13),"Priority: margin + leakage",IF(V77&lt;Inputs!$B$12,"Margin review",IF(X77&gt;Inputs!$B$13,"Leakage review","Monitor")))</f>
        <v>Monitor</v>
      </c>
      <c r="Z77" s="1"/>
    </row>
    <row r="78" spans="1:26" ht="20" customHeight="1">
      <c r="A78" s="15" t="s">
        <v>212</v>
      </c>
      <c r="B78" s="16">
        <v>45852</v>
      </c>
      <c r="C78" s="15" t="s">
        <v>158</v>
      </c>
      <c r="D78" s="15" t="s">
        <v>129</v>
      </c>
      <c r="E78" s="15" t="s">
        <v>151</v>
      </c>
      <c r="F78" s="15" t="s">
        <v>115</v>
      </c>
      <c r="G78" s="17">
        <v>15</v>
      </c>
      <c r="H78" s="18">
        <v>105</v>
      </c>
      <c r="I78" s="18">
        <v>58</v>
      </c>
      <c r="J78" s="19">
        <v>6.3204659558504975E-2</v>
      </c>
      <c r="K78" s="19">
        <v>2.4449705162057203E-2</v>
      </c>
      <c r="L78" s="19">
        <v>1.9384566714357072E-2</v>
      </c>
      <c r="M78" s="18">
        <v>126.89046963049198</v>
      </c>
      <c r="N78" s="13">
        <f t="shared" si="22"/>
        <v>95.958551909903704</v>
      </c>
      <c r="O78" s="13">
        <f t="shared" si="23"/>
        <v>1575</v>
      </c>
      <c r="P78" s="13">
        <f t="shared" si="24"/>
        <v>99.547338804645335</v>
      </c>
      <c r="Q78" s="13">
        <f t="shared" si="25"/>
        <v>36.0743825467991</v>
      </c>
      <c r="R78" s="13">
        <f t="shared" si="26"/>
        <v>30.53069257511239</v>
      </c>
      <c r="S78" s="13">
        <f t="shared" si="27"/>
        <v>1281.9571164429512</v>
      </c>
      <c r="T78" s="13">
        <f t="shared" si="28"/>
        <v>870</v>
      </c>
      <c r="U78" s="13">
        <f t="shared" si="29"/>
        <v>411.95711644295125</v>
      </c>
      <c r="V78" s="14">
        <f t="shared" si="30"/>
        <v>0.32135015372901821</v>
      </c>
      <c r="W78" s="13">
        <f t="shared" si="31"/>
        <v>293.04288355704881</v>
      </c>
      <c r="X78" s="14">
        <f t="shared" si="32"/>
        <v>0.18605897368701513</v>
      </c>
      <c r="Y78" s="12" t="str">
        <f>IF(AND(V78&lt;Inputs!$B$12,X78&gt;Inputs!$B$13),"Priority: margin + leakage",IF(V78&lt;Inputs!$B$12,"Margin review",IF(X78&gt;Inputs!$B$13,"Leakage review","Monitor")))</f>
        <v>Leakage review</v>
      </c>
      <c r="Z78" s="1"/>
    </row>
    <row r="79" spans="1:26" ht="20" customHeight="1">
      <c r="A79" s="15" t="s">
        <v>213</v>
      </c>
      <c r="B79" s="16">
        <v>45873</v>
      </c>
      <c r="C79" s="15" t="s">
        <v>160</v>
      </c>
      <c r="D79" s="15" t="s">
        <v>122</v>
      </c>
      <c r="E79" s="15" t="s">
        <v>135</v>
      </c>
      <c r="F79" s="15" t="s">
        <v>136</v>
      </c>
      <c r="G79" s="17">
        <v>63</v>
      </c>
      <c r="H79" s="18">
        <v>310</v>
      </c>
      <c r="I79" s="18">
        <v>142</v>
      </c>
      <c r="J79" s="19">
        <v>1.7496668904065288E-2</v>
      </c>
      <c r="K79" s="19">
        <v>7.2475075992209675E-2</v>
      </c>
      <c r="L79" s="19">
        <v>3.2011616778200302E-3</v>
      </c>
      <c r="M79" s="18">
        <v>223.48428740337138</v>
      </c>
      <c r="N79" s="13">
        <f t="shared" si="22"/>
        <v>282.50186152876887</v>
      </c>
      <c r="O79" s="13">
        <f t="shared" si="23"/>
        <v>19530</v>
      </c>
      <c r="P79" s="13">
        <f t="shared" si="24"/>
        <v>341.70994369639504</v>
      </c>
      <c r="Q79" s="13">
        <f t="shared" si="25"/>
        <v>1390.672779991165</v>
      </c>
      <c r="R79" s="13">
        <f t="shared" si="26"/>
        <v>62.518687567825189</v>
      </c>
      <c r="S79" s="13">
        <f t="shared" si="27"/>
        <v>17511.61430134124</v>
      </c>
      <c r="T79" s="13">
        <f t="shared" si="28"/>
        <v>8946</v>
      </c>
      <c r="U79" s="13">
        <f t="shared" si="29"/>
        <v>8565.6143013412402</v>
      </c>
      <c r="V79" s="14">
        <f t="shared" si="30"/>
        <v>0.48913904531835123</v>
      </c>
      <c r="W79" s="13">
        <f t="shared" si="31"/>
        <v>2018.3856986587566</v>
      </c>
      <c r="X79" s="14">
        <f t="shared" si="32"/>
        <v>0.10334796204089895</v>
      </c>
      <c r="Y79" s="12" t="str">
        <f>IF(AND(V79&lt;Inputs!$B$12,X79&gt;Inputs!$B$13),"Priority: margin + leakage",IF(V79&lt;Inputs!$B$12,"Margin review",IF(X79&gt;Inputs!$B$13,"Leakage review","Monitor")))</f>
        <v>Monitor</v>
      </c>
      <c r="Z79" s="1"/>
    </row>
    <row r="80" spans="1:26" ht="20" customHeight="1">
      <c r="A80" s="15" t="s">
        <v>214</v>
      </c>
      <c r="B80" s="16">
        <v>45990</v>
      </c>
      <c r="C80" s="15" t="s">
        <v>175</v>
      </c>
      <c r="D80" s="15" t="s">
        <v>129</v>
      </c>
      <c r="E80" s="15" t="s">
        <v>114</v>
      </c>
      <c r="F80" s="15" t="s">
        <v>115</v>
      </c>
      <c r="G80" s="17">
        <v>65</v>
      </c>
      <c r="H80" s="18">
        <v>160</v>
      </c>
      <c r="I80" s="18">
        <v>84</v>
      </c>
      <c r="J80" s="19">
        <v>0.11825932717098833</v>
      </c>
      <c r="K80" s="19">
        <v>3.8781931934927308E-2</v>
      </c>
      <c r="L80" s="19">
        <v>4.1706516781267897E-2</v>
      </c>
      <c r="M80" s="18">
        <v>119.95162372277325</v>
      </c>
      <c r="N80" s="13">
        <f t="shared" si="22"/>
        <v>135.60721057137599</v>
      </c>
      <c r="O80" s="13">
        <f t="shared" si="23"/>
        <v>10400</v>
      </c>
      <c r="P80" s="13">
        <f t="shared" si="24"/>
        <v>1229.8970025782787</v>
      </c>
      <c r="Q80" s="13">
        <f t="shared" si="25"/>
        <v>355.63431028228212</v>
      </c>
      <c r="R80" s="13">
        <f t="shared" si="26"/>
        <v>433.74777452518612</v>
      </c>
      <c r="S80" s="13">
        <f t="shared" si="27"/>
        <v>8260.7692888914808</v>
      </c>
      <c r="T80" s="13">
        <f t="shared" si="28"/>
        <v>5460</v>
      </c>
      <c r="U80" s="13">
        <f t="shared" si="29"/>
        <v>2800.7692888914808</v>
      </c>
      <c r="V80" s="14">
        <f t="shared" si="30"/>
        <v>0.33904460843105305</v>
      </c>
      <c r="W80" s="13">
        <f t="shared" si="31"/>
        <v>2139.2307111085202</v>
      </c>
      <c r="X80" s="14">
        <f t="shared" si="32"/>
        <v>0.20569526068351154</v>
      </c>
      <c r="Y80" s="12" t="str">
        <f>IF(AND(V80&lt;Inputs!$B$12,X80&gt;Inputs!$B$13),"Priority: margin + leakage",IF(V80&lt;Inputs!$B$12,"Margin review",IF(X80&gt;Inputs!$B$13,"Leakage review","Monitor")))</f>
        <v>Leakage review</v>
      </c>
      <c r="Z80" s="1"/>
    </row>
    <row r="81" spans="1:26" ht="20" customHeight="1">
      <c r="A81" s="15" t="s">
        <v>215</v>
      </c>
      <c r="B81" s="16">
        <v>45780</v>
      </c>
      <c r="C81" s="15" t="s">
        <v>117</v>
      </c>
      <c r="D81" s="15" t="s">
        <v>113</v>
      </c>
      <c r="E81" s="15" t="s">
        <v>151</v>
      </c>
      <c r="F81" s="15" t="s">
        <v>115</v>
      </c>
      <c r="G81" s="17">
        <v>101</v>
      </c>
      <c r="H81" s="18">
        <v>105</v>
      </c>
      <c r="I81" s="18">
        <v>58</v>
      </c>
      <c r="J81" s="19">
        <v>0.13588128663902241</v>
      </c>
      <c r="K81" s="19">
        <v>3.8650661983794847E-2</v>
      </c>
      <c r="L81" s="19">
        <v>3.8338634572120459E-2</v>
      </c>
      <c r="M81" s="18">
        <v>13.774186873653832</v>
      </c>
      <c r="N81" s="13">
        <f t="shared" si="22"/>
        <v>87.225595070984028</v>
      </c>
      <c r="O81" s="13">
        <f t="shared" si="23"/>
        <v>10605</v>
      </c>
      <c r="P81" s="13">
        <f t="shared" si="24"/>
        <v>1441.0210448068326</v>
      </c>
      <c r="Q81" s="13">
        <f t="shared" si="25"/>
        <v>354.1938530237806</v>
      </c>
      <c r="R81" s="13">
        <f t="shared" si="26"/>
        <v>406.58121963733748</v>
      </c>
      <c r="S81" s="13">
        <f t="shared" si="27"/>
        <v>8389.4296956583948</v>
      </c>
      <c r="T81" s="13">
        <f t="shared" si="28"/>
        <v>5858</v>
      </c>
      <c r="U81" s="13">
        <f t="shared" si="29"/>
        <v>2531.4296956583948</v>
      </c>
      <c r="V81" s="14">
        <f t="shared" si="30"/>
        <v>0.3017403789638326</v>
      </c>
      <c r="W81" s="13">
        <f t="shared" si="31"/>
        <v>2215.5703043416047</v>
      </c>
      <c r="X81" s="14">
        <f t="shared" si="32"/>
        <v>0.20891752044711029</v>
      </c>
      <c r="Y81" s="12" t="str">
        <f>IF(AND(V81&lt;Inputs!$B$12,X81&gt;Inputs!$B$13),"Priority: margin + leakage",IF(V81&lt;Inputs!$B$12,"Margin review",IF(X81&gt;Inputs!$B$13,"Leakage review","Monitor")))</f>
        <v>Leakage review</v>
      </c>
      <c r="Z81" s="1"/>
    </row>
    <row r="82" spans="1:26" ht="20" customHeight="1">
      <c r="A82" s="15" t="s">
        <v>216</v>
      </c>
      <c r="B82" s="16">
        <v>45846</v>
      </c>
      <c r="C82" s="15" t="s">
        <v>150</v>
      </c>
      <c r="D82" s="15" t="s">
        <v>129</v>
      </c>
      <c r="E82" s="15" t="s">
        <v>143</v>
      </c>
      <c r="F82" s="15" t="s">
        <v>119</v>
      </c>
      <c r="G82" s="17">
        <v>90</v>
      </c>
      <c r="H82" s="18">
        <v>575</v>
      </c>
      <c r="I82" s="18">
        <v>235</v>
      </c>
      <c r="J82" s="19">
        <v>0.13900573636295757</v>
      </c>
      <c r="K82" s="19">
        <v>7.4995520840432289E-2</v>
      </c>
      <c r="L82" s="19">
        <v>1.1482463512605803E-2</v>
      </c>
      <c r="M82" s="18">
        <v>135.09248499591791</v>
      </c>
      <c r="N82" s="13">
        <f t="shared" si="22"/>
        <v>457.94354147710084</v>
      </c>
      <c r="O82" s="13">
        <f t="shared" si="23"/>
        <v>51750</v>
      </c>
      <c r="P82" s="13">
        <f t="shared" si="24"/>
        <v>7193.546856783054</v>
      </c>
      <c r="Q82" s="13">
        <f t="shared" si="25"/>
        <v>3341.5344102778713</v>
      </c>
      <c r="R82" s="13">
        <f t="shared" si="26"/>
        <v>594.21748677735036</v>
      </c>
      <c r="S82" s="13">
        <f t="shared" si="27"/>
        <v>40485.608761165808</v>
      </c>
      <c r="T82" s="13">
        <f t="shared" si="28"/>
        <v>21150</v>
      </c>
      <c r="U82" s="13">
        <f t="shared" si="29"/>
        <v>19335.608761165808</v>
      </c>
      <c r="V82" s="14">
        <f t="shared" si="30"/>
        <v>0.47759214577286319</v>
      </c>
      <c r="W82" s="13">
        <f t="shared" si="31"/>
        <v>11264.391238834192</v>
      </c>
      <c r="X82" s="14">
        <f t="shared" si="32"/>
        <v>0.2176693959195013</v>
      </c>
      <c r="Y82" s="12" t="str">
        <f>IF(AND(V82&lt;Inputs!$B$12,X82&gt;Inputs!$B$13),"Priority: margin + leakage",IF(V82&lt;Inputs!$B$12,"Margin review",IF(X82&gt;Inputs!$B$13,"Leakage review","Monitor")))</f>
        <v>Leakage review</v>
      </c>
      <c r="Z82" s="1"/>
    </row>
    <row r="83" spans="1:26" ht="20" customHeight="1">
      <c r="A83" s="15" t="s">
        <v>217</v>
      </c>
      <c r="B83" s="16">
        <v>45817</v>
      </c>
      <c r="C83" s="15" t="s">
        <v>150</v>
      </c>
      <c r="D83" s="15" t="s">
        <v>129</v>
      </c>
      <c r="E83" s="15" t="s">
        <v>114</v>
      </c>
      <c r="F83" s="15" t="s">
        <v>115</v>
      </c>
      <c r="G83" s="17">
        <v>104</v>
      </c>
      <c r="H83" s="18">
        <v>160</v>
      </c>
      <c r="I83" s="18">
        <v>84</v>
      </c>
      <c r="J83" s="19">
        <v>0.11318167601113445</v>
      </c>
      <c r="K83" s="19">
        <v>0</v>
      </c>
      <c r="L83" s="19">
        <v>2.8194553526836745E-2</v>
      </c>
      <c r="M83" s="18">
        <v>132.89555766902632</v>
      </c>
      <c r="N83" s="13">
        <f t="shared" si="22"/>
        <v>141.89093183821848</v>
      </c>
      <c r="O83" s="13">
        <f t="shared" si="23"/>
        <v>16640</v>
      </c>
      <c r="P83" s="13">
        <f t="shared" si="24"/>
        <v>1883.3430888252772</v>
      </c>
      <c r="Q83" s="13">
        <f t="shared" si="25"/>
        <v>0</v>
      </c>
      <c r="R83" s="13">
        <f t="shared" si="26"/>
        <v>469.15737068656341</v>
      </c>
      <c r="S83" s="13">
        <f t="shared" si="27"/>
        <v>14154.603982819131</v>
      </c>
      <c r="T83" s="13">
        <f t="shared" si="28"/>
        <v>8736</v>
      </c>
      <c r="U83" s="13">
        <f t="shared" si="29"/>
        <v>5418.6039828191315</v>
      </c>
      <c r="V83" s="14">
        <f t="shared" si="30"/>
        <v>0.38281565414307861</v>
      </c>
      <c r="W83" s="13">
        <f t="shared" si="31"/>
        <v>2485.3960171808671</v>
      </c>
      <c r="X83" s="14">
        <f t="shared" si="32"/>
        <v>0.14936274141711942</v>
      </c>
      <c r="Y83" s="12" t="str">
        <f>IF(AND(V83&lt;Inputs!$B$12,X83&gt;Inputs!$B$13),"Priority: margin + leakage",IF(V83&lt;Inputs!$B$12,"Margin review",IF(X83&gt;Inputs!$B$13,"Leakage review","Monitor")))</f>
        <v>Leakage review</v>
      </c>
      <c r="Z83" s="1"/>
    </row>
    <row r="84" spans="1:26" ht="20" customHeight="1">
      <c r="A84" s="15" t="s">
        <v>218</v>
      </c>
      <c r="B84" s="16">
        <v>45782</v>
      </c>
      <c r="C84" s="15" t="s">
        <v>158</v>
      </c>
      <c r="D84" s="15" t="s">
        <v>129</v>
      </c>
      <c r="E84" s="15" t="s">
        <v>118</v>
      </c>
      <c r="F84" s="15" t="s">
        <v>119</v>
      </c>
      <c r="G84" s="17">
        <v>55</v>
      </c>
      <c r="H84" s="18">
        <v>420</v>
      </c>
      <c r="I84" s="18">
        <v>180</v>
      </c>
      <c r="J84" s="19">
        <v>9.6716113075131241E-2</v>
      </c>
      <c r="K84" s="19">
        <v>2.9023754160065342E-2</v>
      </c>
      <c r="L84" s="19">
        <v>0</v>
      </c>
      <c r="M84" s="18">
        <v>27.250474544386449</v>
      </c>
      <c r="N84" s="13">
        <f t="shared" si="22"/>
        <v>368.36822293068553</v>
      </c>
      <c r="O84" s="13">
        <f t="shared" si="23"/>
        <v>23100</v>
      </c>
      <c r="P84" s="13">
        <f t="shared" si="24"/>
        <v>2234.1422120355319</v>
      </c>
      <c r="Q84" s="13">
        <f t="shared" si="25"/>
        <v>605.6055267767656</v>
      </c>
      <c r="R84" s="13">
        <f t="shared" si="26"/>
        <v>0</v>
      </c>
      <c r="S84" s="13">
        <f t="shared" si="27"/>
        <v>20233.001786643315</v>
      </c>
      <c r="T84" s="13">
        <f t="shared" si="28"/>
        <v>9900</v>
      </c>
      <c r="U84" s="13">
        <f t="shared" si="29"/>
        <v>10333.001786643315</v>
      </c>
      <c r="V84" s="14">
        <f t="shared" si="30"/>
        <v>0.51070038423386976</v>
      </c>
      <c r="W84" s="13">
        <f t="shared" si="31"/>
        <v>2866.9982133566841</v>
      </c>
      <c r="X84" s="14">
        <f t="shared" si="32"/>
        <v>0.12411247676868763</v>
      </c>
      <c r="Y84" s="12" t="str">
        <f>IF(AND(V84&lt;Inputs!$B$12,X84&gt;Inputs!$B$13),"Priority: margin + leakage",IF(V84&lt;Inputs!$B$12,"Margin review",IF(X84&gt;Inputs!$B$13,"Leakage review","Monitor")))</f>
        <v>Leakage review</v>
      </c>
      <c r="Z84" s="1"/>
    </row>
    <row r="85" spans="1:26" ht="20" customHeight="1">
      <c r="A85" s="15" t="s">
        <v>219</v>
      </c>
      <c r="B85" s="16">
        <v>45679</v>
      </c>
      <c r="C85" s="15" t="s">
        <v>117</v>
      </c>
      <c r="D85" s="15" t="s">
        <v>113</v>
      </c>
      <c r="E85" s="15" t="s">
        <v>132</v>
      </c>
      <c r="F85" s="15" t="s">
        <v>126</v>
      </c>
      <c r="G85" s="17">
        <v>113</v>
      </c>
      <c r="H85" s="18">
        <v>125</v>
      </c>
      <c r="I85" s="18">
        <v>78</v>
      </c>
      <c r="J85" s="19">
        <v>8.4574806205637329E-2</v>
      </c>
      <c r="K85" s="19">
        <v>0</v>
      </c>
      <c r="L85" s="19">
        <v>3.1659919545252067E-2</v>
      </c>
      <c r="M85" s="18">
        <v>0</v>
      </c>
      <c r="N85" s="13">
        <f t="shared" si="22"/>
        <v>114.42814922429534</v>
      </c>
      <c r="O85" s="13">
        <f t="shared" si="23"/>
        <v>14125</v>
      </c>
      <c r="P85" s="13">
        <f t="shared" si="24"/>
        <v>1194.6191376546274</v>
      </c>
      <c r="Q85" s="13">
        <f t="shared" si="25"/>
        <v>0</v>
      </c>
      <c r="R85" s="13">
        <f t="shared" si="26"/>
        <v>447.19636357668543</v>
      </c>
      <c r="S85" s="13">
        <f t="shared" si="27"/>
        <v>12483.184498768687</v>
      </c>
      <c r="T85" s="13">
        <f t="shared" si="28"/>
        <v>8814</v>
      </c>
      <c r="U85" s="13">
        <f t="shared" si="29"/>
        <v>3669.1844987686873</v>
      </c>
      <c r="V85" s="14">
        <f t="shared" si="30"/>
        <v>0.29393016654769522</v>
      </c>
      <c r="W85" s="13">
        <f t="shared" si="31"/>
        <v>1641.8155012313127</v>
      </c>
      <c r="X85" s="14">
        <f t="shared" si="32"/>
        <v>0.1162347257508894</v>
      </c>
      <c r="Y85" s="12" t="str">
        <f>IF(AND(V85&lt;Inputs!$B$12,X85&gt;Inputs!$B$13),"Priority: margin + leakage",IF(V85&lt;Inputs!$B$12,"Margin review",IF(X85&gt;Inputs!$B$13,"Leakage review","Monitor")))</f>
        <v>Margin review</v>
      </c>
      <c r="Z85" s="1"/>
    </row>
    <row r="86" spans="1:26" ht="20" customHeight="1">
      <c r="A86" s="15" t="s">
        <v>220</v>
      </c>
      <c r="B86" s="16">
        <v>45908</v>
      </c>
      <c r="C86" s="15" t="s">
        <v>160</v>
      </c>
      <c r="D86" s="15" t="s">
        <v>122</v>
      </c>
      <c r="E86" s="15" t="s">
        <v>118</v>
      </c>
      <c r="F86" s="15" t="s">
        <v>119</v>
      </c>
      <c r="G86" s="17">
        <v>89</v>
      </c>
      <c r="H86" s="18">
        <v>420</v>
      </c>
      <c r="I86" s="18">
        <v>180</v>
      </c>
      <c r="J86" s="19">
        <v>1.6438757436749336E-2</v>
      </c>
      <c r="K86" s="19">
        <v>5.6569174234191756E-2</v>
      </c>
      <c r="L86" s="19">
        <v>5.9986411464678889E-3</v>
      </c>
      <c r="M86" s="18">
        <v>267.17773345633634</v>
      </c>
      <c r="N86" s="13">
        <f t="shared" si="22"/>
        <v>389.72723801033067</v>
      </c>
      <c r="O86" s="13">
        <f t="shared" si="23"/>
        <v>37380</v>
      </c>
      <c r="P86" s="13">
        <f t="shared" si="24"/>
        <v>614.48075298569017</v>
      </c>
      <c r="Q86" s="13">
        <f t="shared" si="25"/>
        <v>2079.7950640948829</v>
      </c>
      <c r="R86" s="13">
        <f t="shared" si="26"/>
        <v>224.22920605496969</v>
      </c>
      <c r="S86" s="13">
        <f t="shared" si="27"/>
        <v>34194.317243408128</v>
      </c>
      <c r="T86" s="13">
        <f t="shared" si="28"/>
        <v>16020</v>
      </c>
      <c r="U86" s="13">
        <f t="shared" si="29"/>
        <v>18174.317243408128</v>
      </c>
      <c r="V86" s="14">
        <f t="shared" si="30"/>
        <v>0.5315011004324619</v>
      </c>
      <c r="W86" s="13">
        <f t="shared" si="31"/>
        <v>3185.6827565918793</v>
      </c>
      <c r="X86" s="14">
        <f t="shared" si="32"/>
        <v>8.5224257800745828E-2</v>
      </c>
      <c r="Y86" s="12" t="str">
        <f>IF(AND(V86&lt;Inputs!$B$12,X86&gt;Inputs!$B$13),"Priority: margin + leakage",IF(V86&lt;Inputs!$B$12,"Margin review",IF(X86&gt;Inputs!$B$13,"Leakage review","Monitor")))</f>
        <v>Monitor</v>
      </c>
      <c r="Z86" s="1"/>
    </row>
    <row r="87" spans="1:26" ht="20" customHeight="1">
      <c r="A87" s="15" t="s">
        <v>221</v>
      </c>
      <c r="B87" s="16">
        <v>45925</v>
      </c>
      <c r="C87" s="15" t="s">
        <v>117</v>
      </c>
      <c r="D87" s="15" t="s">
        <v>113</v>
      </c>
      <c r="E87" s="15" t="s">
        <v>118</v>
      </c>
      <c r="F87" s="15" t="s">
        <v>119</v>
      </c>
      <c r="G87" s="17">
        <v>51</v>
      </c>
      <c r="H87" s="18">
        <v>420</v>
      </c>
      <c r="I87" s="18">
        <v>180</v>
      </c>
      <c r="J87" s="19">
        <v>6.6701995262688912E-2</v>
      </c>
      <c r="K87" s="19">
        <v>0</v>
      </c>
      <c r="L87" s="19">
        <v>1.9898406635929629E-2</v>
      </c>
      <c r="M87" s="18">
        <v>27.197111972967107</v>
      </c>
      <c r="N87" s="13">
        <f t="shared" si="22"/>
        <v>391.98516198967064</v>
      </c>
      <c r="O87" s="13">
        <f t="shared" si="23"/>
        <v>21420</v>
      </c>
      <c r="P87" s="13">
        <f t="shared" si="24"/>
        <v>1428.7567385267964</v>
      </c>
      <c r="Q87" s="13">
        <f t="shared" si="25"/>
        <v>0</v>
      </c>
      <c r="R87" s="13">
        <f t="shared" si="26"/>
        <v>426.22387014161262</v>
      </c>
      <c r="S87" s="13">
        <f t="shared" si="27"/>
        <v>19537.822279358621</v>
      </c>
      <c r="T87" s="13">
        <f t="shared" si="28"/>
        <v>9180</v>
      </c>
      <c r="U87" s="13">
        <f t="shared" si="29"/>
        <v>10357.822279358621</v>
      </c>
      <c r="V87" s="14">
        <f t="shared" si="30"/>
        <v>0.53014210751120838</v>
      </c>
      <c r="W87" s="13">
        <f t="shared" si="31"/>
        <v>1882.1777206413763</v>
      </c>
      <c r="X87" s="14">
        <f t="shared" si="32"/>
        <v>8.7870108339933528E-2</v>
      </c>
      <c r="Y87" s="12" t="str">
        <f>IF(AND(V87&lt;Inputs!$B$12,X87&gt;Inputs!$B$13),"Priority: margin + leakage",IF(V87&lt;Inputs!$B$12,"Margin review",IF(X87&gt;Inputs!$B$13,"Leakage review","Monitor")))</f>
        <v>Monitor</v>
      </c>
      <c r="Z87" s="1"/>
    </row>
    <row r="88" spans="1:26" ht="20" customHeight="1">
      <c r="A88" s="15" t="s">
        <v>222</v>
      </c>
      <c r="B88" s="16">
        <v>45961</v>
      </c>
      <c r="C88" s="15" t="s">
        <v>112</v>
      </c>
      <c r="D88" s="15" t="s">
        <v>113</v>
      </c>
      <c r="E88" s="15" t="s">
        <v>132</v>
      </c>
      <c r="F88" s="15" t="s">
        <v>126</v>
      </c>
      <c r="G88" s="17">
        <v>83</v>
      </c>
      <c r="H88" s="18">
        <v>125</v>
      </c>
      <c r="I88" s="18">
        <v>78</v>
      </c>
      <c r="J88" s="19">
        <v>0.12555697176493127</v>
      </c>
      <c r="K88" s="19">
        <v>5.9788590462748897E-3</v>
      </c>
      <c r="L88" s="19">
        <v>5.8518621368998762E-3</v>
      </c>
      <c r="M88" s="18">
        <v>49.427961730946869</v>
      </c>
      <c r="N88" s="13">
        <f t="shared" si="22"/>
        <v>108.65185707815668</v>
      </c>
      <c r="O88" s="13">
        <f t="shared" si="23"/>
        <v>10375</v>
      </c>
      <c r="P88" s="13">
        <f t="shared" si="24"/>
        <v>1302.6535820611621</v>
      </c>
      <c r="Q88" s="13">
        <f t="shared" si="25"/>
        <v>54.24228045183321</v>
      </c>
      <c r="R88" s="13">
        <f t="shared" si="26"/>
        <v>60.713069670336218</v>
      </c>
      <c r="S88" s="13">
        <f t="shared" si="27"/>
        <v>8907.9631060857191</v>
      </c>
      <c r="T88" s="13">
        <f t="shared" si="28"/>
        <v>6474</v>
      </c>
      <c r="U88" s="13">
        <f t="shared" si="29"/>
        <v>2433.9631060857191</v>
      </c>
      <c r="V88" s="14">
        <f t="shared" si="30"/>
        <v>0.27323452927447472</v>
      </c>
      <c r="W88" s="13">
        <f t="shared" si="31"/>
        <v>1467.0368939142784</v>
      </c>
      <c r="X88" s="14">
        <f t="shared" si="32"/>
        <v>0.14140114640137624</v>
      </c>
      <c r="Y88" s="12" t="str">
        <f>IF(AND(V88&lt;Inputs!$B$12,X88&gt;Inputs!$B$13),"Priority: margin + leakage",IF(V88&lt;Inputs!$B$12,"Margin review",IF(X88&gt;Inputs!$B$13,"Leakage review","Monitor")))</f>
        <v>Priority: margin + leakage</v>
      </c>
      <c r="Z88" s="1"/>
    </row>
    <row r="89" spans="1:26" ht="20" customHeight="1">
      <c r="A89" s="15" t="s">
        <v>223</v>
      </c>
      <c r="B89" s="16">
        <v>45895</v>
      </c>
      <c r="C89" s="15" t="s">
        <v>175</v>
      </c>
      <c r="D89" s="15" t="s">
        <v>129</v>
      </c>
      <c r="E89" s="15" t="s">
        <v>125</v>
      </c>
      <c r="F89" s="15" t="s">
        <v>126</v>
      </c>
      <c r="G89" s="17">
        <v>114</v>
      </c>
      <c r="H89" s="18">
        <v>260</v>
      </c>
      <c r="I89" s="18">
        <v>165</v>
      </c>
      <c r="J89" s="19">
        <v>7.7313508906411157E-2</v>
      </c>
      <c r="K89" s="19">
        <v>9.336718887836587E-2</v>
      </c>
      <c r="L89" s="19">
        <v>2.1437816033290334E-2</v>
      </c>
      <c r="M89" s="18">
        <v>88.070703486619649</v>
      </c>
      <c r="N89" s="13">
        <f t="shared" si="22"/>
        <v>217.49984027307565</v>
      </c>
      <c r="O89" s="13">
        <f t="shared" si="23"/>
        <v>29640</v>
      </c>
      <c r="P89" s="13">
        <f t="shared" si="24"/>
        <v>2291.5724039860265</v>
      </c>
      <c r="Q89" s="13">
        <f t="shared" si="25"/>
        <v>2553.4458048833503</v>
      </c>
      <c r="R89" s="13">
        <f t="shared" si="26"/>
        <v>635.41686722672546</v>
      </c>
      <c r="S89" s="13">
        <f t="shared" si="27"/>
        <v>24071.494220417277</v>
      </c>
      <c r="T89" s="13">
        <f t="shared" si="28"/>
        <v>18810</v>
      </c>
      <c r="U89" s="13">
        <f t="shared" si="29"/>
        <v>5261.4942204172767</v>
      </c>
      <c r="V89" s="14">
        <f t="shared" si="30"/>
        <v>0.21857779879549452</v>
      </c>
      <c r="W89" s="13">
        <f t="shared" si="31"/>
        <v>5568.5057795827215</v>
      </c>
      <c r="X89" s="14">
        <f t="shared" si="32"/>
        <v>0.18787131510063163</v>
      </c>
      <c r="Y89" s="12" t="str">
        <f>IF(AND(V89&lt;Inputs!$B$12,X89&gt;Inputs!$B$13),"Priority: margin + leakage",IF(V89&lt;Inputs!$B$12,"Margin review",IF(X89&gt;Inputs!$B$13,"Leakage review","Monitor")))</f>
        <v>Priority: margin + leakage</v>
      </c>
      <c r="Z89" s="1"/>
    </row>
    <row r="90" spans="1:26" ht="20" customHeight="1">
      <c r="A90" s="15" t="s">
        <v>224</v>
      </c>
      <c r="B90" s="16">
        <v>45790</v>
      </c>
      <c r="C90" s="15" t="s">
        <v>158</v>
      </c>
      <c r="D90" s="15" t="s">
        <v>129</v>
      </c>
      <c r="E90" s="15" t="s">
        <v>118</v>
      </c>
      <c r="F90" s="15" t="s">
        <v>119</v>
      </c>
      <c r="G90" s="17">
        <v>48</v>
      </c>
      <c r="H90" s="18">
        <v>420</v>
      </c>
      <c r="I90" s="18">
        <v>180</v>
      </c>
      <c r="J90" s="19">
        <v>0.14218291342826295</v>
      </c>
      <c r="K90" s="19">
        <v>4.374854914047286E-2</v>
      </c>
      <c r="L90" s="19">
        <v>3.0161806805626502E-2</v>
      </c>
      <c r="M90" s="18">
        <v>176.53427578695857</v>
      </c>
      <c r="N90" s="13">
        <f t="shared" si="22"/>
        <v>344.52131011465281</v>
      </c>
      <c r="O90" s="13">
        <f t="shared" si="23"/>
        <v>20160</v>
      </c>
      <c r="P90" s="13">
        <f t="shared" si="24"/>
        <v>2866.4075347137809</v>
      </c>
      <c r="Q90" s="13">
        <f t="shared" si="25"/>
        <v>756.5695797828854</v>
      </c>
      <c r="R90" s="13">
        <f t="shared" si="26"/>
        <v>608.06202520143029</v>
      </c>
      <c r="S90" s="13">
        <f t="shared" si="27"/>
        <v>15752.426584514946</v>
      </c>
      <c r="T90" s="13">
        <f t="shared" si="28"/>
        <v>8640</v>
      </c>
      <c r="U90" s="13">
        <f t="shared" si="29"/>
        <v>7112.4265845149457</v>
      </c>
      <c r="V90" s="14">
        <f t="shared" si="30"/>
        <v>0.45151307618260228</v>
      </c>
      <c r="W90" s="13">
        <f t="shared" si="31"/>
        <v>4407.5734154850552</v>
      </c>
      <c r="X90" s="14">
        <f t="shared" si="32"/>
        <v>0.21862963370461583</v>
      </c>
      <c r="Y90" s="12" t="str">
        <f>IF(AND(V90&lt;Inputs!$B$12,X90&gt;Inputs!$B$13),"Priority: margin + leakage",IF(V90&lt;Inputs!$B$12,"Margin review",IF(X90&gt;Inputs!$B$13,"Leakage review","Monitor")))</f>
        <v>Leakage review</v>
      </c>
      <c r="Z90" s="1"/>
    </row>
    <row r="91" spans="1:26" ht="20" customHeight="1">
      <c r="A91" s="15" t="s">
        <v>225</v>
      </c>
      <c r="B91" s="16">
        <v>45755</v>
      </c>
      <c r="C91" s="15" t="s">
        <v>160</v>
      </c>
      <c r="D91" s="15" t="s">
        <v>122</v>
      </c>
      <c r="E91" s="15" t="s">
        <v>132</v>
      </c>
      <c r="F91" s="15" t="s">
        <v>126</v>
      </c>
      <c r="G91" s="17">
        <v>117</v>
      </c>
      <c r="H91" s="18">
        <v>125</v>
      </c>
      <c r="I91" s="18">
        <v>78</v>
      </c>
      <c r="J91" s="19">
        <v>0</v>
      </c>
      <c r="K91" s="19">
        <v>5.7487791670231582E-3</v>
      </c>
      <c r="L91" s="19">
        <v>4.6156758067908768E-3</v>
      </c>
      <c r="M91" s="18">
        <v>28.436755758339039</v>
      </c>
      <c r="N91" s="13">
        <f t="shared" si="22"/>
        <v>124.28140260412209</v>
      </c>
      <c r="O91" s="13">
        <f t="shared" si="23"/>
        <v>14625</v>
      </c>
      <c r="P91" s="13">
        <f t="shared" si="24"/>
        <v>0</v>
      </c>
      <c r="Q91" s="13">
        <f t="shared" si="25"/>
        <v>84.075895317713687</v>
      </c>
      <c r="R91" s="13">
        <f t="shared" si="26"/>
        <v>67.504258674316574</v>
      </c>
      <c r="S91" s="13">
        <f t="shared" si="27"/>
        <v>14444.983090249629</v>
      </c>
      <c r="T91" s="13">
        <f t="shared" si="28"/>
        <v>9126</v>
      </c>
      <c r="U91" s="13">
        <f t="shared" si="29"/>
        <v>5318.9830902496287</v>
      </c>
      <c r="V91" s="14">
        <f t="shared" si="30"/>
        <v>0.36822355948896507</v>
      </c>
      <c r="W91" s="13">
        <f t="shared" si="31"/>
        <v>180.01690975036931</v>
      </c>
      <c r="X91" s="14">
        <f t="shared" si="32"/>
        <v>1.2308848529939782E-2</v>
      </c>
      <c r="Y91" s="12" t="str">
        <f>IF(AND(V91&lt;Inputs!$B$12,X91&gt;Inputs!$B$13),"Priority: margin + leakage",IF(V91&lt;Inputs!$B$12,"Margin review",IF(X91&gt;Inputs!$B$13,"Leakage review","Monitor")))</f>
        <v>Monitor</v>
      </c>
      <c r="Z91" s="1"/>
    </row>
    <row r="92" spans="1:26" ht="20" customHeight="1">
      <c r="A92" s="15" t="s">
        <v>226</v>
      </c>
      <c r="B92" s="16">
        <v>46022</v>
      </c>
      <c r="C92" s="15" t="s">
        <v>117</v>
      </c>
      <c r="D92" s="15" t="s">
        <v>113</v>
      </c>
      <c r="E92" s="15" t="s">
        <v>135</v>
      </c>
      <c r="F92" s="15" t="s">
        <v>136</v>
      </c>
      <c r="G92" s="17">
        <v>97</v>
      </c>
      <c r="H92" s="18">
        <v>310</v>
      </c>
      <c r="I92" s="18">
        <v>142</v>
      </c>
      <c r="J92" s="19">
        <v>7.2930479339374008E-2</v>
      </c>
      <c r="K92" s="19">
        <v>5.2649354297827591E-2</v>
      </c>
      <c r="L92" s="19">
        <v>2.6243549486369384E-2</v>
      </c>
      <c r="M92" s="18">
        <v>222.14542927617515</v>
      </c>
      <c r="N92" s="13">
        <f t="shared" si="22"/>
        <v>272.26057179268071</v>
      </c>
      <c r="O92" s="13">
        <f t="shared" si="23"/>
        <v>30070</v>
      </c>
      <c r="P92" s="13">
        <f t="shared" si="24"/>
        <v>2193.0195137349765</v>
      </c>
      <c r="Q92" s="13">
        <f t="shared" si="25"/>
        <v>1467.7050223749934</v>
      </c>
      <c r="R92" s="13">
        <f t="shared" si="26"/>
        <v>789.14353305512736</v>
      </c>
      <c r="S92" s="13">
        <f t="shared" si="27"/>
        <v>25397.986501558727</v>
      </c>
      <c r="T92" s="13">
        <f t="shared" si="28"/>
        <v>13774</v>
      </c>
      <c r="U92" s="13">
        <f t="shared" si="29"/>
        <v>11623.986501558727</v>
      </c>
      <c r="V92" s="14">
        <f t="shared" si="30"/>
        <v>0.45767354435145241</v>
      </c>
      <c r="W92" s="13">
        <f t="shared" si="31"/>
        <v>4672.0134984412725</v>
      </c>
      <c r="X92" s="14">
        <f t="shared" si="32"/>
        <v>0.15537125036386007</v>
      </c>
      <c r="Y92" s="12" t="str">
        <f>IF(AND(V92&lt;Inputs!$B$12,X92&gt;Inputs!$B$13),"Priority: margin + leakage",IF(V92&lt;Inputs!$B$12,"Margin review",IF(X92&gt;Inputs!$B$13,"Leakage review","Monitor")))</f>
        <v>Leakage review</v>
      </c>
      <c r="Z92" s="1"/>
    </row>
    <row r="93" spans="1:26" ht="20" customHeight="1">
      <c r="A93" s="15" t="s">
        <v>227</v>
      </c>
      <c r="B93" s="16">
        <v>45997</v>
      </c>
      <c r="C93" s="15" t="s">
        <v>139</v>
      </c>
      <c r="D93" s="15" t="s">
        <v>113</v>
      </c>
      <c r="E93" s="15" t="s">
        <v>143</v>
      </c>
      <c r="F93" s="15" t="s">
        <v>119</v>
      </c>
      <c r="G93" s="17">
        <v>106</v>
      </c>
      <c r="H93" s="18">
        <v>575</v>
      </c>
      <c r="I93" s="18">
        <v>235</v>
      </c>
      <c r="J93" s="19">
        <v>0.13904786345102849</v>
      </c>
      <c r="K93" s="19">
        <v>3.7256780514770313E-2</v>
      </c>
      <c r="L93" s="19">
        <v>1.3911752570201436E-2</v>
      </c>
      <c r="M93" s="18">
        <v>157.98357462730584</v>
      </c>
      <c r="N93" s="13">
        <f t="shared" si="22"/>
        <v>476.60360326421022</v>
      </c>
      <c r="O93" s="13">
        <f t="shared" si="23"/>
        <v>60950</v>
      </c>
      <c r="P93" s="13">
        <f t="shared" si="24"/>
        <v>8474.9672773401853</v>
      </c>
      <c r="Q93" s="13">
        <f t="shared" si="25"/>
        <v>1955.0507766535268</v>
      </c>
      <c r="R93" s="13">
        <f t="shared" si="26"/>
        <v>847.92131915377752</v>
      </c>
      <c r="S93" s="13">
        <f t="shared" si="27"/>
        <v>49514.077052225199</v>
      </c>
      <c r="T93" s="13">
        <f t="shared" si="28"/>
        <v>24910</v>
      </c>
      <c r="U93" s="13">
        <f t="shared" si="29"/>
        <v>24604.077052225199</v>
      </c>
      <c r="V93" s="14">
        <f t="shared" si="30"/>
        <v>0.49691074775106758</v>
      </c>
      <c r="W93" s="13">
        <f t="shared" si="31"/>
        <v>11435.922947774796</v>
      </c>
      <c r="X93" s="14">
        <f t="shared" si="32"/>
        <v>0.18762794007833955</v>
      </c>
      <c r="Y93" s="12" t="str">
        <f>IF(AND(V93&lt;Inputs!$B$12,X93&gt;Inputs!$B$13),"Priority: margin + leakage",IF(V93&lt;Inputs!$B$12,"Margin review",IF(X93&gt;Inputs!$B$13,"Leakage review","Monitor")))</f>
        <v>Leakage review</v>
      </c>
      <c r="Z93" s="1"/>
    </row>
    <row r="94" spans="1:26" ht="20" customHeight="1">
      <c r="A94" s="15" t="s">
        <v>228</v>
      </c>
      <c r="B94" s="16">
        <v>45838</v>
      </c>
      <c r="C94" s="15" t="s">
        <v>158</v>
      </c>
      <c r="D94" s="15" t="s">
        <v>129</v>
      </c>
      <c r="E94" s="15" t="s">
        <v>125</v>
      </c>
      <c r="F94" s="15" t="s">
        <v>126</v>
      </c>
      <c r="G94" s="17">
        <v>65</v>
      </c>
      <c r="H94" s="18">
        <v>260</v>
      </c>
      <c r="I94" s="18">
        <v>165</v>
      </c>
      <c r="J94" s="19">
        <v>4.4671409845077482E-2</v>
      </c>
      <c r="K94" s="19">
        <v>2.7434732506054899E-2</v>
      </c>
      <c r="L94" s="19">
        <v>4.7754353927012508E-2</v>
      </c>
      <c r="M94" s="18">
        <v>43.92962016717793</v>
      </c>
      <c r="N94" s="13">
        <f t="shared" si="22"/>
        <v>241.57104551544526</v>
      </c>
      <c r="O94" s="13">
        <f t="shared" si="23"/>
        <v>16900</v>
      </c>
      <c r="P94" s="13">
        <f t="shared" si="24"/>
        <v>754.9468263818095</v>
      </c>
      <c r="Q94" s="13">
        <f t="shared" si="25"/>
        <v>442.9352151142478</v>
      </c>
      <c r="R94" s="13">
        <f t="shared" si="26"/>
        <v>807.04858136651137</v>
      </c>
      <c r="S94" s="13">
        <f t="shared" si="27"/>
        <v>14851.139756970253</v>
      </c>
      <c r="T94" s="13">
        <f t="shared" si="28"/>
        <v>10725</v>
      </c>
      <c r="U94" s="13">
        <f t="shared" si="29"/>
        <v>4126.1397569702531</v>
      </c>
      <c r="V94" s="14">
        <f t="shared" si="30"/>
        <v>0.27783320502614522</v>
      </c>
      <c r="W94" s="13">
        <f t="shared" si="31"/>
        <v>2048.8602430297465</v>
      </c>
      <c r="X94" s="14">
        <f t="shared" si="32"/>
        <v>0.12123433390708559</v>
      </c>
      <c r="Y94" s="12" t="str">
        <f>IF(AND(V94&lt;Inputs!$B$12,X94&gt;Inputs!$B$13),"Priority: margin + leakage",IF(V94&lt;Inputs!$B$12,"Margin review",IF(X94&gt;Inputs!$B$13,"Leakage review","Monitor")))</f>
        <v>Priority: margin + leakage</v>
      </c>
      <c r="Z94" s="1"/>
    </row>
    <row r="95" spans="1:26" ht="20" customHeight="1">
      <c r="A95" s="15" t="s">
        <v>229</v>
      </c>
      <c r="B95" s="16">
        <v>45932</v>
      </c>
      <c r="C95" s="15" t="s">
        <v>121</v>
      </c>
      <c r="D95" s="15" t="s">
        <v>122</v>
      </c>
      <c r="E95" s="15" t="s">
        <v>143</v>
      </c>
      <c r="F95" s="15" t="s">
        <v>119</v>
      </c>
      <c r="G95" s="17">
        <v>39</v>
      </c>
      <c r="H95" s="18">
        <v>575</v>
      </c>
      <c r="I95" s="18">
        <v>235</v>
      </c>
      <c r="J95" s="19">
        <v>3.6174110447314507E-2</v>
      </c>
      <c r="K95" s="19">
        <v>5.1965750218208789E-2</v>
      </c>
      <c r="L95" s="19">
        <v>2.2187287499771644E-2</v>
      </c>
      <c r="M95" s="18">
        <v>42.901164659202919</v>
      </c>
      <c r="N95" s="13">
        <f t="shared" si="22"/>
        <v>525.40047362034989</v>
      </c>
      <c r="O95" s="13">
        <f t="shared" si="23"/>
        <v>22425</v>
      </c>
      <c r="P95" s="13">
        <f t="shared" si="24"/>
        <v>811.20442678102779</v>
      </c>
      <c r="Q95" s="13">
        <f t="shared" si="25"/>
        <v>1123.1771020253241</v>
      </c>
      <c r="R95" s="13">
        <f t="shared" si="26"/>
        <v>497.54992218237913</v>
      </c>
      <c r="S95" s="13">
        <f t="shared" si="27"/>
        <v>19950.167384352062</v>
      </c>
      <c r="T95" s="13">
        <f t="shared" si="28"/>
        <v>9165</v>
      </c>
      <c r="U95" s="13">
        <f t="shared" si="29"/>
        <v>10785.167384352062</v>
      </c>
      <c r="V95" s="14">
        <f t="shared" si="30"/>
        <v>0.54060535816914601</v>
      </c>
      <c r="W95" s="13">
        <f t="shared" si="31"/>
        <v>2474.8326156479343</v>
      </c>
      <c r="X95" s="14">
        <f t="shared" si="32"/>
        <v>0.11036042879143519</v>
      </c>
      <c r="Y95" s="12" t="str">
        <f>IF(AND(V95&lt;Inputs!$B$12,X95&gt;Inputs!$B$13),"Priority: margin + leakage",IF(V95&lt;Inputs!$B$12,"Margin review",IF(X95&gt;Inputs!$B$13,"Leakage review","Monitor")))</f>
        <v>Monitor</v>
      </c>
      <c r="Z95" s="1"/>
    </row>
    <row r="96" spans="1:26" ht="20" customHeight="1">
      <c r="A96" s="15" t="s">
        <v>230</v>
      </c>
      <c r="B96" s="16">
        <v>45926</v>
      </c>
      <c r="C96" s="15" t="s">
        <v>121</v>
      </c>
      <c r="D96" s="15" t="s">
        <v>122</v>
      </c>
      <c r="E96" s="15" t="s">
        <v>147</v>
      </c>
      <c r="F96" s="15" t="s">
        <v>136</v>
      </c>
      <c r="G96" s="17">
        <v>29</v>
      </c>
      <c r="H96" s="18">
        <v>220</v>
      </c>
      <c r="I96" s="18">
        <v>98</v>
      </c>
      <c r="J96" s="19">
        <v>5.34431951403661E-2</v>
      </c>
      <c r="K96" s="19">
        <v>6.3127755191928994E-2</v>
      </c>
      <c r="L96" s="19">
        <v>1.7156072216622444E-2</v>
      </c>
      <c r="M96" s="18">
        <v>0</v>
      </c>
      <c r="N96" s="13">
        <f t="shared" si="22"/>
        <v>195.09661569358408</v>
      </c>
      <c r="O96" s="13">
        <f t="shared" si="23"/>
        <v>6380</v>
      </c>
      <c r="P96" s="13">
        <f t="shared" si="24"/>
        <v>340.96758499553573</v>
      </c>
      <c r="Q96" s="13">
        <f t="shared" si="25"/>
        <v>381.23055989052557</v>
      </c>
      <c r="R96" s="13">
        <f t="shared" si="26"/>
        <v>109.45574074205119</v>
      </c>
      <c r="S96" s="13">
        <f t="shared" si="27"/>
        <v>5548.3461143718869</v>
      </c>
      <c r="T96" s="13">
        <f t="shared" si="28"/>
        <v>2842</v>
      </c>
      <c r="U96" s="13">
        <f t="shared" si="29"/>
        <v>2706.3461143718869</v>
      </c>
      <c r="V96" s="14">
        <f t="shared" si="30"/>
        <v>0.4877752862896631</v>
      </c>
      <c r="W96" s="13">
        <f t="shared" si="31"/>
        <v>831.65388562811245</v>
      </c>
      <c r="X96" s="14">
        <f t="shared" si="32"/>
        <v>0.130353273609422</v>
      </c>
      <c r="Y96" s="12" t="str">
        <f>IF(AND(V96&lt;Inputs!$B$12,X96&gt;Inputs!$B$13),"Priority: margin + leakage",IF(V96&lt;Inputs!$B$12,"Margin review",IF(X96&gt;Inputs!$B$13,"Leakage review","Monitor")))</f>
        <v>Leakage review</v>
      </c>
      <c r="Z96" s="1"/>
    </row>
    <row r="97" spans="1:26" ht="20" customHeight="1">
      <c r="A97" s="15" t="s">
        <v>231</v>
      </c>
      <c r="B97" s="16">
        <v>46020</v>
      </c>
      <c r="C97" s="15" t="s">
        <v>158</v>
      </c>
      <c r="D97" s="15" t="s">
        <v>129</v>
      </c>
      <c r="E97" s="15" t="s">
        <v>132</v>
      </c>
      <c r="F97" s="15" t="s">
        <v>126</v>
      </c>
      <c r="G97" s="17">
        <v>17</v>
      </c>
      <c r="H97" s="18">
        <v>125</v>
      </c>
      <c r="I97" s="18">
        <v>78</v>
      </c>
      <c r="J97" s="19">
        <v>8.9556595018420296E-2</v>
      </c>
      <c r="K97" s="19">
        <v>1.6805236333936605E-2</v>
      </c>
      <c r="L97" s="19">
        <v>1.5200395207064491E-2</v>
      </c>
      <c r="M97" s="18">
        <v>71.029010999117318</v>
      </c>
      <c r="N97" s="13">
        <f t="shared" si="22"/>
        <v>111.8928985490238</v>
      </c>
      <c r="O97" s="13">
        <f t="shared" si="23"/>
        <v>2125</v>
      </c>
      <c r="P97" s="13">
        <f t="shared" si="24"/>
        <v>190.30776441414312</v>
      </c>
      <c r="Q97" s="13">
        <f t="shared" si="25"/>
        <v>32.51296025245248</v>
      </c>
      <c r="R97" s="13">
        <f t="shared" si="26"/>
        <v>32.30083981501204</v>
      </c>
      <c r="S97" s="13">
        <f t="shared" si="27"/>
        <v>1798.8494245192751</v>
      </c>
      <c r="T97" s="13">
        <f t="shared" si="28"/>
        <v>1326</v>
      </c>
      <c r="U97" s="13">
        <f t="shared" si="29"/>
        <v>472.84942451927509</v>
      </c>
      <c r="V97" s="14">
        <f t="shared" si="30"/>
        <v>0.26286214847895867</v>
      </c>
      <c r="W97" s="13">
        <f t="shared" si="31"/>
        <v>326.15057548072497</v>
      </c>
      <c r="X97" s="14">
        <f t="shared" si="32"/>
        <v>0.15348262375563529</v>
      </c>
      <c r="Y97" s="12" t="str">
        <f>IF(AND(V97&lt;Inputs!$B$12,X97&gt;Inputs!$B$13),"Priority: margin + leakage",IF(V97&lt;Inputs!$B$12,"Margin review",IF(X97&gt;Inputs!$B$13,"Leakage review","Monitor")))</f>
        <v>Priority: margin + leakage</v>
      </c>
      <c r="Z97" s="1"/>
    </row>
    <row r="98" spans="1:26" ht="20" customHeight="1">
      <c r="A98" s="15" t="s">
        <v>232</v>
      </c>
      <c r="B98" s="16">
        <v>45984</v>
      </c>
      <c r="C98" s="15" t="s">
        <v>141</v>
      </c>
      <c r="D98" s="15" t="s">
        <v>122</v>
      </c>
      <c r="E98" s="15" t="s">
        <v>147</v>
      </c>
      <c r="F98" s="15" t="s">
        <v>136</v>
      </c>
      <c r="G98" s="17">
        <v>40</v>
      </c>
      <c r="H98" s="18">
        <v>220</v>
      </c>
      <c r="I98" s="18">
        <v>98</v>
      </c>
      <c r="J98" s="19">
        <v>5.6244415058195725E-2</v>
      </c>
      <c r="K98" s="19">
        <v>3.7361679918819668E-2</v>
      </c>
      <c r="L98" s="19">
        <v>1.3687987701774068E-2</v>
      </c>
      <c r="M98" s="18">
        <v>328.61889324536753</v>
      </c>
      <c r="N98" s="13">
        <f t="shared" si="22"/>
        <v>199.86896398823424</v>
      </c>
      <c r="O98" s="13">
        <f t="shared" si="23"/>
        <v>8800</v>
      </c>
      <c r="P98" s="13">
        <f t="shared" si="24"/>
        <v>494.95085251212237</v>
      </c>
      <c r="Q98" s="13">
        <f t="shared" si="25"/>
        <v>310.29058795850824</v>
      </c>
      <c r="R98" s="13">
        <f t="shared" si="26"/>
        <v>120.45429177561179</v>
      </c>
      <c r="S98" s="13">
        <f t="shared" si="27"/>
        <v>7545.6853745083899</v>
      </c>
      <c r="T98" s="13">
        <f t="shared" si="28"/>
        <v>3920</v>
      </c>
      <c r="U98" s="13">
        <f t="shared" si="29"/>
        <v>3625.6853745083899</v>
      </c>
      <c r="V98" s="14">
        <f t="shared" si="30"/>
        <v>0.48049782021883036</v>
      </c>
      <c r="W98" s="13">
        <f t="shared" si="31"/>
        <v>1254.3146254916098</v>
      </c>
      <c r="X98" s="14">
        <f t="shared" si="32"/>
        <v>0.14253575289677384</v>
      </c>
      <c r="Y98" s="12" t="str">
        <f>IF(AND(V98&lt;Inputs!$B$12,X98&gt;Inputs!$B$13),"Priority: margin + leakage",IF(V98&lt;Inputs!$B$12,"Margin review",IF(X98&gt;Inputs!$B$13,"Leakage review","Monitor")))</f>
        <v>Leakage review</v>
      </c>
      <c r="Z98" s="1"/>
    </row>
    <row r="99" spans="1:26" ht="20" customHeight="1">
      <c r="A99" s="15" t="s">
        <v>233</v>
      </c>
      <c r="B99" s="16">
        <v>45684</v>
      </c>
      <c r="C99" s="15" t="s">
        <v>139</v>
      </c>
      <c r="D99" s="15" t="s">
        <v>113</v>
      </c>
      <c r="E99" s="15" t="s">
        <v>114</v>
      </c>
      <c r="F99" s="15" t="s">
        <v>115</v>
      </c>
      <c r="G99" s="17">
        <v>116</v>
      </c>
      <c r="H99" s="18">
        <v>160</v>
      </c>
      <c r="I99" s="18">
        <v>84</v>
      </c>
      <c r="J99" s="19">
        <v>0.13854447490524405</v>
      </c>
      <c r="K99" s="19">
        <v>3.6574405862472376E-2</v>
      </c>
      <c r="L99" s="19">
        <v>8.7166457308618939E-3</v>
      </c>
      <c r="M99" s="18">
        <v>130.95427974235449</v>
      </c>
      <c r="N99" s="13">
        <f t="shared" si="22"/>
        <v>132.79172817399538</v>
      </c>
      <c r="O99" s="13">
        <f t="shared" si="23"/>
        <v>18560</v>
      </c>
      <c r="P99" s="13">
        <f t="shared" si="24"/>
        <v>2571.3854542413296</v>
      </c>
      <c r="Q99" s="13">
        <f t="shared" si="25"/>
        <v>584.774077575207</v>
      </c>
      <c r="R99" s="13">
        <f t="shared" si="26"/>
        <v>161.78094476479674</v>
      </c>
      <c r="S99" s="13">
        <f t="shared" si="27"/>
        <v>15111.105243676313</v>
      </c>
      <c r="T99" s="13">
        <f t="shared" si="28"/>
        <v>9744</v>
      </c>
      <c r="U99" s="13">
        <f t="shared" si="29"/>
        <v>5367.105243676313</v>
      </c>
      <c r="V99" s="14">
        <f t="shared" si="30"/>
        <v>0.35517622021210765</v>
      </c>
      <c r="W99" s="13">
        <f t="shared" si="31"/>
        <v>3448.8947563236879</v>
      </c>
      <c r="X99" s="14">
        <f t="shared" si="32"/>
        <v>0.18582407092261249</v>
      </c>
      <c r="Y99" s="12" t="str">
        <f>IF(AND(V99&lt;Inputs!$B$12,X99&gt;Inputs!$B$13),"Priority: margin + leakage",IF(V99&lt;Inputs!$B$12,"Margin review",IF(X99&gt;Inputs!$B$13,"Leakage review","Monitor")))</f>
        <v>Leakage review</v>
      </c>
      <c r="Z99" s="1"/>
    </row>
    <row r="100" spans="1:26" ht="20" customHeight="1">
      <c r="A100" s="15" t="s">
        <v>234</v>
      </c>
      <c r="B100" s="16">
        <v>45685</v>
      </c>
      <c r="C100" s="15" t="s">
        <v>175</v>
      </c>
      <c r="D100" s="15" t="s">
        <v>129</v>
      </c>
      <c r="E100" s="15" t="s">
        <v>143</v>
      </c>
      <c r="F100" s="15" t="s">
        <v>119</v>
      </c>
      <c r="G100" s="17">
        <v>19</v>
      </c>
      <c r="H100" s="18">
        <v>575</v>
      </c>
      <c r="I100" s="18">
        <v>235</v>
      </c>
      <c r="J100" s="19">
        <v>9.0504775751288194E-2</v>
      </c>
      <c r="K100" s="19">
        <v>1.2254568366270206E-2</v>
      </c>
      <c r="L100" s="19">
        <v>4.7665042534579802E-2</v>
      </c>
      <c r="M100" s="18">
        <v>176.9212799778013</v>
      </c>
      <c r="N100" s="13">
        <f t="shared" ref="N100:N123" si="33">H100*(1-J100)*(1-K100)</f>
        <v>516.55110788550678</v>
      </c>
      <c r="O100" s="13">
        <f t="shared" ref="O100:O123" si="34">G100*H100</f>
        <v>10925</v>
      </c>
      <c r="P100" s="13">
        <f t="shared" ref="P100:P123" si="35">O100*J100</f>
        <v>988.76467508282349</v>
      </c>
      <c r="Q100" s="13">
        <f t="shared" ref="Q100:Q123" si="36">(O100-P100)*K100</f>
        <v>121.76427509254658</v>
      </c>
      <c r="R100" s="13">
        <f t="shared" ref="R100:R123" si="37">O100*L100</f>
        <v>520.74058969028431</v>
      </c>
      <c r="S100" s="13">
        <f t="shared" ref="S100:S123" si="38">G100*N100-R100-M100</f>
        <v>9116.8091801565442</v>
      </c>
      <c r="T100" s="13">
        <f t="shared" ref="T100:T123" si="39">G100*I100</f>
        <v>4465</v>
      </c>
      <c r="U100" s="13">
        <f t="shared" ref="U100:U123" si="40">S100-T100</f>
        <v>4651.8091801565442</v>
      </c>
      <c r="V100" s="14">
        <f t="shared" ref="V100:V123" si="41">IFERROR(U100/S100,0)</f>
        <v>0.51024531590302169</v>
      </c>
      <c r="W100" s="13">
        <f t="shared" ref="W100:W123" si="42">P100+Q100+R100+M100</f>
        <v>1808.1908198434555</v>
      </c>
      <c r="X100" s="14">
        <f t="shared" ref="X100:X123" si="43">IFERROR(W100/O100,0)</f>
        <v>0.16550945719390897</v>
      </c>
      <c r="Y100" s="12" t="str">
        <f>IF(AND(V100&lt;Inputs!$B$12,X100&gt;Inputs!$B$13),"Priority: margin + leakage",IF(V100&lt;Inputs!$B$12,"Margin review",IF(X100&gt;Inputs!$B$13,"Leakage review","Monitor")))</f>
        <v>Leakage review</v>
      </c>
      <c r="Z100" s="1"/>
    </row>
    <row r="101" spans="1:26" ht="20" customHeight="1">
      <c r="A101" s="15" t="s">
        <v>235</v>
      </c>
      <c r="B101" s="16">
        <v>45871</v>
      </c>
      <c r="C101" s="15" t="s">
        <v>150</v>
      </c>
      <c r="D101" s="15" t="s">
        <v>129</v>
      </c>
      <c r="E101" s="15" t="s">
        <v>147</v>
      </c>
      <c r="F101" s="15" t="s">
        <v>136</v>
      </c>
      <c r="G101" s="17">
        <v>108</v>
      </c>
      <c r="H101" s="18">
        <v>220</v>
      </c>
      <c r="I101" s="18">
        <v>98</v>
      </c>
      <c r="J101" s="19">
        <v>4.7504019455132732E-2</v>
      </c>
      <c r="K101" s="19">
        <v>2.6815710958315274E-2</v>
      </c>
      <c r="L101" s="19">
        <v>3.4032030312850278E-2</v>
      </c>
      <c r="M101" s="18">
        <v>118.27342924174702</v>
      </c>
      <c r="N101" s="13">
        <f t="shared" si="33"/>
        <v>203.9299072011562</v>
      </c>
      <c r="O101" s="13">
        <f t="shared" si="34"/>
        <v>23760</v>
      </c>
      <c r="P101" s="13">
        <f t="shared" si="35"/>
        <v>1128.6955022539537</v>
      </c>
      <c r="Q101" s="13">
        <f t="shared" si="36"/>
        <v>606.87452002117834</v>
      </c>
      <c r="R101" s="13">
        <f t="shared" si="37"/>
        <v>808.60104023332258</v>
      </c>
      <c r="S101" s="13">
        <f t="shared" si="38"/>
        <v>21097.555508249799</v>
      </c>
      <c r="T101" s="13">
        <f t="shared" si="39"/>
        <v>10584</v>
      </c>
      <c r="U101" s="13">
        <f t="shared" si="40"/>
        <v>10513.555508249799</v>
      </c>
      <c r="V101" s="14">
        <f t="shared" si="41"/>
        <v>0.49833050583223598</v>
      </c>
      <c r="W101" s="13">
        <f t="shared" si="42"/>
        <v>2662.4444917502019</v>
      </c>
      <c r="X101" s="14">
        <f t="shared" si="43"/>
        <v>0.11205574460228122</v>
      </c>
      <c r="Y101" s="12" t="str">
        <f>IF(AND(V101&lt;Inputs!$B$12,X101&gt;Inputs!$B$13),"Priority: margin + leakage",IF(V101&lt;Inputs!$B$12,"Margin review",IF(X101&gt;Inputs!$B$13,"Leakage review","Monitor")))</f>
        <v>Monitor</v>
      </c>
      <c r="Z101" s="1"/>
    </row>
    <row r="102" spans="1:26" ht="20" customHeight="1">
      <c r="A102" s="15" t="s">
        <v>236</v>
      </c>
      <c r="B102" s="16">
        <v>45877</v>
      </c>
      <c r="C102" s="15" t="s">
        <v>158</v>
      </c>
      <c r="D102" s="15" t="s">
        <v>129</v>
      </c>
      <c r="E102" s="15" t="s">
        <v>135</v>
      </c>
      <c r="F102" s="15" t="s">
        <v>136</v>
      </c>
      <c r="G102" s="17">
        <v>104</v>
      </c>
      <c r="H102" s="18">
        <v>310</v>
      </c>
      <c r="I102" s="18">
        <v>142</v>
      </c>
      <c r="J102" s="19">
        <v>3.7083220618670414E-2</v>
      </c>
      <c r="K102" s="19">
        <v>3.1132865262011315E-2</v>
      </c>
      <c r="L102" s="19">
        <v>0</v>
      </c>
      <c r="M102" s="18">
        <v>182.8712991365486</v>
      </c>
      <c r="N102" s="13">
        <f t="shared" si="33"/>
        <v>289.21091051939942</v>
      </c>
      <c r="O102" s="13">
        <f t="shared" si="34"/>
        <v>32240</v>
      </c>
      <c r="P102" s="13">
        <f t="shared" si="35"/>
        <v>1195.5630327459342</v>
      </c>
      <c r="Q102" s="13">
        <f t="shared" si="36"/>
        <v>966.50227323652405</v>
      </c>
      <c r="R102" s="13">
        <f t="shared" si="37"/>
        <v>0</v>
      </c>
      <c r="S102" s="13">
        <f t="shared" si="38"/>
        <v>29895.063394880988</v>
      </c>
      <c r="T102" s="13">
        <f t="shared" si="39"/>
        <v>14768</v>
      </c>
      <c r="U102" s="13">
        <f t="shared" si="40"/>
        <v>15127.063394880988</v>
      </c>
      <c r="V102" s="14">
        <f t="shared" si="41"/>
        <v>0.50600539611069151</v>
      </c>
      <c r="W102" s="13">
        <f t="shared" si="42"/>
        <v>2344.9366051190068</v>
      </c>
      <c r="X102" s="14">
        <f t="shared" si="43"/>
        <v>7.2733765667462993E-2</v>
      </c>
      <c r="Y102" s="12" t="str">
        <f>IF(AND(V102&lt;Inputs!$B$12,X102&gt;Inputs!$B$13),"Priority: margin + leakage",IF(V102&lt;Inputs!$B$12,"Margin review",IF(X102&gt;Inputs!$B$13,"Leakage review","Monitor")))</f>
        <v>Monitor</v>
      </c>
      <c r="Z102" s="1"/>
    </row>
    <row r="103" spans="1:26" ht="20" customHeight="1">
      <c r="A103" s="15" t="s">
        <v>237</v>
      </c>
      <c r="B103" s="16">
        <v>45793</v>
      </c>
      <c r="C103" s="15" t="s">
        <v>175</v>
      </c>
      <c r="D103" s="15" t="s">
        <v>129</v>
      </c>
      <c r="E103" s="15" t="s">
        <v>151</v>
      </c>
      <c r="F103" s="15" t="s">
        <v>115</v>
      </c>
      <c r="G103" s="17">
        <v>83</v>
      </c>
      <c r="H103" s="18">
        <v>105</v>
      </c>
      <c r="I103" s="18">
        <v>58</v>
      </c>
      <c r="J103" s="19">
        <v>9.0501492649203652E-2</v>
      </c>
      <c r="K103" s="19">
        <v>3.2165131730377598E-2</v>
      </c>
      <c r="L103" s="19">
        <v>2.701685721195364E-2</v>
      </c>
      <c r="M103" s="18">
        <v>0</v>
      </c>
      <c r="N103" s="13">
        <f t="shared" si="33"/>
        <v>92.425658645594012</v>
      </c>
      <c r="O103" s="13">
        <f t="shared" si="34"/>
        <v>8715</v>
      </c>
      <c r="P103" s="13">
        <f t="shared" si="35"/>
        <v>788.72050843780983</v>
      </c>
      <c r="Q103" s="13">
        <f t="shared" si="36"/>
        <v>254.9498239778882</v>
      </c>
      <c r="R103" s="13">
        <f t="shared" si="37"/>
        <v>235.45191060217599</v>
      </c>
      <c r="S103" s="13">
        <f t="shared" si="38"/>
        <v>7435.8777569821268</v>
      </c>
      <c r="T103" s="13">
        <f t="shared" si="39"/>
        <v>4814</v>
      </c>
      <c r="U103" s="13">
        <f t="shared" si="40"/>
        <v>2621.8777569821268</v>
      </c>
      <c r="V103" s="14">
        <f t="shared" si="41"/>
        <v>0.3525982866676689</v>
      </c>
      <c r="W103" s="13">
        <f t="shared" si="42"/>
        <v>1279.1222430178741</v>
      </c>
      <c r="X103" s="14">
        <f t="shared" si="43"/>
        <v>0.14677248915867747</v>
      </c>
      <c r="Y103" s="12" t="str">
        <f>IF(AND(V103&lt;Inputs!$B$12,X103&gt;Inputs!$B$13),"Priority: margin + leakage",IF(V103&lt;Inputs!$B$12,"Margin review",IF(X103&gt;Inputs!$B$13,"Leakage review","Monitor")))</f>
        <v>Leakage review</v>
      </c>
      <c r="Z103" s="1"/>
    </row>
    <row r="104" spans="1:26" ht="20" customHeight="1">
      <c r="A104" s="15" t="s">
        <v>238</v>
      </c>
      <c r="B104" s="16">
        <v>46010</v>
      </c>
      <c r="C104" s="15" t="s">
        <v>112</v>
      </c>
      <c r="D104" s="15" t="s">
        <v>113</v>
      </c>
      <c r="E104" s="15" t="s">
        <v>114</v>
      </c>
      <c r="F104" s="15" t="s">
        <v>115</v>
      </c>
      <c r="G104" s="17">
        <v>25</v>
      </c>
      <c r="H104" s="18">
        <v>160</v>
      </c>
      <c r="I104" s="18">
        <v>84</v>
      </c>
      <c r="J104" s="19">
        <v>0.11282246345172862</v>
      </c>
      <c r="K104" s="19">
        <v>6.6616712090765945E-2</v>
      </c>
      <c r="L104" s="19">
        <v>3.5221172822958377E-2</v>
      </c>
      <c r="M104" s="18">
        <v>196.78012886362538</v>
      </c>
      <c r="N104" s="13">
        <f t="shared" si="33"/>
        <v>132.49226976362243</v>
      </c>
      <c r="O104" s="13">
        <f t="shared" si="34"/>
        <v>4000</v>
      </c>
      <c r="P104" s="13">
        <f t="shared" si="35"/>
        <v>451.28985380691449</v>
      </c>
      <c r="Q104" s="13">
        <f t="shared" si="36"/>
        <v>236.40340210252472</v>
      </c>
      <c r="R104" s="13">
        <f t="shared" si="37"/>
        <v>140.88469129183352</v>
      </c>
      <c r="S104" s="13">
        <f t="shared" si="38"/>
        <v>2974.6419239351017</v>
      </c>
      <c r="T104" s="13">
        <f t="shared" si="39"/>
        <v>2100</v>
      </c>
      <c r="U104" s="13">
        <f t="shared" si="40"/>
        <v>874.64192393510166</v>
      </c>
      <c r="V104" s="14">
        <f t="shared" si="41"/>
        <v>0.29403267562976226</v>
      </c>
      <c r="W104" s="13">
        <f t="shared" si="42"/>
        <v>1025.3580760648981</v>
      </c>
      <c r="X104" s="14">
        <f t="shared" si="43"/>
        <v>0.25633951901622454</v>
      </c>
      <c r="Y104" s="12" t="str">
        <f>IF(AND(V104&lt;Inputs!$B$12,X104&gt;Inputs!$B$13),"Priority: margin + leakage",IF(V104&lt;Inputs!$B$12,"Margin review",IF(X104&gt;Inputs!$B$13,"Leakage review","Monitor")))</f>
        <v>Priority: margin + leakage</v>
      </c>
      <c r="Z104" s="1"/>
    </row>
    <row r="105" spans="1:26" ht="20" customHeight="1">
      <c r="A105" s="15" t="s">
        <v>239</v>
      </c>
      <c r="B105" s="16">
        <v>45694</v>
      </c>
      <c r="C105" s="15" t="s">
        <v>158</v>
      </c>
      <c r="D105" s="15" t="s">
        <v>129</v>
      </c>
      <c r="E105" s="15" t="s">
        <v>143</v>
      </c>
      <c r="F105" s="15" t="s">
        <v>119</v>
      </c>
      <c r="G105" s="17">
        <v>42</v>
      </c>
      <c r="H105" s="18">
        <v>575</v>
      </c>
      <c r="I105" s="18">
        <v>235</v>
      </c>
      <c r="J105" s="19">
        <v>0.10324963397156878</v>
      </c>
      <c r="K105" s="19">
        <v>3.9197222349094854E-2</v>
      </c>
      <c r="L105" s="19">
        <v>1.7719017909498924E-2</v>
      </c>
      <c r="M105" s="18">
        <v>294.58598959374336</v>
      </c>
      <c r="N105" s="13">
        <f t="shared" si="33"/>
        <v>495.42013946026009</v>
      </c>
      <c r="O105" s="13">
        <f t="shared" si="34"/>
        <v>24150</v>
      </c>
      <c r="P105" s="13">
        <f t="shared" si="35"/>
        <v>2493.478660413386</v>
      </c>
      <c r="Q105" s="13">
        <f t="shared" si="36"/>
        <v>848.87548225569412</v>
      </c>
      <c r="R105" s="13">
        <f t="shared" si="37"/>
        <v>427.91428251439902</v>
      </c>
      <c r="S105" s="13">
        <f t="shared" si="38"/>
        <v>20085.145585222785</v>
      </c>
      <c r="T105" s="13">
        <f t="shared" si="39"/>
        <v>9870</v>
      </c>
      <c r="U105" s="13">
        <f t="shared" si="40"/>
        <v>10215.145585222785</v>
      </c>
      <c r="V105" s="14">
        <f t="shared" si="41"/>
        <v>0.5085920608281953</v>
      </c>
      <c r="W105" s="13">
        <f t="shared" si="42"/>
        <v>4064.8544147772222</v>
      </c>
      <c r="X105" s="14">
        <f t="shared" si="43"/>
        <v>0.16831695299284563</v>
      </c>
      <c r="Y105" s="12" t="str">
        <f>IF(AND(V105&lt;Inputs!$B$12,X105&gt;Inputs!$B$13),"Priority: margin + leakage",IF(V105&lt;Inputs!$B$12,"Margin review",IF(X105&gt;Inputs!$B$13,"Leakage review","Monitor")))</f>
        <v>Leakage review</v>
      </c>
      <c r="Z105" s="1"/>
    </row>
    <row r="106" spans="1:26" ht="20" customHeight="1">
      <c r="A106" s="15" t="s">
        <v>240</v>
      </c>
      <c r="B106" s="16">
        <v>45875</v>
      </c>
      <c r="C106" s="15" t="s">
        <v>112</v>
      </c>
      <c r="D106" s="15" t="s">
        <v>113</v>
      </c>
      <c r="E106" s="15" t="s">
        <v>135</v>
      </c>
      <c r="F106" s="15" t="s">
        <v>136</v>
      </c>
      <c r="G106" s="17">
        <v>38</v>
      </c>
      <c r="H106" s="18">
        <v>310</v>
      </c>
      <c r="I106" s="18">
        <v>142</v>
      </c>
      <c r="J106" s="19">
        <v>0.12154278991883645</v>
      </c>
      <c r="K106" s="19">
        <v>9.6689276794504481E-4</v>
      </c>
      <c r="L106" s="19">
        <v>2.7968285029735911E-3</v>
      </c>
      <c r="M106" s="18">
        <v>0</v>
      </c>
      <c r="N106" s="13">
        <f t="shared" si="33"/>
        <v>272.05842920891394</v>
      </c>
      <c r="O106" s="13">
        <f t="shared" si="34"/>
        <v>11780</v>
      </c>
      <c r="P106" s="13">
        <f t="shared" si="35"/>
        <v>1431.7740652438933</v>
      </c>
      <c r="Q106" s="13">
        <f t="shared" si="36"/>
        <v>10.005624817377031</v>
      </c>
      <c r="R106" s="13">
        <f t="shared" si="37"/>
        <v>32.946639765028905</v>
      </c>
      <c r="S106" s="13">
        <f t="shared" si="38"/>
        <v>10305.273670173701</v>
      </c>
      <c r="T106" s="13">
        <f t="shared" si="39"/>
        <v>5396</v>
      </c>
      <c r="U106" s="13">
        <f t="shared" si="40"/>
        <v>4909.2736701737012</v>
      </c>
      <c r="V106" s="14">
        <f t="shared" si="41"/>
        <v>0.47638459950680306</v>
      </c>
      <c r="W106" s="13">
        <f t="shared" si="42"/>
        <v>1474.7263298262994</v>
      </c>
      <c r="X106" s="14">
        <f t="shared" si="43"/>
        <v>0.12518899234518671</v>
      </c>
      <c r="Y106" s="12" t="str">
        <f>IF(AND(V106&lt;Inputs!$B$12,X106&gt;Inputs!$B$13),"Priority: margin + leakage",IF(V106&lt;Inputs!$B$12,"Margin review",IF(X106&gt;Inputs!$B$13,"Leakage review","Monitor")))</f>
        <v>Leakage review</v>
      </c>
      <c r="Z106" s="1"/>
    </row>
    <row r="107" spans="1:26" ht="20" customHeight="1">
      <c r="A107" s="15" t="s">
        <v>241</v>
      </c>
      <c r="B107" s="16">
        <v>45815</v>
      </c>
      <c r="C107" s="15" t="s">
        <v>117</v>
      </c>
      <c r="D107" s="15" t="s">
        <v>113</v>
      </c>
      <c r="E107" s="15" t="s">
        <v>135</v>
      </c>
      <c r="F107" s="15" t="s">
        <v>136</v>
      </c>
      <c r="G107" s="17">
        <v>87</v>
      </c>
      <c r="H107" s="18">
        <v>310</v>
      </c>
      <c r="I107" s="18">
        <v>142</v>
      </c>
      <c r="J107" s="19">
        <v>0.1263069437679174</v>
      </c>
      <c r="K107" s="19">
        <v>5.0819621660497014E-2</v>
      </c>
      <c r="L107" s="19">
        <v>2.8954909122752195E-2</v>
      </c>
      <c r="M107" s="18">
        <v>144.59902527127875</v>
      </c>
      <c r="N107" s="13">
        <f t="shared" si="33"/>
        <v>257.08061475675908</v>
      </c>
      <c r="O107" s="13">
        <f t="shared" si="34"/>
        <v>26970</v>
      </c>
      <c r="P107" s="13">
        <f t="shared" si="35"/>
        <v>3406.4982734207324</v>
      </c>
      <c r="Q107" s="13">
        <f t="shared" si="36"/>
        <v>1197.4882427412265</v>
      </c>
      <c r="R107" s="13">
        <f t="shared" si="37"/>
        <v>780.91389904062669</v>
      </c>
      <c r="S107" s="13">
        <f t="shared" si="38"/>
        <v>21440.500559526132</v>
      </c>
      <c r="T107" s="13">
        <f t="shared" si="39"/>
        <v>12354</v>
      </c>
      <c r="U107" s="13">
        <f t="shared" si="40"/>
        <v>9086.5005595261318</v>
      </c>
      <c r="V107" s="14">
        <f t="shared" si="41"/>
        <v>0.42380076595221794</v>
      </c>
      <c r="W107" s="13">
        <f t="shared" si="42"/>
        <v>5529.4994404738645</v>
      </c>
      <c r="X107" s="14">
        <f t="shared" si="43"/>
        <v>0.20502408010655782</v>
      </c>
      <c r="Y107" s="12" t="str">
        <f>IF(AND(V107&lt;Inputs!$B$12,X107&gt;Inputs!$B$13),"Priority: margin + leakage",IF(V107&lt;Inputs!$B$12,"Margin review",IF(X107&gt;Inputs!$B$13,"Leakage review","Monitor")))</f>
        <v>Leakage review</v>
      </c>
      <c r="Z107" s="1"/>
    </row>
    <row r="108" spans="1:26" ht="20" customHeight="1">
      <c r="A108" s="15" t="s">
        <v>242</v>
      </c>
      <c r="B108" s="16">
        <v>45914</v>
      </c>
      <c r="C108" s="15" t="s">
        <v>158</v>
      </c>
      <c r="D108" s="15" t="s">
        <v>129</v>
      </c>
      <c r="E108" s="15" t="s">
        <v>132</v>
      </c>
      <c r="F108" s="15" t="s">
        <v>126</v>
      </c>
      <c r="G108" s="17">
        <v>61</v>
      </c>
      <c r="H108" s="18">
        <v>125</v>
      </c>
      <c r="I108" s="18">
        <v>78</v>
      </c>
      <c r="J108" s="19">
        <v>0.11296177809918728</v>
      </c>
      <c r="K108" s="19">
        <v>6.1896208189922398E-2</v>
      </c>
      <c r="L108" s="19">
        <v>1.1630652202847706E-2</v>
      </c>
      <c r="M108" s="18">
        <v>0</v>
      </c>
      <c r="N108" s="13">
        <f t="shared" si="33"/>
        <v>104.01673993070268</v>
      </c>
      <c r="O108" s="13">
        <f t="shared" si="34"/>
        <v>7625</v>
      </c>
      <c r="P108" s="13">
        <f t="shared" si="35"/>
        <v>861.33355800630306</v>
      </c>
      <c r="Q108" s="13">
        <f t="shared" si="36"/>
        <v>418.64530622083356</v>
      </c>
      <c r="R108" s="13">
        <f t="shared" si="37"/>
        <v>88.683723046713752</v>
      </c>
      <c r="S108" s="13">
        <f t="shared" si="38"/>
        <v>6256.3374127261504</v>
      </c>
      <c r="T108" s="13">
        <f t="shared" si="39"/>
        <v>4758</v>
      </c>
      <c r="U108" s="13">
        <f t="shared" si="40"/>
        <v>1498.3374127261504</v>
      </c>
      <c r="V108" s="14">
        <f t="shared" si="41"/>
        <v>0.23949114535900032</v>
      </c>
      <c r="W108" s="13">
        <f t="shared" si="42"/>
        <v>1368.6625872738505</v>
      </c>
      <c r="X108" s="14">
        <f t="shared" si="43"/>
        <v>0.1794967327572263</v>
      </c>
      <c r="Y108" s="12" t="str">
        <f>IF(AND(V108&lt;Inputs!$B$12,X108&gt;Inputs!$B$13),"Priority: margin + leakage",IF(V108&lt;Inputs!$B$12,"Margin review",IF(X108&gt;Inputs!$B$13,"Leakage review","Monitor")))</f>
        <v>Priority: margin + leakage</v>
      </c>
      <c r="Z108" s="1"/>
    </row>
    <row r="109" spans="1:26" ht="20" customHeight="1">
      <c r="A109" s="15" t="s">
        <v>243</v>
      </c>
      <c r="B109" s="16">
        <v>45786</v>
      </c>
      <c r="C109" s="15" t="s">
        <v>141</v>
      </c>
      <c r="D109" s="15" t="s">
        <v>122</v>
      </c>
      <c r="E109" s="15" t="s">
        <v>143</v>
      </c>
      <c r="F109" s="15" t="s">
        <v>119</v>
      </c>
      <c r="G109" s="17">
        <v>61</v>
      </c>
      <c r="H109" s="18">
        <v>575</v>
      </c>
      <c r="I109" s="18">
        <v>235</v>
      </c>
      <c r="J109" s="19">
        <v>5.3734710947929379E-2</v>
      </c>
      <c r="K109" s="19">
        <v>3.8452553522985662E-2</v>
      </c>
      <c r="L109" s="19">
        <v>1.0547736463521763E-2</v>
      </c>
      <c r="M109" s="18">
        <v>152.88521088090206</v>
      </c>
      <c r="N109" s="13">
        <f t="shared" si="33"/>
        <v>523.18040911726507</v>
      </c>
      <c r="O109" s="13">
        <f t="shared" si="34"/>
        <v>35075</v>
      </c>
      <c r="P109" s="13">
        <f t="shared" si="35"/>
        <v>1884.7449864986229</v>
      </c>
      <c r="Q109" s="13">
        <f t="shared" si="36"/>
        <v>1276.2500573482048</v>
      </c>
      <c r="R109" s="13">
        <f t="shared" si="37"/>
        <v>369.96185645802581</v>
      </c>
      <c r="S109" s="13">
        <f t="shared" si="38"/>
        <v>31391.157888814243</v>
      </c>
      <c r="T109" s="13">
        <f t="shared" si="39"/>
        <v>14335</v>
      </c>
      <c r="U109" s="13">
        <f t="shared" si="40"/>
        <v>17056.157888814243</v>
      </c>
      <c r="V109" s="14">
        <f t="shared" si="41"/>
        <v>0.54334274476991951</v>
      </c>
      <c r="W109" s="13">
        <f t="shared" si="42"/>
        <v>3683.8421111857556</v>
      </c>
      <c r="X109" s="14">
        <f t="shared" si="43"/>
        <v>0.1050275726638847</v>
      </c>
      <c r="Y109" s="12" t="str">
        <f>IF(AND(V109&lt;Inputs!$B$12,X109&gt;Inputs!$B$13),"Priority: margin + leakage",IF(V109&lt;Inputs!$B$12,"Margin review",IF(X109&gt;Inputs!$B$13,"Leakage review","Monitor")))</f>
        <v>Monitor</v>
      </c>
      <c r="Z109" s="1"/>
    </row>
    <row r="110" spans="1:26" ht="20" customHeight="1">
      <c r="A110" s="15" t="s">
        <v>244</v>
      </c>
      <c r="B110" s="16">
        <v>46002</v>
      </c>
      <c r="C110" s="15" t="s">
        <v>164</v>
      </c>
      <c r="D110" s="15" t="s">
        <v>113</v>
      </c>
      <c r="E110" s="15" t="s">
        <v>114</v>
      </c>
      <c r="F110" s="15" t="s">
        <v>115</v>
      </c>
      <c r="G110" s="17">
        <v>34</v>
      </c>
      <c r="H110" s="18">
        <v>160</v>
      </c>
      <c r="I110" s="18">
        <v>84</v>
      </c>
      <c r="J110" s="19">
        <v>0.17465188177736515</v>
      </c>
      <c r="K110" s="19">
        <v>2.3732300134316806E-2</v>
      </c>
      <c r="L110" s="19">
        <v>0</v>
      </c>
      <c r="M110" s="18">
        <v>19.476788651704979</v>
      </c>
      <c r="N110" s="13">
        <f t="shared" si="33"/>
        <v>128.92171343450906</v>
      </c>
      <c r="O110" s="13">
        <f t="shared" si="34"/>
        <v>5440</v>
      </c>
      <c r="P110" s="13">
        <f t="shared" si="35"/>
        <v>950.1062368688664</v>
      </c>
      <c r="Q110" s="13">
        <f t="shared" si="36"/>
        <v>106.55550635782519</v>
      </c>
      <c r="R110" s="13">
        <f t="shared" si="37"/>
        <v>0</v>
      </c>
      <c r="S110" s="13">
        <f t="shared" si="38"/>
        <v>4363.8614681216031</v>
      </c>
      <c r="T110" s="13">
        <f t="shared" si="39"/>
        <v>2856</v>
      </c>
      <c r="U110" s="13">
        <f t="shared" si="40"/>
        <v>1507.8614681216031</v>
      </c>
      <c r="V110" s="14">
        <f t="shared" si="41"/>
        <v>0.34553376158630733</v>
      </c>
      <c r="W110" s="13">
        <f t="shared" si="42"/>
        <v>1076.1385318783966</v>
      </c>
      <c r="X110" s="14">
        <f t="shared" si="43"/>
        <v>0.19781958306588174</v>
      </c>
      <c r="Y110" s="12" t="str">
        <f>IF(AND(V110&lt;Inputs!$B$12,X110&gt;Inputs!$B$13),"Priority: margin + leakage",IF(V110&lt;Inputs!$B$12,"Margin review",IF(X110&gt;Inputs!$B$13,"Leakage review","Monitor")))</f>
        <v>Leakage review</v>
      </c>
      <c r="Z110" s="1"/>
    </row>
    <row r="111" spans="1:26" ht="20" customHeight="1">
      <c r="A111" s="15" t="s">
        <v>245</v>
      </c>
      <c r="B111" s="16">
        <v>45750</v>
      </c>
      <c r="C111" s="15" t="s">
        <v>175</v>
      </c>
      <c r="D111" s="15" t="s">
        <v>129</v>
      </c>
      <c r="E111" s="15" t="s">
        <v>151</v>
      </c>
      <c r="F111" s="15" t="s">
        <v>115</v>
      </c>
      <c r="G111" s="17">
        <v>102</v>
      </c>
      <c r="H111" s="18">
        <v>105</v>
      </c>
      <c r="I111" s="18">
        <v>58</v>
      </c>
      <c r="J111" s="19">
        <v>7.6554194883451041E-2</v>
      </c>
      <c r="K111" s="19">
        <v>6.8300305849797877E-3</v>
      </c>
      <c r="L111" s="19">
        <v>1.7558644549964565E-3</v>
      </c>
      <c r="M111" s="18">
        <v>0</v>
      </c>
      <c r="N111" s="13">
        <f t="shared" si="33"/>
        <v>96.299557412523328</v>
      </c>
      <c r="O111" s="13">
        <f t="shared" si="34"/>
        <v>10710</v>
      </c>
      <c r="P111" s="13">
        <f t="shared" si="35"/>
        <v>819.89542720176064</v>
      </c>
      <c r="Q111" s="13">
        <f t="shared" si="36"/>
        <v>67.549716720860431</v>
      </c>
      <c r="R111" s="13">
        <f t="shared" si="37"/>
        <v>18.805308313012048</v>
      </c>
      <c r="S111" s="13">
        <f t="shared" si="38"/>
        <v>9803.7495477643661</v>
      </c>
      <c r="T111" s="13">
        <f t="shared" si="39"/>
        <v>5916</v>
      </c>
      <c r="U111" s="13">
        <f t="shared" si="40"/>
        <v>3887.7495477643661</v>
      </c>
      <c r="V111" s="14">
        <f t="shared" si="41"/>
        <v>0.39655741191908794</v>
      </c>
      <c r="W111" s="13">
        <f t="shared" si="42"/>
        <v>906.25045223563313</v>
      </c>
      <c r="X111" s="14">
        <f t="shared" si="43"/>
        <v>8.4617222430964811E-2</v>
      </c>
      <c r="Y111" s="12" t="str">
        <f>IF(AND(V111&lt;Inputs!$B$12,X111&gt;Inputs!$B$13),"Priority: margin + leakage",IF(V111&lt;Inputs!$B$12,"Margin review",IF(X111&gt;Inputs!$B$13,"Leakage review","Monitor")))</f>
        <v>Monitor</v>
      </c>
      <c r="Z111" s="1"/>
    </row>
    <row r="112" spans="1:26" ht="20" customHeight="1">
      <c r="A112" s="15" t="s">
        <v>246</v>
      </c>
      <c r="B112" s="16">
        <v>45822</v>
      </c>
      <c r="C112" s="15" t="s">
        <v>158</v>
      </c>
      <c r="D112" s="15" t="s">
        <v>129</v>
      </c>
      <c r="E112" s="15" t="s">
        <v>118</v>
      </c>
      <c r="F112" s="15" t="s">
        <v>119</v>
      </c>
      <c r="G112" s="17">
        <v>86</v>
      </c>
      <c r="H112" s="18">
        <v>420</v>
      </c>
      <c r="I112" s="18">
        <v>180</v>
      </c>
      <c r="J112" s="19">
        <v>0.11124555381933127</v>
      </c>
      <c r="K112" s="19">
        <v>0</v>
      </c>
      <c r="L112" s="19">
        <v>6.8847819917932408E-3</v>
      </c>
      <c r="M112" s="18">
        <v>137.272182216625</v>
      </c>
      <c r="N112" s="13">
        <f t="shared" si="33"/>
        <v>373.27686739588086</v>
      </c>
      <c r="O112" s="13">
        <f t="shared" si="34"/>
        <v>36120</v>
      </c>
      <c r="P112" s="13">
        <f t="shared" si="35"/>
        <v>4018.1894039542453</v>
      </c>
      <c r="Q112" s="13">
        <f t="shared" si="36"/>
        <v>0</v>
      </c>
      <c r="R112" s="13">
        <f t="shared" si="37"/>
        <v>248.67832554357184</v>
      </c>
      <c r="S112" s="13">
        <f t="shared" si="38"/>
        <v>31715.860088285557</v>
      </c>
      <c r="T112" s="13">
        <f t="shared" si="39"/>
        <v>15480</v>
      </c>
      <c r="U112" s="13">
        <f t="shared" si="40"/>
        <v>16235.860088285557</v>
      </c>
      <c r="V112" s="14">
        <f t="shared" si="41"/>
        <v>0.51191612155844923</v>
      </c>
      <c r="W112" s="13">
        <f t="shared" si="42"/>
        <v>4404.139911714442</v>
      </c>
      <c r="X112" s="14">
        <f t="shared" si="43"/>
        <v>0.12193078382376639</v>
      </c>
      <c r="Y112" s="12" t="str">
        <f>IF(AND(V112&lt;Inputs!$B$12,X112&gt;Inputs!$B$13),"Priority: margin + leakage",IF(V112&lt;Inputs!$B$12,"Margin review",IF(X112&gt;Inputs!$B$13,"Leakage review","Monitor")))</f>
        <v>Leakage review</v>
      </c>
      <c r="Z112" s="1"/>
    </row>
    <row r="113" spans="1:26" ht="20" customHeight="1">
      <c r="A113" s="15" t="s">
        <v>247</v>
      </c>
      <c r="B113" s="16">
        <v>45863</v>
      </c>
      <c r="C113" s="15" t="s">
        <v>112</v>
      </c>
      <c r="D113" s="15" t="s">
        <v>113</v>
      </c>
      <c r="E113" s="15" t="s">
        <v>114</v>
      </c>
      <c r="F113" s="15" t="s">
        <v>115</v>
      </c>
      <c r="G113" s="17">
        <v>114</v>
      </c>
      <c r="H113" s="18">
        <v>160</v>
      </c>
      <c r="I113" s="18">
        <v>84</v>
      </c>
      <c r="J113" s="19">
        <v>0.12915809320105504</v>
      </c>
      <c r="K113" s="19">
        <v>5.681214473560444E-2</v>
      </c>
      <c r="L113" s="19">
        <v>0</v>
      </c>
      <c r="M113" s="18">
        <v>123.77635748082757</v>
      </c>
      <c r="N113" s="13">
        <f t="shared" si="33"/>
        <v>131.41880165568855</v>
      </c>
      <c r="O113" s="13">
        <f t="shared" si="34"/>
        <v>18240</v>
      </c>
      <c r="P113" s="13">
        <f t="shared" si="35"/>
        <v>2355.843619987244</v>
      </c>
      <c r="Q113" s="13">
        <f t="shared" si="36"/>
        <v>902.41299126425929</v>
      </c>
      <c r="R113" s="13">
        <f t="shared" si="37"/>
        <v>0</v>
      </c>
      <c r="S113" s="13">
        <f t="shared" si="38"/>
        <v>14857.967031267668</v>
      </c>
      <c r="T113" s="13">
        <f t="shared" si="39"/>
        <v>9576</v>
      </c>
      <c r="U113" s="13">
        <f t="shared" si="40"/>
        <v>5281.9670312676681</v>
      </c>
      <c r="V113" s="14">
        <f t="shared" si="41"/>
        <v>0.35549729112684775</v>
      </c>
      <c r="W113" s="13">
        <f t="shared" si="42"/>
        <v>3382.032968732331</v>
      </c>
      <c r="X113" s="14">
        <f t="shared" si="43"/>
        <v>0.18541847416295673</v>
      </c>
      <c r="Y113" s="12" t="str">
        <f>IF(AND(V113&lt;Inputs!$B$12,X113&gt;Inputs!$B$13),"Priority: margin + leakage",IF(V113&lt;Inputs!$B$12,"Margin review",IF(X113&gt;Inputs!$B$13,"Leakage review","Monitor")))</f>
        <v>Leakage review</v>
      </c>
      <c r="Z113" s="1"/>
    </row>
    <row r="114" spans="1:26" ht="20" customHeight="1">
      <c r="A114" s="15" t="s">
        <v>248</v>
      </c>
      <c r="B114" s="16">
        <v>45921</v>
      </c>
      <c r="C114" s="15" t="s">
        <v>141</v>
      </c>
      <c r="D114" s="15" t="s">
        <v>122</v>
      </c>
      <c r="E114" s="15" t="s">
        <v>151</v>
      </c>
      <c r="F114" s="15" t="s">
        <v>115</v>
      </c>
      <c r="G114" s="17">
        <v>63</v>
      </c>
      <c r="H114" s="18">
        <v>105</v>
      </c>
      <c r="I114" s="18">
        <v>58</v>
      </c>
      <c r="J114" s="19">
        <v>6.7712775790658083E-2</v>
      </c>
      <c r="K114" s="19">
        <v>4.5020379707334211E-2</v>
      </c>
      <c r="L114" s="19">
        <v>4.8117107235437342E-2</v>
      </c>
      <c r="M114" s="18">
        <v>223.09800482595878</v>
      </c>
      <c r="N114" s="13">
        <f t="shared" si="33"/>
        <v>93.483106434809784</v>
      </c>
      <c r="O114" s="13">
        <f t="shared" si="34"/>
        <v>6615</v>
      </c>
      <c r="P114" s="13">
        <f t="shared" si="35"/>
        <v>447.9200118552032</v>
      </c>
      <c r="Q114" s="13">
        <f t="shared" si="36"/>
        <v>277.64428275178091</v>
      </c>
      <c r="R114" s="13">
        <f t="shared" si="37"/>
        <v>318.29466436241802</v>
      </c>
      <c r="S114" s="13">
        <f t="shared" si="38"/>
        <v>5348.0430362046391</v>
      </c>
      <c r="T114" s="13">
        <f t="shared" si="39"/>
        <v>3654</v>
      </c>
      <c r="U114" s="13">
        <f t="shared" si="40"/>
        <v>1694.0430362046391</v>
      </c>
      <c r="V114" s="14">
        <f t="shared" si="41"/>
        <v>0.3167594248468979</v>
      </c>
      <c r="W114" s="13">
        <f t="shared" si="42"/>
        <v>1266.9569637953607</v>
      </c>
      <c r="X114" s="14">
        <f t="shared" si="43"/>
        <v>0.19152788568335008</v>
      </c>
      <c r="Y114" s="12" t="str">
        <f>IF(AND(V114&lt;Inputs!$B$12,X114&gt;Inputs!$B$13),"Priority: margin + leakage",IF(V114&lt;Inputs!$B$12,"Margin review",IF(X114&gt;Inputs!$B$13,"Leakage review","Monitor")))</f>
        <v>Leakage review</v>
      </c>
      <c r="Z114" s="1"/>
    </row>
    <row r="115" spans="1:26" ht="20" customHeight="1">
      <c r="A115" s="15" t="s">
        <v>249</v>
      </c>
      <c r="B115" s="16">
        <v>45884</v>
      </c>
      <c r="C115" s="15" t="s">
        <v>164</v>
      </c>
      <c r="D115" s="15" t="s">
        <v>113</v>
      </c>
      <c r="E115" s="15" t="s">
        <v>143</v>
      </c>
      <c r="F115" s="15" t="s">
        <v>119</v>
      </c>
      <c r="G115" s="17">
        <v>57</v>
      </c>
      <c r="H115" s="18">
        <v>575</v>
      </c>
      <c r="I115" s="18">
        <v>235</v>
      </c>
      <c r="J115" s="19">
        <v>0.14988135135219971</v>
      </c>
      <c r="K115" s="19">
        <v>4.5095200249469655E-2</v>
      </c>
      <c r="L115" s="19">
        <v>9.825933783133501E-3</v>
      </c>
      <c r="M115" s="18">
        <v>46.352684177151048</v>
      </c>
      <c r="N115" s="13">
        <f t="shared" si="33"/>
        <v>466.77486732195104</v>
      </c>
      <c r="O115" s="13">
        <f t="shared" si="34"/>
        <v>32775</v>
      </c>
      <c r="P115" s="13">
        <f t="shared" si="35"/>
        <v>4912.3612905683458</v>
      </c>
      <c r="Q115" s="13">
        <f t="shared" si="36"/>
        <v>1256.471272080445</v>
      </c>
      <c r="R115" s="13">
        <f t="shared" si="37"/>
        <v>322.0449797422005</v>
      </c>
      <c r="S115" s="13">
        <f t="shared" si="38"/>
        <v>26237.769773431857</v>
      </c>
      <c r="T115" s="13">
        <f t="shared" si="39"/>
        <v>13395</v>
      </c>
      <c r="U115" s="13">
        <f t="shared" si="40"/>
        <v>12842.769773431857</v>
      </c>
      <c r="V115" s="14">
        <f t="shared" si="41"/>
        <v>0.48947642594365381</v>
      </c>
      <c r="W115" s="13">
        <f t="shared" si="42"/>
        <v>6537.2302265681428</v>
      </c>
      <c r="X115" s="14">
        <f t="shared" si="43"/>
        <v>0.19945782537202572</v>
      </c>
      <c r="Y115" s="12" t="str">
        <f>IF(AND(V115&lt;Inputs!$B$12,X115&gt;Inputs!$B$13),"Priority: margin + leakage",IF(V115&lt;Inputs!$B$12,"Margin review",IF(X115&gt;Inputs!$B$13,"Leakage review","Monitor")))</f>
        <v>Leakage review</v>
      </c>
      <c r="Z115" s="1"/>
    </row>
    <row r="116" spans="1:26" ht="20" customHeight="1">
      <c r="A116" s="15" t="s">
        <v>250</v>
      </c>
      <c r="B116" s="16">
        <v>45720</v>
      </c>
      <c r="C116" s="15" t="s">
        <v>164</v>
      </c>
      <c r="D116" s="15" t="s">
        <v>113</v>
      </c>
      <c r="E116" s="15" t="s">
        <v>135</v>
      </c>
      <c r="F116" s="15" t="s">
        <v>136</v>
      </c>
      <c r="G116" s="17">
        <v>39</v>
      </c>
      <c r="H116" s="18">
        <v>310</v>
      </c>
      <c r="I116" s="18">
        <v>142</v>
      </c>
      <c r="J116" s="19">
        <v>3.3586745690110706E-2</v>
      </c>
      <c r="K116" s="19">
        <v>1.756099529590548E-2</v>
      </c>
      <c r="L116" s="19">
        <v>0</v>
      </c>
      <c r="M116" s="18">
        <v>172.81689665416616</v>
      </c>
      <c r="N116" s="13">
        <f t="shared" si="33"/>
        <v>294.32704346608637</v>
      </c>
      <c r="O116" s="13">
        <f t="shared" si="34"/>
        <v>12090</v>
      </c>
      <c r="P116" s="13">
        <f t="shared" si="35"/>
        <v>406.06375539343844</v>
      </c>
      <c r="Q116" s="13">
        <f t="shared" si="36"/>
        <v>205.18154942919534</v>
      </c>
      <c r="R116" s="13">
        <f t="shared" si="37"/>
        <v>0</v>
      </c>
      <c r="S116" s="13">
        <f t="shared" si="38"/>
        <v>11305.937798523202</v>
      </c>
      <c r="T116" s="13">
        <f t="shared" si="39"/>
        <v>5538</v>
      </c>
      <c r="U116" s="13">
        <f t="shared" si="40"/>
        <v>5767.9377985232022</v>
      </c>
      <c r="V116" s="14">
        <f t="shared" si="41"/>
        <v>0.51016889543445199</v>
      </c>
      <c r="W116" s="13">
        <f t="shared" si="42"/>
        <v>784.06220147679994</v>
      </c>
      <c r="X116" s="14">
        <f t="shared" si="43"/>
        <v>6.4852125845889161E-2</v>
      </c>
      <c r="Y116" s="12" t="str">
        <f>IF(AND(V116&lt;Inputs!$B$12,X116&gt;Inputs!$B$13),"Priority: margin + leakage",IF(V116&lt;Inputs!$B$12,"Margin review",IF(X116&gt;Inputs!$B$13,"Leakage review","Monitor")))</f>
        <v>Monitor</v>
      </c>
      <c r="Z116" s="1"/>
    </row>
    <row r="117" spans="1:26" ht="20" customHeight="1">
      <c r="A117" s="15" t="s">
        <v>251</v>
      </c>
      <c r="B117" s="16">
        <v>45716</v>
      </c>
      <c r="C117" s="15" t="s">
        <v>164</v>
      </c>
      <c r="D117" s="15" t="s">
        <v>113</v>
      </c>
      <c r="E117" s="15" t="s">
        <v>135</v>
      </c>
      <c r="F117" s="15" t="s">
        <v>136</v>
      </c>
      <c r="G117" s="17">
        <v>95</v>
      </c>
      <c r="H117" s="18">
        <v>310</v>
      </c>
      <c r="I117" s="18">
        <v>142</v>
      </c>
      <c r="J117" s="19">
        <v>0.13410736997633427</v>
      </c>
      <c r="K117" s="19">
        <v>6.1532140301821581E-2</v>
      </c>
      <c r="L117" s="19">
        <v>1.746270544192564E-2</v>
      </c>
      <c r="M117" s="18">
        <v>107.16276555555812</v>
      </c>
      <c r="N117" s="13">
        <f t="shared" si="33"/>
        <v>251.90984500028824</v>
      </c>
      <c r="O117" s="13">
        <f t="shared" si="34"/>
        <v>29450</v>
      </c>
      <c r="P117" s="13">
        <f t="shared" si="35"/>
        <v>3949.462045803044</v>
      </c>
      <c r="Q117" s="13">
        <f t="shared" si="36"/>
        <v>1569.1026791695733</v>
      </c>
      <c r="R117" s="13">
        <f t="shared" si="37"/>
        <v>514.27667526471009</v>
      </c>
      <c r="S117" s="13">
        <f t="shared" si="38"/>
        <v>23309.995834207115</v>
      </c>
      <c r="T117" s="13">
        <f t="shared" si="39"/>
        <v>13490</v>
      </c>
      <c r="U117" s="13">
        <f t="shared" si="40"/>
        <v>9819.995834207115</v>
      </c>
      <c r="V117" s="14">
        <f t="shared" si="41"/>
        <v>0.42127831785351066</v>
      </c>
      <c r="W117" s="13">
        <f t="shared" si="42"/>
        <v>6140.0041657928859</v>
      </c>
      <c r="X117" s="14">
        <f t="shared" si="43"/>
        <v>0.20848910579941887</v>
      </c>
      <c r="Y117" s="12" t="str">
        <f>IF(AND(V117&lt;Inputs!$B$12,X117&gt;Inputs!$B$13),"Priority: margin + leakage",IF(V117&lt;Inputs!$B$12,"Margin review",IF(X117&gt;Inputs!$B$13,"Leakage review","Monitor")))</f>
        <v>Leakage review</v>
      </c>
      <c r="Z117" s="1"/>
    </row>
    <row r="118" spans="1:26" ht="20" customHeight="1">
      <c r="A118" s="15" t="s">
        <v>252</v>
      </c>
      <c r="B118" s="16">
        <v>45797</v>
      </c>
      <c r="C118" s="15" t="s">
        <v>139</v>
      </c>
      <c r="D118" s="15" t="s">
        <v>113</v>
      </c>
      <c r="E118" s="15" t="s">
        <v>114</v>
      </c>
      <c r="F118" s="15" t="s">
        <v>115</v>
      </c>
      <c r="G118" s="17">
        <v>87</v>
      </c>
      <c r="H118" s="18">
        <v>160</v>
      </c>
      <c r="I118" s="18">
        <v>84</v>
      </c>
      <c r="J118" s="19">
        <v>0.13028958267454499</v>
      </c>
      <c r="K118" s="19">
        <v>9.4589535695354665E-3</v>
      </c>
      <c r="L118" s="19">
        <v>2.0528749497936007E-2</v>
      </c>
      <c r="M118" s="18">
        <v>15.027544315336129</v>
      </c>
      <c r="N118" s="13">
        <f t="shared" si="33"/>
        <v>137.83741869904517</v>
      </c>
      <c r="O118" s="13">
        <f t="shared" si="34"/>
        <v>13920</v>
      </c>
      <c r="P118" s="13">
        <f t="shared" si="35"/>
        <v>1813.6309908296662</v>
      </c>
      <c r="Q118" s="13">
        <f t="shared" si="36"/>
        <v>114.51358235340528</v>
      </c>
      <c r="R118" s="13">
        <f t="shared" si="37"/>
        <v>285.76019301126922</v>
      </c>
      <c r="S118" s="13">
        <f t="shared" si="38"/>
        <v>11691.067689490324</v>
      </c>
      <c r="T118" s="13">
        <f t="shared" si="39"/>
        <v>7308</v>
      </c>
      <c r="U118" s="13">
        <f t="shared" si="40"/>
        <v>4383.0676894903245</v>
      </c>
      <c r="V118" s="14">
        <f t="shared" si="41"/>
        <v>0.37490739134377604</v>
      </c>
      <c r="W118" s="13">
        <f t="shared" si="42"/>
        <v>2228.9323105096769</v>
      </c>
      <c r="X118" s="14">
        <f t="shared" si="43"/>
        <v>0.16012444759408598</v>
      </c>
      <c r="Y118" s="12" t="str">
        <f>IF(AND(V118&lt;Inputs!$B$12,X118&gt;Inputs!$B$13),"Priority: margin + leakage",IF(V118&lt;Inputs!$B$12,"Margin review",IF(X118&gt;Inputs!$B$13,"Leakage review","Monitor")))</f>
        <v>Leakage review</v>
      </c>
      <c r="Z118" s="1"/>
    </row>
    <row r="119" spans="1:26" ht="20" customHeight="1">
      <c r="A119" s="15" t="s">
        <v>253</v>
      </c>
      <c r="B119" s="16">
        <v>45918</v>
      </c>
      <c r="C119" s="15" t="s">
        <v>128</v>
      </c>
      <c r="D119" s="15" t="s">
        <v>129</v>
      </c>
      <c r="E119" s="15" t="s">
        <v>143</v>
      </c>
      <c r="F119" s="15" t="s">
        <v>119</v>
      </c>
      <c r="G119" s="17">
        <v>65</v>
      </c>
      <c r="H119" s="18">
        <v>575</v>
      </c>
      <c r="I119" s="18">
        <v>235</v>
      </c>
      <c r="J119" s="19">
        <v>7.6744854278059285E-2</v>
      </c>
      <c r="K119" s="19">
        <v>6.6624363184756258E-2</v>
      </c>
      <c r="L119" s="19">
        <v>0</v>
      </c>
      <c r="M119" s="18">
        <v>255.74279283539803</v>
      </c>
      <c r="N119" s="13">
        <f t="shared" si="33"/>
        <v>495.50271925917104</v>
      </c>
      <c r="O119" s="13">
        <f t="shared" si="34"/>
        <v>37375</v>
      </c>
      <c r="P119" s="13">
        <f t="shared" si="35"/>
        <v>2868.3389286424658</v>
      </c>
      <c r="Q119" s="13">
        <f t="shared" si="36"/>
        <v>2298.9843195114149</v>
      </c>
      <c r="R119" s="13">
        <f t="shared" si="37"/>
        <v>0</v>
      </c>
      <c r="S119" s="13">
        <f t="shared" si="38"/>
        <v>31951.933959010719</v>
      </c>
      <c r="T119" s="13">
        <f t="shared" si="39"/>
        <v>15275</v>
      </c>
      <c r="U119" s="13">
        <f t="shared" si="40"/>
        <v>16676.933959010719</v>
      </c>
      <c r="V119" s="14">
        <f t="shared" si="41"/>
        <v>0.52193817064108194</v>
      </c>
      <c r="W119" s="13">
        <f t="shared" si="42"/>
        <v>5423.0660409892789</v>
      </c>
      <c r="X119" s="14">
        <f t="shared" si="43"/>
        <v>0.14509875694954594</v>
      </c>
      <c r="Y119" s="12" t="str">
        <f>IF(AND(V119&lt;Inputs!$B$12,X119&gt;Inputs!$B$13),"Priority: margin + leakage",IF(V119&lt;Inputs!$B$12,"Margin review",IF(X119&gt;Inputs!$B$13,"Leakage review","Monitor")))</f>
        <v>Leakage review</v>
      </c>
      <c r="Z119" s="1"/>
    </row>
    <row r="120" spans="1:26" ht="20" customHeight="1">
      <c r="A120" s="15" t="s">
        <v>254</v>
      </c>
      <c r="B120" s="16">
        <v>45917</v>
      </c>
      <c r="C120" s="15" t="s">
        <v>121</v>
      </c>
      <c r="D120" s="15" t="s">
        <v>122</v>
      </c>
      <c r="E120" s="15" t="s">
        <v>147</v>
      </c>
      <c r="F120" s="15" t="s">
        <v>136</v>
      </c>
      <c r="G120" s="17">
        <v>115</v>
      </c>
      <c r="H120" s="18">
        <v>220</v>
      </c>
      <c r="I120" s="18">
        <v>98</v>
      </c>
      <c r="J120" s="19">
        <v>9.9541193468112577E-2</v>
      </c>
      <c r="K120" s="19">
        <v>5.3275490097290164E-2</v>
      </c>
      <c r="L120" s="19">
        <v>3.5006952181325733E-2</v>
      </c>
      <c r="M120" s="18">
        <v>55.001454107725053</v>
      </c>
      <c r="N120" s="13">
        <f t="shared" si="33"/>
        <v>187.54701290632562</v>
      </c>
      <c r="O120" s="13">
        <f t="shared" si="34"/>
        <v>25300</v>
      </c>
      <c r="P120" s="13">
        <f t="shared" si="35"/>
        <v>2518.3921947432482</v>
      </c>
      <c r="Q120" s="13">
        <f t="shared" si="36"/>
        <v>1213.7013210293044</v>
      </c>
      <c r="R120" s="13">
        <f t="shared" si="37"/>
        <v>885.67589018754109</v>
      </c>
      <c r="S120" s="13">
        <f t="shared" si="38"/>
        <v>20627.22913993218</v>
      </c>
      <c r="T120" s="13">
        <f t="shared" si="39"/>
        <v>11270</v>
      </c>
      <c r="U120" s="13">
        <f t="shared" si="40"/>
        <v>9357.2291399321803</v>
      </c>
      <c r="V120" s="14">
        <f t="shared" si="41"/>
        <v>0.45363480845895843</v>
      </c>
      <c r="W120" s="13">
        <f t="shared" si="42"/>
        <v>4672.7708600678188</v>
      </c>
      <c r="X120" s="14">
        <f t="shared" si="43"/>
        <v>0.1846945003979375</v>
      </c>
      <c r="Y120" s="12" t="str">
        <f>IF(AND(V120&lt;Inputs!$B$12,X120&gt;Inputs!$B$13),"Priority: margin + leakage",IF(V120&lt;Inputs!$B$12,"Margin review",IF(X120&gt;Inputs!$B$13,"Leakage review","Monitor")))</f>
        <v>Leakage review</v>
      </c>
      <c r="Z120" s="1"/>
    </row>
    <row r="121" spans="1:26" ht="20" customHeight="1">
      <c r="A121" s="15" t="s">
        <v>255</v>
      </c>
      <c r="B121" s="16">
        <v>45734</v>
      </c>
      <c r="C121" s="15" t="s">
        <v>175</v>
      </c>
      <c r="D121" s="15" t="s">
        <v>129</v>
      </c>
      <c r="E121" s="15" t="s">
        <v>151</v>
      </c>
      <c r="F121" s="15" t="s">
        <v>115</v>
      </c>
      <c r="G121" s="17">
        <v>41</v>
      </c>
      <c r="H121" s="18">
        <v>105</v>
      </c>
      <c r="I121" s="18">
        <v>58</v>
      </c>
      <c r="J121" s="19">
        <v>6.4998171481997519E-2</v>
      </c>
      <c r="K121" s="19">
        <v>0</v>
      </c>
      <c r="L121" s="19">
        <v>1.8262758039066483E-3</v>
      </c>
      <c r="M121" s="18">
        <v>56.37330364099342</v>
      </c>
      <c r="N121" s="13">
        <f t="shared" si="33"/>
        <v>98.175191994390261</v>
      </c>
      <c r="O121" s="13">
        <f t="shared" si="34"/>
        <v>4305</v>
      </c>
      <c r="P121" s="13">
        <f t="shared" si="35"/>
        <v>279.8171282299993</v>
      </c>
      <c r="Q121" s="13">
        <f t="shared" si="36"/>
        <v>0</v>
      </c>
      <c r="R121" s="13">
        <f t="shared" si="37"/>
        <v>7.8621173358181213</v>
      </c>
      <c r="S121" s="13">
        <f t="shared" si="38"/>
        <v>3960.9474507931886</v>
      </c>
      <c r="T121" s="13">
        <f t="shared" si="39"/>
        <v>2378</v>
      </c>
      <c r="U121" s="13">
        <f t="shared" si="40"/>
        <v>1582.9474507931886</v>
      </c>
      <c r="V121" s="14">
        <f t="shared" si="41"/>
        <v>0.39963858911488459</v>
      </c>
      <c r="W121" s="13">
        <f t="shared" si="42"/>
        <v>344.05254920681085</v>
      </c>
      <c r="X121" s="14">
        <f t="shared" si="43"/>
        <v>7.9919291337238296E-2</v>
      </c>
      <c r="Y121" s="12" t="str">
        <f>IF(AND(V121&lt;Inputs!$B$12,X121&gt;Inputs!$B$13),"Priority: margin + leakage",IF(V121&lt;Inputs!$B$12,"Margin review",IF(X121&gt;Inputs!$B$13,"Leakage review","Monitor")))</f>
        <v>Monitor</v>
      </c>
      <c r="Z121" s="1"/>
    </row>
    <row r="122" spans="1:26" ht="20" customHeight="1">
      <c r="A122" s="15" t="s">
        <v>256</v>
      </c>
      <c r="B122" s="16">
        <v>45754</v>
      </c>
      <c r="C122" s="15" t="s">
        <v>139</v>
      </c>
      <c r="D122" s="15" t="s">
        <v>113</v>
      </c>
      <c r="E122" s="15" t="s">
        <v>143</v>
      </c>
      <c r="F122" s="15" t="s">
        <v>119</v>
      </c>
      <c r="G122" s="17">
        <v>49</v>
      </c>
      <c r="H122" s="18">
        <v>575</v>
      </c>
      <c r="I122" s="18">
        <v>235</v>
      </c>
      <c r="J122" s="19">
        <v>8.0599322289579528E-2</v>
      </c>
      <c r="K122" s="19">
        <v>7.1850064308476902E-2</v>
      </c>
      <c r="L122" s="19">
        <v>0</v>
      </c>
      <c r="M122" s="18">
        <v>265.84055922476</v>
      </c>
      <c r="N122" s="13">
        <f t="shared" si="33"/>
        <v>490.67146593770991</v>
      </c>
      <c r="O122" s="13">
        <f t="shared" si="34"/>
        <v>28175</v>
      </c>
      <c r="P122" s="13">
        <f t="shared" si="35"/>
        <v>2270.8859055089033</v>
      </c>
      <c r="Q122" s="13">
        <f t="shared" si="36"/>
        <v>1861.2122635433082</v>
      </c>
      <c r="R122" s="13">
        <f t="shared" si="37"/>
        <v>0</v>
      </c>
      <c r="S122" s="13">
        <f t="shared" si="38"/>
        <v>23777.061271723025</v>
      </c>
      <c r="T122" s="13">
        <f t="shared" si="39"/>
        <v>11515</v>
      </c>
      <c r="U122" s="13">
        <f t="shared" si="40"/>
        <v>12262.061271723025</v>
      </c>
      <c r="V122" s="14">
        <f t="shared" si="41"/>
        <v>0.51570970573666874</v>
      </c>
      <c r="W122" s="13">
        <f t="shared" si="42"/>
        <v>4397.9387282769712</v>
      </c>
      <c r="X122" s="14">
        <f t="shared" si="43"/>
        <v>0.15609365495215516</v>
      </c>
      <c r="Y122" s="12" t="str">
        <f>IF(AND(V122&lt;Inputs!$B$12,X122&gt;Inputs!$B$13),"Priority: margin + leakage",IF(V122&lt;Inputs!$B$12,"Margin review",IF(X122&gt;Inputs!$B$13,"Leakage review","Monitor")))</f>
        <v>Leakage review</v>
      </c>
      <c r="Z122" s="1"/>
    </row>
    <row r="123" spans="1:26" ht="20" customHeight="1">
      <c r="A123" s="15" t="s">
        <v>257</v>
      </c>
      <c r="B123" s="16">
        <v>45900</v>
      </c>
      <c r="C123" s="15" t="s">
        <v>121</v>
      </c>
      <c r="D123" s="15" t="s">
        <v>122</v>
      </c>
      <c r="E123" s="15" t="s">
        <v>135</v>
      </c>
      <c r="F123" s="15" t="s">
        <v>136</v>
      </c>
      <c r="G123" s="17">
        <v>78</v>
      </c>
      <c r="H123" s="18">
        <v>310</v>
      </c>
      <c r="I123" s="18">
        <v>142</v>
      </c>
      <c r="J123" s="19">
        <v>0</v>
      </c>
      <c r="K123" s="19">
        <v>6.8017365171694544E-2</v>
      </c>
      <c r="L123" s="19">
        <v>1.1657902108923184E-2</v>
      </c>
      <c r="M123" s="18">
        <v>161.88143525205919</v>
      </c>
      <c r="N123" s="13">
        <f t="shared" si="33"/>
        <v>288.91461679677468</v>
      </c>
      <c r="O123" s="13">
        <f t="shared" si="34"/>
        <v>24180</v>
      </c>
      <c r="P123" s="13">
        <f t="shared" si="35"/>
        <v>0</v>
      </c>
      <c r="Q123" s="13">
        <f t="shared" si="36"/>
        <v>1644.659889851574</v>
      </c>
      <c r="R123" s="13">
        <f t="shared" si="37"/>
        <v>281.88807299376259</v>
      </c>
      <c r="S123" s="13">
        <f t="shared" si="38"/>
        <v>22091.570601902604</v>
      </c>
      <c r="T123" s="13">
        <f t="shared" si="39"/>
        <v>11076</v>
      </c>
      <c r="U123" s="13">
        <f t="shared" si="40"/>
        <v>11015.570601902604</v>
      </c>
      <c r="V123" s="14">
        <f t="shared" si="41"/>
        <v>0.49863229737743969</v>
      </c>
      <c r="W123" s="13">
        <f t="shared" si="42"/>
        <v>2088.4293980973957</v>
      </c>
      <c r="X123" s="14">
        <f t="shared" si="43"/>
        <v>8.637011571949528E-2</v>
      </c>
      <c r="Y123" s="12" t="str">
        <f>IF(AND(V123&lt;Inputs!$B$12,X123&gt;Inputs!$B$13),"Priority: margin + leakage",IF(V123&lt;Inputs!$B$12,"Margin review",IF(X123&gt;Inputs!$B$13,"Leakage review","Monitor")))</f>
        <v>Monitor</v>
      </c>
      <c r="Z123" s="1"/>
    </row>
    <row r="124" spans="1:26" ht="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200"/>
  <sheetViews>
    <sheetView workbookViewId="0">
      <selection activeCell="C13" sqref="C13"/>
    </sheetView>
  </sheetViews>
  <sheetFormatPr baseColWidth="10" defaultColWidth="8.83203125" defaultRowHeight="14"/>
  <cols>
    <col min="1" max="1" width="28" customWidth="1"/>
    <col min="2" max="3" width="18" customWidth="1"/>
    <col min="4" max="4" width="62" customWidth="1"/>
  </cols>
  <sheetData>
    <row r="1" spans="1:26" ht="38.25" customHeight="1">
      <c r="A1" s="2" t="s">
        <v>258</v>
      </c>
      <c r="B1" s="1"/>
      <c r="C1" s="1"/>
      <c r="D1" s="1"/>
      <c r="E1" s="1"/>
      <c r="F1" s="1"/>
      <c r="G1" s="1"/>
      <c r="H1" s="1"/>
      <c r="I1" s="1"/>
      <c r="J1" s="1"/>
      <c r="K1" s="1"/>
      <c r="L1" s="1"/>
      <c r="M1" s="1"/>
      <c r="N1" s="1"/>
      <c r="O1" s="1"/>
      <c r="P1" s="1"/>
      <c r="Q1" s="1"/>
      <c r="R1" s="1"/>
      <c r="S1" s="1"/>
      <c r="T1" s="1"/>
      <c r="U1" s="1"/>
      <c r="V1" s="1"/>
      <c r="W1" s="1"/>
      <c r="X1" s="1"/>
      <c r="Y1" s="1"/>
      <c r="Z1" s="1"/>
    </row>
    <row r="2" spans="1:26" ht="20" customHeight="1">
      <c r="A2" s="1"/>
      <c r="B2" s="1"/>
      <c r="C2" s="1"/>
      <c r="D2" s="1"/>
      <c r="E2" s="1"/>
      <c r="F2" s="1"/>
      <c r="G2" s="1"/>
      <c r="H2" s="1"/>
      <c r="I2" s="1"/>
      <c r="J2" s="1"/>
      <c r="K2" s="1"/>
      <c r="L2" s="1"/>
      <c r="M2" s="1"/>
      <c r="N2" s="1"/>
      <c r="O2" s="1"/>
      <c r="P2" s="1"/>
      <c r="Q2" s="1"/>
      <c r="R2" s="1"/>
      <c r="S2" s="1"/>
      <c r="T2" s="1"/>
      <c r="U2" s="1"/>
      <c r="V2" s="1"/>
      <c r="W2" s="1"/>
      <c r="X2" s="1"/>
      <c r="Y2" s="1"/>
      <c r="Z2" s="1"/>
    </row>
    <row r="3" spans="1:26" ht="20" customHeight="1">
      <c r="A3" s="10" t="s">
        <v>259</v>
      </c>
      <c r="B3" s="10" t="s">
        <v>260</v>
      </c>
      <c r="C3" s="10" t="s">
        <v>261</v>
      </c>
      <c r="D3" s="10" t="s">
        <v>262</v>
      </c>
      <c r="E3" s="1"/>
      <c r="F3" s="1"/>
      <c r="G3" s="1"/>
      <c r="H3" s="1"/>
      <c r="I3" s="1"/>
      <c r="J3" s="1"/>
      <c r="K3" s="1"/>
      <c r="L3" s="1"/>
      <c r="M3" s="1"/>
      <c r="N3" s="1"/>
      <c r="O3" s="1"/>
      <c r="P3" s="1"/>
      <c r="Q3" s="1"/>
      <c r="R3" s="1"/>
      <c r="S3" s="1"/>
      <c r="T3" s="1"/>
      <c r="U3" s="1"/>
      <c r="V3" s="1"/>
      <c r="W3" s="1"/>
      <c r="X3" s="1"/>
      <c r="Y3" s="1"/>
      <c r="Z3" s="1"/>
    </row>
    <row r="4" spans="1:26" ht="20" customHeight="1">
      <c r="A4" s="8" t="s">
        <v>8</v>
      </c>
      <c r="B4" s="21">
        <f>SUM(Customer_SKU_Data!O4:O123)</f>
        <v>2168795</v>
      </c>
      <c r="C4" s="23">
        <f t="shared" ref="C4:C11" si="0">B4/$B$4</f>
        <v>1</v>
      </c>
      <c r="D4" s="8" t="s">
        <v>263</v>
      </c>
      <c r="E4" s="1"/>
      <c r="F4" s="1"/>
      <c r="G4" s="1"/>
      <c r="H4" s="1"/>
      <c r="I4" s="1"/>
      <c r="J4" s="1"/>
      <c r="K4" s="1"/>
      <c r="L4" s="1"/>
      <c r="M4" s="1"/>
      <c r="N4" s="1"/>
      <c r="O4" s="1"/>
      <c r="P4" s="1"/>
      <c r="Q4" s="1"/>
      <c r="R4" s="1"/>
      <c r="S4" s="1"/>
      <c r="T4" s="1"/>
      <c r="U4" s="1"/>
      <c r="V4" s="1"/>
      <c r="W4" s="1"/>
      <c r="X4" s="1"/>
      <c r="Y4" s="1"/>
      <c r="Z4" s="1"/>
    </row>
    <row r="5" spans="1:26" ht="20" customHeight="1">
      <c r="A5" s="8" t="s">
        <v>9</v>
      </c>
      <c r="B5" s="21">
        <f>-SUM(Customer_SKU_Data!P4:P123)</f>
        <v>-188064.89054873781</v>
      </c>
      <c r="C5" s="23">
        <f t="shared" si="0"/>
        <v>-8.6714000423616711E-2</v>
      </c>
      <c r="D5" s="8" t="s">
        <v>264</v>
      </c>
      <c r="E5" s="1"/>
      <c r="F5" s="1"/>
      <c r="G5" s="1"/>
      <c r="H5" s="1"/>
      <c r="I5" s="1"/>
      <c r="J5" s="1"/>
      <c r="K5" s="1"/>
      <c r="L5" s="1"/>
      <c r="M5" s="1"/>
      <c r="N5" s="1"/>
      <c r="O5" s="1"/>
      <c r="P5" s="1"/>
      <c r="Q5" s="1"/>
      <c r="R5" s="1"/>
      <c r="S5" s="1"/>
      <c r="T5" s="1"/>
      <c r="U5" s="1"/>
      <c r="V5" s="1"/>
      <c r="W5" s="1"/>
      <c r="X5" s="1"/>
      <c r="Y5" s="1"/>
      <c r="Z5" s="1"/>
    </row>
    <row r="6" spans="1:26" ht="20" customHeight="1">
      <c r="A6" s="8" t="s">
        <v>10</v>
      </c>
      <c r="B6" s="21">
        <f>-SUM(Customer_SKU_Data!Q4:Q123)</f>
        <v>-74462.767098840646</v>
      </c>
      <c r="C6" s="23">
        <f t="shared" si="0"/>
        <v>-3.4333704706457108E-2</v>
      </c>
      <c r="D6" s="8" t="s">
        <v>265</v>
      </c>
      <c r="E6" s="1"/>
      <c r="F6" s="1"/>
      <c r="G6" s="1"/>
      <c r="H6" s="1"/>
      <c r="I6" s="1"/>
      <c r="J6" s="1"/>
      <c r="K6" s="1"/>
      <c r="L6" s="1"/>
      <c r="M6" s="1"/>
      <c r="N6" s="1"/>
      <c r="O6" s="1"/>
      <c r="P6" s="1"/>
      <c r="Q6" s="1"/>
      <c r="R6" s="1"/>
      <c r="S6" s="1"/>
      <c r="T6" s="1"/>
      <c r="U6" s="1"/>
      <c r="V6" s="1"/>
      <c r="W6" s="1"/>
      <c r="X6" s="1"/>
      <c r="Y6" s="1"/>
      <c r="Z6" s="1"/>
    </row>
    <row r="7" spans="1:26" ht="20" customHeight="1">
      <c r="A7" s="8" t="s">
        <v>11</v>
      </c>
      <c r="B7" s="21">
        <f>-SUM(Customer_SKU_Data!R4:R123)</f>
        <v>-52033.696835799128</v>
      </c>
      <c r="C7" s="23">
        <f t="shared" si="0"/>
        <v>-2.3991984874457535E-2</v>
      </c>
      <c r="D7" s="8" t="s">
        <v>266</v>
      </c>
      <c r="E7" s="1"/>
      <c r="F7" s="1"/>
      <c r="G7" s="1"/>
      <c r="H7" s="1"/>
      <c r="I7" s="1"/>
      <c r="J7" s="1"/>
      <c r="K7" s="1"/>
      <c r="L7" s="1"/>
      <c r="M7" s="1"/>
      <c r="N7" s="1"/>
      <c r="O7" s="1"/>
      <c r="P7" s="1"/>
      <c r="Q7" s="1"/>
      <c r="R7" s="1"/>
      <c r="S7" s="1"/>
      <c r="T7" s="1"/>
      <c r="U7" s="1"/>
      <c r="V7" s="1"/>
      <c r="W7" s="1"/>
      <c r="X7" s="1"/>
      <c r="Y7" s="1"/>
      <c r="Z7" s="1"/>
    </row>
    <row r="8" spans="1:26" ht="20" customHeight="1">
      <c r="A8" s="8" t="s">
        <v>12</v>
      </c>
      <c r="B8" s="21">
        <f>-SUM(Customer_SKU_Data!M4:M123)</f>
        <v>-12297.450239824904</v>
      </c>
      <c r="C8" s="23">
        <f t="shared" si="0"/>
        <v>-5.670176406633593E-3</v>
      </c>
      <c r="D8" s="8" t="s">
        <v>267</v>
      </c>
      <c r="E8" s="1"/>
      <c r="F8" s="1"/>
      <c r="G8" s="1"/>
      <c r="H8" s="1"/>
      <c r="I8" s="1"/>
      <c r="J8" s="1"/>
      <c r="K8" s="1"/>
      <c r="L8" s="1"/>
      <c r="M8" s="1"/>
      <c r="N8" s="1"/>
      <c r="O8" s="1"/>
      <c r="P8" s="1"/>
      <c r="Q8" s="1"/>
      <c r="R8" s="1"/>
      <c r="S8" s="1"/>
      <c r="T8" s="1"/>
      <c r="U8" s="1"/>
      <c r="V8" s="1"/>
      <c r="W8" s="1"/>
      <c r="X8" s="1"/>
      <c r="Y8" s="1"/>
      <c r="Z8" s="1"/>
    </row>
    <row r="9" spans="1:26" ht="20" customHeight="1">
      <c r="A9" s="25" t="s">
        <v>2</v>
      </c>
      <c r="B9" s="26">
        <f>SUM(B4:B8)</f>
        <v>1841936.1952767977</v>
      </c>
      <c r="C9" s="27">
        <f t="shared" si="0"/>
        <v>0.84929013358883521</v>
      </c>
      <c r="D9" s="25" t="s">
        <v>268</v>
      </c>
      <c r="E9" s="1"/>
      <c r="F9" s="1"/>
      <c r="G9" s="1"/>
      <c r="H9" s="1"/>
      <c r="I9" s="1"/>
      <c r="J9" s="1"/>
      <c r="K9" s="1"/>
      <c r="L9" s="1"/>
      <c r="M9" s="1"/>
      <c r="N9" s="1"/>
      <c r="O9" s="1"/>
      <c r="P9" s="1"/>
      <c r="Q9" s="1"/>
      <c r="R9" s="1"/>
      <c r="S9" s="1"/>
      <c r="T9" s="1"/>
      <c r="U9" s="1"/>
      <c r="V9" s="1"/>
      <c r="W9" s="1"/>
      <c r="X9" s="1"/>
      <c r="Y9" s="1"/>
      <c r="Z9" s="1"/>
    </row>
    <row r="10" spans="1:26" ht="20" customHeight="1">
      <c r="A10" s="8" t="s">
        <v>269</v>
      </c>
      <c r="B10" s="21">
        <f>-SUM(Customer_SKU_Data!T4:T123)</f>
        <v>-1025129</v>
      </c>
      <c r="C10" s="23">
        <f t="shared" si="0"/>
        <v>-0.47267215204756557</v>
      </c>
      <c r="D10" s="8" t="s">
        <v>270</v>
      </c>
      <c r="E10" s="1"/>
      <c r="F10" s="1"/>
      <c r="G10" s="1"/>
      <c r="H10" s="1"/>
      <c r="I10" s="1"/>
      <c r="J10" s="1"/>
      <c r="K10" s="1"/>
      <c r="L10" s="1"/>
      <c r="M10" s="1"/>
      <c r="N10" s="1"/>
      <c r="O10" s="1"/>
      <c r="P10" s="1"/>
      <c r="Q10" s="1"/>
      <c r="R10" s="1"/>
      <c r="S10" s="1"/>
      <c r="T10" s="1"/>
      <c r="U10" s="1"/>
      <c r="V10" s="1"/>
      <c r="W10" s="1"/>
      <c r="X10" s="1"/>
      <c r="Y10" s="1"/>
      <c r="Z10" s="1"/>
    </row>
    <row r="11" spans="1:26" ht="20" customHeight="1">
      <c r="A11" s="25" t="s">
        <v>3</v>
      </c>
      <c r="B11" s="26">
        <f>B9+B10</f>
        <v>816807.19527679775</v>
      </c>
      <c r="C11" s="27">
        <f t="shared" si="0"/>
        <v>0.37661798154126958</v>
      </c>
      <c r="D11" s="25" t="s">
        <v>271</v>
      </c>
      <c r="E11" s="1"/>
      <c r="F11" s="1"/>
      <c r="G11" s="1"/>
      <c r="H11" s="1"/>
      <c r="I11" s="1"/>
      <c r="J11" s="1"/>
      <c r="K11" s="1"/>
      <c r="L11" s="1"/>
      <c r="M11" s="1"/>
      <c r="N11" s="1"/>
      <c r="O11" s="1"/>
      <c r="P11" s="1"/>
      <c r="Q11" s="1"/>
      <c r="R11" s="1"/>
      <c r="S11" s="1"/>
      <c r="T11" s="1"/>
      <c r="U11" s="1"/>
      <c r="V11" s="1"/>
      <c r="W11" s="1"/>
      <c r="X11" s="1"/>
      <c r="Y11" s="1"/>
      <c r="Z11" s="1"/>
    </row>
    <row r="12" spans="1:26" ht="20"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20"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20"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2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2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20"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20"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20"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2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20"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20"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20"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20"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20"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20"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20"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20"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20"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20"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20"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20"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20"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20"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0"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0"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0"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0"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0"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0"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0"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0"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0"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0"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0"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0"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0"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0"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0"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0"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0"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0"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0"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0"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0"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0"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0"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0"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0"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0"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0"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0"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0"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0"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0"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0"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0"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0"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0"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200"/>
  <sheetViews>
    <sheetView workbookViewId="0"/>
  </sheetViews>
  <sheetFormatPr baseColWidth="10" defaultColWidth="8.83203125" defaultRowHeight="14"/>
  <cols>
    <col min="1" max="1" width="22" customWidth="1"/>
    <col min="2" max="2" width="14" customWidth="1"/>
    <col min="3" max="4" width="12" customWidth="1"/>
    <col min="5" max="7" width="16" customWidth="1"/>
    <col min="8" max="8" width="15" customWidth="1"/>
    <col min="9" max="9" width="16" customWidth="1"/>
    <col min="10" max="10" width="15" customWidth="1"/>
    <col min="11" max="11" width="19" customWidth="1"/>
    <col min="12" max="12" width="24" customWidth="1"/>
  </cols>
  <sheetData>
    <row r="1" spans="1:26" ht="38.25" customHeight="1">
      <c r="A1" s="2" t="s">
        <v>272</v>
      </c>
      <c r="B1" s="1"/>
      <c r="C1" s="1"/>
      <c r="D1" s="1"/>
      <c r="E1" s="1"/>
      <c r="F1" s="1"/>
      <c r="G1" s="1"/>
      <c r="H1" s="1"/>
      <c r="I1" s="1"/>
      <c r="J1" s="1"/>
      <c r="K1" s="1"/>
      <c r="L1" s="1"/>
      <c r="M1" s="1"/>
      <c r="N1" s="1"/>
      <c r="O1" s="1"/>
      <c r="P1" s="1"/>
      <c r="Q1" s="1"/>
      <c r="R1" s="1"/>
      <c r="S1" s="1"/>
      <c r="T1" s="1"/>
      <c r="U1" s="1"/>
      <c r="V1" s="1"/>
      <c r="W1" s="1"/>
      <c r="X1" s="1"/>
      <c r="Y1" s="1"/>
      <c r="Z1" s="1"/>
    </row>
    <row r="2" spans="1:26" ht="20" customHeight="1">
      <c r="A2" s="1"/>
      <c r="B2" s="1"/>
      <c r="C2" s="1"/>
      <c r="D2" s="1"/>
      <c r="E2" s="1"/>
      <c r="F2" s="1"/>
      <c r="G2" s="1"/>
      <c r="H2" s="1"/>
      <c r="I2" s="1"/>
      <c r="J2" s="1"/>
      <c r="K2" s="1"/>
      <c r="L2" s="1"/>
      <c r="M2" s="1"/>
      <c r="N2" s="1"/>
      <c r="O2" s="1"/>
      <c r="P2" s="1"/>
      <c r="Q2" s="1"/>
      <c r="R2" s="1"/>
      <c r="S2" s="1"/>
      <c r="T2" s="1"/>
      <c r="U2" s="1"/>
      <c r="V2" s="1"/>
      <c r="W2" s="1"/>
      <c r="X2" s="1"/>
      <c r="Y2" s="1"/>
      <c r="Z2" s="1"/>
    </row>
    <row r="3" spans="1:26" ht="20" customHeight="1">
      <c r="A3" s="11" t="s">
        <v>14</v>
      </c>
      <c r="B3" s="11" t="s">
        <v>15</v>
      </c>
      <c r="C3" s="11" t="s">
        <v>273</v>
      </c>
      <c r="D3" s="11" t="s">
        <v>92</v>
      </c>
      <c r="E3" s="11" t="s">
        <v>274</v>
      </c>
      <c r="F3" s="11" t="s">
        <v>275</v>
      </c>
      <c r="G3" s="11" t="s">
        <v>276</v>
      </c>
      <c r="H3" s="11" t="s">
        <v>277</v>
      </c>
      <c r="I3" s="11" t="s">
        <v>278</v>
      </c>
      <c r="J3" s="11" t="s">
        <v>279</v>
      </c>
      <c r="K3" s="11" t="s">
        <v>280</v>
      </c>
      <c r="L3" s="11" t="s">
        <v>281</v>
      </c>
      <c r="M3" s="1"/>
      <c r="N3" s="1"/>
      <c r="O3" s="1"/>
      <c r="P3" s="1"/>
      <c r="Q3" s="1"/>
      <c r="R3" s="1"/>
      <c r="S3" s="1"/>
      <c r="T3" s="1"/>
      <c r="U3" s="1"/>
      <c r="V3" s="1"/>
      <c r="W3" s="1"/>
      <c r="X3" s="1"/>
      <c r="Y3" s="1"/>
      <c r="Z3" s="1"/>
    </row>
    <row r="4" spans="1:26" ht="20" customHeight="1">
      <c r="A4" s="4" t="s">
        <v>164</v>
      </c>
      <c r="B4" s="4" t="s">
        <v>113</v>
      </c>
      <c r="C4" s="28">
        <f>COUNTIF(Customer_SKU_Data!$C$4:$C$123,A4)</f>
        <v>7</v>
      </c>
      <c r="D4" s="28">
        <f>SUMIF(Customer_SKU_Data!$C$4:$C$123,A4,Customer_SKU_Data!$G$4:$G$123)</f>
        <v>468</v>
      </c>
      <c r="E4" s="29">
        <f>SUMIF(Customer_SKU_Data!$C$4:$C$123,A4,Customer_SKU_Data!$O$4:$O$123)</f>
        <v>169175</v>
      </c>
      <c r="F4" s="29">
        <f>SUMIF(Customer_SKU_Data!$C$4:$C$123,A4,Customer_SKU_Data!$S$4:$S$123)</f>
        <v>139013.69337635188</v>
      </c>
      <c r="G4" s="29">
        <f>SUMIF(Customer_SKU_Data!$C$4:$C$123,A4,Customer_SKU_Data!$U$4:$U$123)</f>
        <v>61179.693376351875</v>
      </c>
      <c r="H4" s="30">
        <f t="shared" ref="H4:H15" si="0">IFERROR(G4/F4,0)</f>
        <v>0.4400983233408528</v>
      </c>
      <c r="I4" s="29">
        <f>SUMIF(Customer_SKU_Data!$C$4:$C$123,A4,Customer_SKU_Data!$W$4:$W$123)</f>
        <v>30161.306623648132</v>
      </c>
      <c r="J4" s="30">
        <f t="shared" ref="J4:J15" si="1">IFERROR(I4/E4,0)</f>
        <v>0.17828465567399515</v>
      </c>
      <c r="K4" s="30">
        <f>IFERROR(SUMIF(Customer_SKU_Data!$C$4:$C$123,A4,Customer_SKU_Data!$P$4:$P$123)/E4,0)</f>
        <v>0.11060337945368057</v>
      </c>
      <c r="L4" s="4" t="str">
        <f>IF(AND(H4&lt;Inputs!$B$12,J4&gt;Inputs!$B$13),"Priority pricing review",IF(H4&lt;Inputs!$B$12,"Fix margin",IF(J4&gt;Inputs!$B$13,"Reduce leakage","Monitor")))</f>
        <v>Reduce leakage</v>
      </c>
      <c r="M4" s="1"/>
      <c r="N4" s="1"/>
      <c r="O4" s="1"/>
      <c r="P4" s="1"/>
      <c r="Q4" s="1"/>
      <c r="R4" s="1"/>
      <c r="S4" s="1"/>
      <c r="T4" s="1"/>
      <c r="U4" s="1"/>
      <c r="V4" s="1"/>
      <c r="W4" s="1"/>
      <c r="X4" s="1"/>
      <c r="Y4" s="1"/>
      <c r="Z4" s="1"/>
    </row>
    <row r="5" spans="1:26" ht="20" customHeight="1">
      <c r="A5" s="4" t="s">
        <v>117</v>
      </c>
      <c r="B5" s="4" t="s">
        <v>113</v>
      </c>
      <c r="C5" s="28">
        <f>COUNTIF(Customer_SKU_Data!$C$4:$C$123,A5)</f>
        <v>12</v>
      </c>
      <c r="D5" s="28">
        <f>SUMIF(Customer_SKU_Data!$C$4:$C$123,A5,Customer_SKU_Data!$G$4:$G$123)</f>
        <v>908</v>
      </c>
      <c r="E5" s="29">
        <f>SUMIF(Customer_SKU_Data!$C$4:$C$123,A5,Customer_SKU_Data!$O$4:$O$123)</f>
        <v>219825</v>
      </c>
      <c r="F5" s="29">
        <f>SUMIF(Customer_SKU_Data!$C$4:$C$123,A5,Customer_SKU_Data!$S$4:$S$123)</f>
        <v>182246.55072186451</v>
      </c>
      <c r="G5" s="29">
        <f>SUMIF(Customer_SKU_Data!$C$4:$C$123,A5,Customer_SKU_Data!$U$4:$U$123)</f>
        <v>72933.550721864478</v>
      </c>
      <c r="H5" s="30">
        <f t="shared" si="0"/>
        <v>0.40019166581194715</v>
      </c>
      <c r="I5" s="29">
        <f>SUMIF(Customer_SKU_Data!$C$4:$C$123,A5,Customer_SKU_Data!$W$4:$W$123)</f>
        <v>37578.449278135507</v>
      </c>
      <c r="J5" s="30">
        <f t="shared" si="1"/>
        <v>0.17094711374109181</v>
      </c>
      <c r="K5" s="30">
        <f>IFERROR(SUMIF(Customer_SKU_Data!$C$4:$C$123,A5,Customer_SKU_Data!$P$4:$P$123)/E5,0)</f>
        <v>0.10818641157340636</v>
      </c>
      <c r="L5" s="4" t="str">
        <f>IF(AND(H5&lt;Inputs!$B$12,J5&gt;Inputs!$B$13),"Priority pricing review",IF(H5&lt;Inputs!$B$12,"Fix margin",IF(J5&gt;Inputs!$B$13,"Reduce leakage","Monitor")))</f>
        <v>Reduce leakage</v>
      </c>
      <c r="M5" s="1"/>
      <c r="N5" s="1"/>
      <c r="O5" s="1"/>
      <c r="P5" s="1"/>
      <c r="Q5" s="1"/>
      <c r="R5" s="1"/>
      <c r="S5" s="1"/>
      <c r="T5" s="1"/>
      <c r="U5" s="1"/>
      <c r="V5" s="1"/>
      <c r="W5" s="1"/>
      <c r="X5" s="1"/>
      <c r="Y5" s="1"/>
      <c r="Z5" s="1"/>
    </row>
    <row r="6" spans="1:26" ht="20" customHeight="1">
      <c r="A6" s="4" t="s">
        <v>150</v>
      </c>
      <c r="B6" s="4" t="s">
        <v>129</v>
      </c>
      <c r="C6" s="28">
        <f>COUNTIF(Customer_SKU_Data!$C$4:$C$123,A6)</f>
        <v>9</v>
      </c>
      <c r="D6" s="28">
        <f>SUMIF(Customer_SKU_Data!$C$4:$C$123,A6,Customer_SKU_Data!$G$4:$G$123)</f>
        <v>690</v>
      </c>
      <c r="E6" s="29">
        <f>SUMIF(Customer_SKU_Data!$C$4:$C$123,A6,Customer_SKU_Data!$O$4:$O$123)</f>
        <v>193075</v>
      </c>
      <c r="F6" s="29">
        <f>SUMIF(Customer_SKU_Data!$C$4:$C$123,A6,Customer_SKU_Data!$S$4:$S$123)</f>
        <v>162236.40209608455</v>
      </c>
      <c r="G6" s="29">
        <f>SUMIF(Customer_SKU_Data!$C$4:$C$123,A6,Customer_SKU_Data!$U$4:$U$123)</f>
        <v>70523.402096084552</v>
      </c>
      <c r="H6" s="30">
        <f t="shared" si="0"/>
        <v>0.43469530379696814</v>
      </c>
      <c r="I6" s="29">
        <f>SUMIF(Customer_SKU_Data!$C$4:$C$123,A6,Customer_SKU_Data!$W$4:$W$123)</f>
        <v>30838.597903915444</v>
      </c>
      <c r="J6" s="30">
        <f t="shared" si="1"/>
        <v>0.15972341268375215</v>
      </c>
      <c r="K6" s="30">
        <f>IFERROR(SUMIF(Customer_SKU_Data!$C$4:$C$123,A6,Customer_SKU_Data!$P$4:$P$123)/E6,0)</f>
        <v>9.00583880155926E-2</v>
      </c>
      <c r="L6" s="4" t="str">
        <f>IF(AND(H6&lt;Inputs!$B$12,J6&gt;Inputs!$B$13),"Priority pricing review",IF(H6&lt;Inputs!$B$12,"Fix margin",IF(J6&gt;Inputs!$B$13,"Reduce leakage","Monitor")))</f>
        <v>Reduce leakage</v>
      </c>
      <c r="M6" s="1"/>
      <c r="N6" s="1"/>
      <c r="O6" s="1"/>
      <c r="P6" s="1"/>
      <c r="Q6" s="1"/>
      <c r="R6" s="1"/>
      <c r="S6" s="1"/>
      <c r="T6" s="1"/>
      <c r="U6" s="1"/>
      <c r="V6" s="1"/>
      <c r="W6" s="1"/>
      <c r="X6" s="1"/>
      <c r="Y6" s="1"/>
      <c r="Z6" s="1"/>
    </row>
    <row r="7" spans="1:26" ht="20" customHeight="1">
      <c r="A7" s="4" t="s">
        <v>153</v>
      </c>
      <c r="B7" s="4" t="s">
        <v>113</v>
      </c>
      <c r="C7" s="28">
        <f>COUNTIF(Customer_SKU_Data!$C$4:$C$123,A7)</f>
        <v>5</v>
      </c>
      <c r="D7" s="28">
        <f>SUMIF(Customer_SKU_Data!$C$4:$C$123,A7,Customer_SKU_Data!$G$4:$G$123)</f>
        <v>389</v>
      </c>
      <c r="E7" s="29">
        <f>SUMIF(Customer_SKU_Data!$C$4:$C$123,A7,Customer_SKU_Data!$O$4:$O$123)</f>
        <v>93000</v>
      </c>
      <c r="F7" s="29">
        <f>SUMIF(Customer_SKU_Data!$C$4:$C$123,A7,Customer_SKU_Data!$S$4:$S$123)</f>
        <v>75029.643718247389</v>
      </c>
      <c r="G7" s="29">
        <f>SUMIF(Customer_SKU_Data!$C$4:$C$123,A7,Customer_SKU_Data!$U$4:$U$123)</f>
        <v>32307.643718247389</v>
      </c>
      <c r="H7" s="30">
        <f t="shared" si="0"/>
        <v>0.43059838907898335</v>
      </c>
      <c r="I7" s="29">
        <f>SUMIF(Customer_SKU_Data!$C$4:$C$123,A7,Customer_SKU_Data!$W$4:$W$123)</f>
        <v>17970.356281752618</v>
      </c>
      <c r="J7" s="30">
        <f t="shared" si="1"/>
        <v>0.19322963743820021</v>
      </c>
      <c r="K7" s="30">
        <f>IFERROR(SUMIF(Customer_SKU_Data!$C$4:$C$123,A7,Customer_SKU_Data!$P$4:$P$123)/E7,0)</f>
        <v>0.12974795514995105</v>
      </c>
      <c r="L7" s="4" t="str">
        <f>IF(AND(H7&lt;Inputs!$B$12,J7&gt;Inputs!$B$13),"Priority pricing review",IF(H7&lt;Inputs!$B$12,"Fix margin",IF(J7&gt;Inputs!$B$13,"Reduce leakage","Monitor")))</f>
        <v>Reduce leakage</v>
      </c>
      <c r="M7" s="1"/>
      <c r="N7" s="1"/>
      <c r="O7" s="1"/>
      <c r="P7" s="1"/>
      <c r="Q7" s="1"/>
      <c r="R7" s="1"/>
      <c r="S7" s="1"/>
      <c r="T7" s="1"/>
      <c r="U7" s="1"/>
      <c r="V7" s="1"/>
      <c r="W7" s="1"/>
      <c r="X7" s="1"/>
      <c r="Y7" s="1"/>
      <c r="Z7" s="1"/>
    </row>
    <row r="8" spans="1:26" ht="20" customHeight="1">
      <c r="A8" s="4" t="s">
        <v>175</v>
      </c>
      <c r="B8" s="4" t="s">
        <v>129</v>
      </c>
      <c r="C8" s="28">
        <f>COUNTIF(Customer_SKU_Data!$C$4:$C$123,A8)</f>
        <v>11</v>
      </c>
      <c r="D8" s="28">
        <f>SUMIF(Customer_SKU_Data!$C$4:$C$123,A8,Customer_SKU_Data!$G$4:$G$123)</f>
        <v>807</v>
      </c>
      <c r="E8" s="29">
        <f>SUMIF(Customer_SKU_Data!$C$4:$C$123,A8,Customer_SKU_Data!$O$4:$O$123)</f>
        <v>171175</v>
      </c>
      <c r="F8" s="29">
        <f>SUMIF(Customer_SKU_Data!$C$4:$C$123,A8,Customer_SKU_Data!$S$4:$S$123)</f>
        <v>145921.45105676199</v>
      </c>
      <c r="G8" s="29">
        <f>SUMIF(Customer_SKU_Data!$C$4:$C$123,A8,Customer_SKU_Data!$U$4:$U$123)</f>
        <v>58745.451056761987</v>
      </c>
      <c r="H8" s="30">
        <f t="shared" si="0"/>
        <v>0.40258269521943413</v>
      </c>
      <c r="I8" s="29">
        <f>SUMIF(Customer_SKU_Data!$C$4:$C$123,A8,Customer_SKU_Data!$W$4:$W$123)</f>
        <v>25253.548943238013</v>
      </c>
      <c r="J8" s="30">
        <f t="shared" si="1"/>
        <v>0.1475305911683249</v>
      </c>
      <c r="K8" s="30">
        <f>IFERROR(SUMIF(Customer_SKU_Data!$C$4:$C$123,A8,Customer_SKU_Data!$P$4:$P$123)/E8,0)</f>
        <v>8.5916588302304753E-2</v>
      </c>
      <c r="L8" s="4" t="str">
        <f>IF(AND(H8&lt;Inputs!$B$12,J8&gt;Inputs!$B$13),"Priority pricing review",IF(H8&lt;Inputs!$B$12,"Fix margin",IF(J8&gt;Inputs!$B$13,"Reduce leakage","Monitor")))</f>
        <v>Reduce leakage</v>
      </c>
      <c r="M8" s="1"/>
      <c r="N8" s="1"/>
      <c r="O8" s="1"/>
      <c r="P8" s="1"/>
      <c r="Q8" s="1"/>
      <c r="R8" s="1"/>
      <c r="S8" s="1"/>
      <c r="T8" s="1"/>
      <c r="U8" s="1"/>
      <c r="V8" s="1"/>
      <c r="W8" s="1"/>
      <c r="X8" s="1"/>
      <c r="Y8" s="1"/>
      <c r="Z8" s="1"/>
    </row>
    <row r="9" spans="1:26" ht="20" customHeight="1">
      <c r="A9" s="4" t="s">
        <v>160</v>
      </c>
      <c r="B9" s="4" t="s">
        <v>122</v>
      </c>
      <c r="C9" s="28">
        <f>COUNTIF(Customer_SKU_Data!$C$4:$C$123,A9)</f>
        <v>10</v>
      </c>
      <c r="D9" s="28">
        <f>SUMIF(Customer_SKU_Data!$C$4:$C$123,A9,Customer_SKU_Data!$G$4:$G$123)</f>
        <v>673</v>
      </c>
      <c r="E9" s="29">
        <f>SUMIF(Customer_SKU_Data!$C$4:$C$123,A9,Customer_SKU_Data!$O$4:$O$123)</f>
        <v>157940</v>
      </c>
      <c r="F9" s="29">
        <f>SUMIF(Customer_SKU_Data!$C$4:$C$123,A9,Customer_SKU_Data!$S$4:$S$123)</f>
        <v>143895.22476225169</v>
      </c>
      <c r="G9" s="29">
        <f>SUMIF(Customer_SKU_Data!$C$4:$C$123,A9,Customer_SKU_Data!$U$4:$U$123)</f>
        <v>66549.224762251702</v>
      </c>
      <c r="H9" s="30">
        <f t="shared" si="0"/>
        <v>0.46248390015864993</v>
      </c>
      <c r="I9" s="29">
        <f>SUMIF(Customer_SKU_Data!$C$4:$C$123,A9,Customer_SKU_Data!$W$4:$W$123)</f>
        <v>14044.775237748288</v>
      </c>
      <c r="J9" s="30">
        <f t="shared" si="1"/>
        <v>8.892475141033486E-2</v>
      </c>
      <c r="K9" s="30">
        <f>IFERROR(SUMIF(Customer_SKU_Data!$C$4:$C$123,A9,Customer_SKU_Data!$P$4:$P$123)/E9,0)</f>
        <v>2.383726190399715E-2</v>
      </c>
      <c r="L9" s="4" t="str">
        <f>IF(AND(H9&lt;Inputs!$B$12,J9&gt;Inputs!$B$13),"Priority pricing review",IF(H9&lt;Inputs!$B$12,"Fix margin",IF(J9&gt;Inputs!$B$13,"Reduce leakage","Monitor")))</f>
        <v>Monitor</v>
      </c>
      <c r="M9" s="1"/>
      <c r="N9" s="1"/>
      <c r="O9" s="1"/>
      <c r="P9" s="1"/>
      <c r="Q9" s="1"/>
      <c r="R9" s="1"/>
      <c r="S9" s="1"/>
      <c r="T9" s="1"/>
      <c r="U9" s="1"/>
      <c r="V9" s="1"/>
      <c r="W9" s="1"/>
      <c r="X9" s="1"/>
      <c r="Y9" s="1"/>
      <c r="Z9" s="1"/>
    </row>
    <row r="10" spans="1:26" ht="20" customHeight="1">
      <c r="A10" s="4" t="s">
        <v>128</v>
      </c>
      <c r="B10" s="4" t="s">
        <v>129</v>
      </c>
      <c r="C10" s="28">
        <f>COUNTIF(Customer_SKU_Data!$C$4:$C$123,A10)</f>
        <v>10</v>
      </c>
      <c r="D10" s="28">
        <f>SUMIF(Customer_SKU_Data!$C$4:$C$123,A10,Customer_SKU_Data!$G$4:$G$123)</f>
        <v>667</v>
      </c>
      <c r="E10" s="29">
        <f>SUMIF(Customer_SKU_Data!$C$4:$C$123,A10,Customer_SKU_Data!$O$4:$O$123)</f>
        <v>146595</v>
      </c>
      <c r="F10" s="29">
        <f>SUMIF(Customer_SKU_Data!$C$4:$C$123,A10,Customer_SKU_Data!$S$4:$S$123)</f>
        <v>127421.46492189364</v>
      </c>
      <c r="G10" s="29">
        <f>SUMIF(Customer_SKU_Data!$C$4:$C$123,A10,Customer_SKU_Data!$U$4:$U$123)</f>
        <v>57040.464921893632</v>
      </c>
      <c r="H10" s="30">
        <f t="shared" si="0"/>
        <v>0.44765193177505919</v>
      </c>
      <c r="I10" s="29">
        <f>SUMIF(Customer_SKU_Data!$C$4:$C$123,A10,Customer_SKU_Data!$W$4:$W$123)</f>
        <v>19173.535078106368</v>
      </c>
      <c r="J10" s="30">
        <f t="shared" si="1"/>
        <v>0.13079255825987496</v>
      </c>
      <c r="K10" s="30">
        <f>IFERROR(SUMIF(Customer_SKU_Data!$C$4:$C$123,A10,Customer_SKU_Data!$P$4:$P$123)/E10,0)</f>
        <v>7.1851654265563572E-2</v>
      </c>
      <c r="L10" s="4" t="str">
        <f>IF(AND(H10&lt;Inputs!$B$12,J10&gt;Inputs!$B$13),"Priority pricing review",IF(H10&lt;Inputs!$B$12,"Fix margin",IF(J10&gt;Inputs!$B$13,"Reduce leakage","Monitor")))</f>
        <v>Reduce leakage</v>
      </c>
      <c r="M10" s="1"/>
      <c r="N10" s="1"/>
      <c r="O10" s="1"/>
      <c r="P10" s="1"/>
      <c r="Q10" s="1"/>
      <c r="R10" s="1"/>
      <c r="S10" s="1"/>
      <c r="T10" s="1"/>
      <c r="U10" s="1"/>
      <c r="V10" s="1"/>
      <c r="W10" s="1"/>
      <c r="X10" s="1"/>
      <c r="Y10" s="1"/>
      <c r="Z10" s="1"/>
    </row>
    <row r="11" spans="1:26" ht="20" customHeight="1">
      <c r="A11" s="4" t="s">
        <v>139</v>
      </c>
      <c r="B11" s="4" t="s">
        <v>113</v>
      </c>
      <c r="C11" s="28">
        <f>COUNTIF(Customer_SKU_Data!$C$4:$C$123,A11)</f>
        <v>9</v>
      </c>
      <c r="D11" s="28">
        <f>SUMIF(Customer_SKU_Data!$C$4:$C$123,A11,Customer_SKU_Data!$G$4:$G$123)</f>
        <v>782</v>
      </c>
      <c r="E11" s="29">
        <f>SUMIF(Customer_SKU_Data!$C$4:$C$123,A11,Customer_SKU_Data!$O$4:$O$123)</f>
        <v>267430</v>
      </c>
      <c r="F11" s="29">
        <f>SUMIF(Customer_SKU_Data!$C$4:$C$123,A11,Customer_SKU_Data!$S$4:$S$123)</f>
        <v>217953.65841249161</v>
      </c>
      <c r="G11" s="29">
        <f>SUMIF(Customer_SKU_Data!$C$4:$C$123,A11,Customer_SKU_Data!$U$4:$U$123)</f>
        <v>101141.6584124916</v>
      </c>
      <c r="H11" s="30">
        <f t="shared" si="0"/>
        <v>0.4640512077162493</v>
      </c>
      <c r="I11" s="29">
        <f>SUMIF(Customer_SKU_Data!$C$4:$C$123,A11,Customer_SKU_Data!$W$4:$W$123)</f>
        <v>49476.341587508417</v>
      </c>
      <c r="J11" s="30">
        <f t="shared" si="1"/>
        <v>0.18500669927647764</v>
      </c>
      <c r="K11" s="30">
        <f>IFERROR(SUMIF(Customer_SKU_Data!$C$4:$C$123,A11,Customer_SKU_Data!$P$4:$P$123)/E11,0)</f>
        <v>0.12061899751758554</v>
      </c>
      <c r="L11" s="4" t="str">
        <f>IF(AND(H11&lt;Inputs!$B$12,J11&gt;Inputs!$B$13),"Priority pricing review",IF(H11&lt;Inputs!$B$12,"Fix margin",IF(J11&gt;Inputs!$B$13,"Reduce leakage","Monitor")))</f>
        <v>Reduce leakage</v>
      </c>
      <c r="M11" s="1"/>
      <c r="N11" s="1"/>
      <c r="O11" s="1"/>
      <c r="P11" s="1"/>
      <c r="Q11" s="1"/>
      <c r="R11" s="1"/>
      <c r="S11" s="1"/>
      <c r="T11" s="1"/>
      <c r="U11" s="1"/>
      <c r="V11" s="1"/>
      <c r="W11" s="1"/>
      <c r="X11" s="1"/>
      <c r="Y11" s="1"/>
      <c r="Z11" s="1"/>
    </row>
    <row r="12" spans="1:26" ht="20" customHeight="1">
      <c r="A12" s="4" t="s">
        <v>141</v>
      </c>
      <c r="B12" s="4" t="s">
        <v>122</v>
      </c>
      <c r="C12" s="28">
        <f>COUNTIF(Customer_SKU_Data!$C$4:$C$123,A12)</f>
        <v>11</v>
      </c>
      <c r="D12" s="28">
        <f>SUMIF(Customer_SKU_Data!$C$4:$C$123,A12,Customer_SKU_Data!$G$4:$G$123)</f>
        <v>763</v>
      </c>
      <c r="E12" s="29">
        <f>SUMIF(Customer_SKU_Data!$C$4:$C$123,A12,Customer_SKU_Data!$O$4:$O$123)</f>
        <v>175590</v>
      </c>
      <c r="F12" s="29">
        <f>SUMIF(Customer_SKU_Data!$C$4:$C$123,A12,Customer_SKU_Data!$S$4:$S$123)</f>
        <v>156072.06631070576</v>
      </c>
      <c r="G12" s="29">
        <f>SUMIF(Customer_SKU_Data!$C$4:$C$123,A12,Customer_SKU_Data!$U$4:$U$123)</f>
        <v>72895.066310705763</v>
      </c>
      <c r="H12" s="30">
        <f t="shared" si="0"/>
        <v>0.46706030126869363</v>
      </c>
      <c r="I12" s="29">
        <f>SUMIF(Customer_SKU_Data!$C$4:$C$123,A12,Customer_SKU_Data!$W$4:$W$123)</f>
        <v>19517.933689294245</v>
      </c>
      <c r="J12" s="30">
        <f t="shared" si="1"/>
        <v>0.11115629414712823</v>
      </c>
      <c r="K12" s="30">
        <f>IFERROR(SUMIF(Customer_SKU_Data!$C$4:$C$123,A12,Customer_SKU_Data!$P$4:$P$123)/E12,0)</f>
        <v>4.5061799160036872E-2</v>
      </c>
      <c r="L12" s="4" t="str">
        <f>IF(AND(H12&lt;Inputs!$B$12,J12&gt;Inputs!$B$13),"Priority pricing review",IF(H12&lt;Inputs!$B$12,"Fix margin",IF(J12&gt;Inputs!$B$13,"Reduce leakage","Monitor")))</f>
        <v>Monitor</v>
      </c>
      <c r="M12" s="1"/>
      <c r="N12" s="1"/>
      <c r="O12" s="1"/>
      <c r="P12" s="1"/>
      <c r="Q12" s="1"/>
      <c r="R12" s="1"/>
      <c r="S12" s="1"/>
      <c r="T12" s="1"/>
      <c r="U12" s="1"/>
      <c r="V12" s="1"/>
      <c r="W12" s="1"/>
      <c r="X12" s="1"/>
      <c r="Y12" s="1"/>
      <c r="Z12" s="1"/>
    </row>
    <row r="13" spans="1:26" ht="20" customHeight="1">
      <c r="A13" s="4" t="s">
        <v>158</v>
      </c>
      <c r="B13" s="4" t="s">
        <v>129</v>
      </c>
      <c r="C13" s="28">
        <f>COUNTIF(Customer_SKU_Data!$C$4:$C$123,A13)</f>
        <v>15</v>
      </c>
      <c r="D13" s="28">
        <f>SUMIF(Customer_SKU_Data!$C$4:$C$123,A13,Customer_SKU_Data!$G$4:$G$123)</f>
        <v>871</v>
      </c>
      <c r="E13" s="29">
        <f>SUMIF(Customer_SKU_Data!$C$4:$C$123,A13,Customer_SKU_Data!$O$4:$O$123)</f>
        <v>299775</v>
      </c>
      <c r="F13" s="29">
        <f>SUMIF(Customer_SKU_Data!$C$4:$C$123,A13,Customer_SKU_Data!$S$4:$S$123)</f>
        <v>258855.01060728048</v>
      </c>
      <c r="G13" s="29">
        <f>SUMIF(Customer_SKU_Data!$C$4:$C$123,A13,Customer_SKU_Data!$U$4:$U$123)</f>
        <v>122816.01060728046</v>
      </c>
      <c r="H13" s="30">
        <f t="shared" si="0"/>
        <v>0.47445869531036294</v>
      </c>
      <c r="I13" s="29">
        <f>SUMIF(Customer_SKU_Data!$C$4:$C$123,A13,Customer_SKU_Data!$W$4:$W$123)</f>
        <v>40919.989392719544</v>
      </c>
      <c r="J13" s="30">
        <f t="shared" si="1"/>
        <v>0.13650234139844733</v>
      </c>
      <c r="K13" s="30">
        <f>IFERROR(SUMIF(Customer_SKU_Data!$C$4:$C$123,A13,Customer_SKU_Data!$P$4:$P$123)/E13,0)</f>
        <v>8.8842973233032627E-2</v>
      </c>
      <c r="L13" s="4" t="str">
        <f>IF(AND(H13&lt;Inputs!$B$12,J13&gt;Inputs!$B$13),"Priority pricing review",IF(H13&lt;Inputs!$B$12,"Fix margin",IF(J13&gt;Inputs!$B$13,"Reduce leakage","Monitor")))</f>
        <v>Reduce leakage</v>
      </c>
      <c r="M13" s="1"/>
      <c r="N13" s="1"/>
      <c r="O13" s="1"/>
      <c r="P13" s="1"/>
      <c r="Q13" s="1"/>
      <c r="R13" s="1"/>
      <c r="S13" s="1"/>
      <c r="T13" s="1"/>
      <c r="U13" s="1"/>
      <c r="V13" s="1"/>
      <c r="W13" s="1"/>
      <c r="X13" s="1"/>
      <c r="Y13" s="1"/>
      <c r="Z13" s="1"/>
    </row>
    <row r="14" spans="1:26" ht="20" customHeight="1">
      <c r="A14" s="4" t="s">
        <v>112</v>
      </c>
      <c r="B14" s="4" t="s">
        <v>113</v>
      </c>
      <c r="C14" s="28">
        <f>COUNTIF(Customer_SKU_Data!$C$4:$C$123,A14)</f>
        <v>11</v>
      </c>
      <c r="D14" s="28">
        <f>SUMIF(Customer_SKU_Data!$C$4:$C$123,A14,Customer_SKU_Data!$G$4:$G$123)</f>
        <v>611</v>
      </c>
      <c r="E14" s="29">
        <f>SUMIF(Customer_SKU_Data!$C$4:$C$123,A14,Customer_SKU_Data!$O$4:$O$123)</f>
        <v>129260</v>
      </c>
      <c r="F14" s="29">
        <f>SUMIF(Customer_SKU_Data!$C$4:$C$123,A14,Customer_SKU_Data!$S$4:$S$123)</f>
        <v>104736.60013326979</v>
      </c>
      <c r="G14" s="29">
        <f>SUMIF(Customer_SKU_Data!$C$4:$C$123,A14,Customer_SKU_Data!$U$4:$U$123)</f>
        <v>38003.600133269792</v>
      </c>
      <c r="H14" s="30">
        <f t="shared" si="0"/>
        <v>0.36284928176886538</v>
      </c>
      <c r="I14" s="29">
        <f>SUMIF(Customer_SKU_Data!$C$4:$C$123,A14,Customer_SKU_Data!$W$4:$W$123)</f>
        <v>24523.399866730204</v>
      </c>
      <c r="J14" s="30">
        <f t="shared" si="1"/>
        <v>0.18972149053636239</v>
      </c>
      <c r="K14" s="30">
        <f>IFERROR(SUMIF(Customer_SKU_Data!$C$4:$C$123,A14,Customer_SKU_Data!$P$4:$P$123)/E14,0)</f>
        <v>0.11659650447586653</v>
      </c>
      <c r="L14" s="4" t="str">
        <f>IF(AND(H14&lt;Inputs!$B$12,J14&gt;Inputs!$B$13),"Priority pricing review",IF(H14&lt;Inputs!$B$12,"Fix margin",IF(J14&gt;Inputs!$B$13,"Reduce leakage","Monitor")))</f>
        <v>Reduce leakage</v>
      </c>
      <c r="M14" s="1"/>
      <c r="N14" s="1"/>
      <c r="O14" s="1"/>
      <c r="P14" s="1"/>
      <c r="Q14" s="1"/>
      <c r="R14" s="1"/>
      <c r="S14" s="1"/>
      <c r="T14" s="1"/>
      <c r="U14" s="1"/>
      <c r="V14" s="1"/>
      <c r="W14" s="1"/>
      <c r="X14" s="1"/>
      <c r="Y14" s="1"/>
      <c r="Z14" s="1"/>
    </row>
    <row r="15" spans="1:26" ht="20" customHeight="1">
      <c r="A15" s="4" t="s">
        <v>121</v>
      </c>
      <c r="B15" s="4" t="s">
        <v>122</v>
      </c>
      <c r="C15" s="28">
        <f>COUNTIF(Customer_SKU_Data!$C$4:$C$123,A15)</f>
        <v>10</v>
      </c>
      <c r="D15" s="28">
        <f>SUMIF(Customer_SKU_Data!$C$4:$C$123,A15,Customer_SKU_Data!$G$4:$G$123)</f>
        <v>497</v>
      </c>
      <c r="E15" s="29">
        <f>SUMIF(Customer_SKU_Data!$C$4:$C$123,A15,Customer_SKU_Data!$O$4:$O$123)</f>
        <v>145955</v>
      </c>
      <c r="F15" s="29">
        <f>SUMIF(Customer_SKU_Data!$C$4:$C$123,A15,Customer_SKU_Data!$S$4:$S$123)</f>
        <v>128554.42915959426</v>
      </c>
      <c r="G15" s="29">
        <f>SUMIF(Customer_SKU_Data!$C$4:$C$123,A15,Customer_SKU_Data!$U$4:$U$123)</f>
        <v>62671.42915959427</v>
      </c>
      <c r="H15" s="30">
        <f t="shared" si="0"/>
        <v>0.48750890629984167</v>
      </c>
      <c r="I15" s="29">
        <f>SUMIF(Customer_SKU_Data!$C$4:$C$123,A15,Customer_SKU_Data!$W$4:$W$123)</f>
        <v>17400.57084040573</v>
      </c>
      <c r="J15" s="30">
        <f t="shared" si="1"/>
        <v>0.11921873755887588</v>
      </c>
      <c r="K15" s="30">
        <f>IFERROR(SUMIF(Customer_SKU_Data!$C$4:$C$123,A15,Customer_SKU_Data!$P$4:$P$123)/E15,0)</f>
        <v>3.5891021996746209E-2</v>
      </c>
      <c r="L15" s="4" t="str">
        <f>IF(AND(H15&lt;Inputs!$B$12,J15&gt;Inputs!$B$13),"Priority pricing review",IF(H15&lt;Inputs!$B$12,"Fix margin",IF(J15&gt;Inputs!$B$13,"Reduce leakage","Monitor")))</f>
        <v>Monitor</v>
      </c>
      <c r="M15" s="1"/>
      <c r="N15" s="1"/>
      <c r="O15" s="1"/>
      <c r="P15" s="1"/>
      <c r="Q15" s="1"/>
      <c r="R15" s="1"/>
      <c r="S15" s="1"/>
      <c r="T15" s="1"/>
      <c r="U15" s="1"/>
      <c r="V15" s="1"/>
      <c r="W15" s="1"/>
      <c r="X15" s="1"/>
      <c r="Y15" s="1"/>
      <c r="Z15" s="1"/>
    </row>
    <row r="16" spans="1:26" ht="2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20"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20"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20"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2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20"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20"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20"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20"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20"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20"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20"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20"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20"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20"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20"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20"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20"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20"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0"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0"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0"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0"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0"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0"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0"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0"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0"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0"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0"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0"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0"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0"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0"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0"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0"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0"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0"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0"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0"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0"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0"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0"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0"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0"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0"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0"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0"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0"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0"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0"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0"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0"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0"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conditionalFormatting sqref="H4:H15">
    <cfRule type="colorScale" priority="1">
      <colorScale>
        <cfvo type="min"/>
        <cfvo type="percentile" val="50"/>
        <cfvo type="max"/>
        <color rgb="FFF4CCCC"/>
        <color rgb="FFFFF2CC"/>
        <color rgb="FFD9EAD3"/>
      </colorScale>
    </cfRule>
  </conditionalFormatting>
  <conditionalFormatting sqref="J4:J15">
    <cfRule type="colorScale" priority="2">
      <colorScale>
        <cfvo type="min"/>
        <cfvo type="percentile" val="50"/>
        <cfvo type="max"/>
        <color rgb="FFD9EAD3"/>
        <color rgb="FFFFF2CC"/>
        <color rgb="FFF4CCCC"/>
      </colorScale>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200"/>
  <sheetViews>
    <sheetView workbookViewId="0">
      <selection activeCell="E23" sqref="E23"/>
    </sheetView>
  </sheetViews>
  <sheetFormatPr baseColWidth="10" defaultColWidth="8.83203125" defaultRowHeight="14"/>
  <cols>
    <col min="1" max="1" width="18" customWidth="1"/>
    <col min="2" max="2" width="16" customWidth="1"/>
    <col min="3" max="3" width="18" customWidth="1"/>
    <col min="4" max="4" width="19" customWidth="1"/>
    <col min="5" max="6" width="18" customWidth="1"/>
    <col min="7" max="7" width="22" customWidth="1"/>
    <col min="8" max="8" width="24" customWidth="1"/>
  </cols>
  <sheetData>
    <row r="1" spans="1:26" ht="38.25" customHeight="1">
      <c r="A1" s="2" t="s">
        <v>282</v>
      </c>
      <c r="B1" s="1"/>
      <c r="C1" s="1"/>
      <c r="D1" s="1"/>
      <c r="E1" s="1"/>
      <c r="F1" s="1"/>
      <c r="G1" s="1"/>
      <c r="H1" s="1"/>
      <c r="I1" s="1"/>
      <c r="J1" s="1"/>
      <c r="K1" s="1"/>
      <c r="L1" s="1"/>
      <c r="M1" s="1"/>
      <c r="N1" s="1"/>
      <c r="O1" s="1"/>
      <c r="P1" s="1"/>
      <c r="Q1" s="1"/>
      <c r="R1" s="1"/>
      <c r="S1" s="1"/>
      <c r="T1" s="1"/>
      <c r="U1" s="1"/>
      <c r="V1" s="1"/>
      <c r="W1" s="1"/>
      <c r="X1" s="1"/>
      <c r="Y1" s="1"/>
      <c r="Z1" s="1"/>
    </row>
    <row r="2" spans="1:26" ht="20" customHeight="1">
      <c r="A2" s="1"/>
      <c r="B2" s="1"/>
      <c r="C2" s="1"/>
      <c r="D2" s="1"/>
      <c r="E2" s="1"/>
      <c r="F2" s="1"/>
      <c r="G2" s="1"/>
      <c r="H2" s="1"/>
      <c r="I2" s="1"/>
      <c r="J2" s="1"/>
      <c r="K2" s="1"/>
      <c r="L2" s="1"/>
      <c r="M2" s="1"/>
      <c r="N2" s="1"/>
      <c r="O2" s="1"/>
      <c r="P2" s="1"/>
      <c r="Q2" s="1"/>
      <c r="R2" s="1"/>
      <c r="S2" s="1"/>
      <c r="T2" s="1"/>
      <c r="U2" s="1"/>
      <c r="V2" s="1"/>
      <c r="W2" s="1"/>
      <c r="X2" s="1"/>
      <c r="Y2" s="1"/>
      <c r="Z2" s="1"/>
    </row>
    <row r="3" spans="1:26" ht="20" customHeight="1">
      <c r="A3" s="11" t="s">
        <v>22</v>
      </c>
      <c r="B3" s="11" t="s">
        <v>283</v>
      </c>
      <c r="C3" s="11" t="s">
        <v>68</v>
      </c>
      <c r="D3" s="11" t="s">
        <v>284</v>
      </c>
      <c r="E3" s="11" t="s">
        <v>74</v>
      </c>
      <c r="F3" s="11" t="s">
        <v>76</v>
      </c>
      <c r="G3" s="11" t="s">
        <v>285</v>
      </c>
      <c r="H3" s="11" t="s">
        <v>286</v>
      </c>
      <c r="I3" s="1"/>
      <c r="J3" s="1"/>
      <c r="K3" s="1"/>
      <c r="L3" s="1"/>
      <c r="M3" s="1"/>
      <c r="N3" s="1"/>
      <c r="O3" s="1"/>
      <c r="P3" s="1"/>
      <c r="Q3" s="1"/>
      <c r="R3" s="1"/>
      <c r="S3" s="1"/>
      <c r="T3" s="1"/>
      <c r="U3" s="1"/>
      <c r="V3" s="1"/>
      <c r="W3" s="1"/>
      <c r="X3" s="1"/>
      <c r="Y3" s="1"/>
      <c r="Z3" s="1"/>
    </row>
    <row r="4" spans="1:26" ht="20" customHeight="1">
      <c r="A4" s="4" t="s">
        <v>24</v>
      </c>
      <c r="B4" s="34">
        <v>0.01</v>
      </c>
      <c r="C4" s="34">
        <v>0.995</v>
      </c>
      <c r="D4" s="34">
        <v>0.1</v>
      </c>
      <c r="E4" s="34">
        <v>0.05</v>
      </c>
      <c r="F4" s="34">
        <v>0.15</v>
      </c>
      <c r="G4" s="29">
        <f>((SUM(Customer_SKU_Data!S4:S123)*B4*C4)+(SUM(Customer_SKU_Data!P4:Q123)*D4*C4)+(SUM(Customer_SKU_Data!R4:R123)*E4*C4)+(SUM(Customer_SKU_Data!M4:M123)*F4))*Inputs!$B$10</f>
        <v>43993.854929243651</v>
      </c>
      <c r="H4" s="29">
        <f>G4*Inputs!$B$11</f>
        <v>527926.25915092381</v>
      </c>
      <c r="I4" s="1"/>
      <c r="J4" s="1"/>
      <c r="K4" s="1"/>
      <c r="L4" s="1"/>
      <c r="M4" s="1"/>
      <c r="N4" s="1"/>
      <c r="O4" s="1"/>
      <c r="P4" s="1"/>
      <c r="Q4" s="1"/>
      <c r="R4" s="1"/>
      <c r="S4" s="1"/>
      <c r="T4" s="1"/>
      <c r="U4" s="1"/>
      <c r="V4" s="1"/>
      <c r="W4" s="1"/>
      <c r="X4" s="1"/>
      <c r="Y4" s="1"/>
      <c r="Z4" s="1"/>
    </row>
    <row r="5" spans="1:26" ht="20" customHeight="1">
      <c r="A5" s="4" t="s">
        <v>25</v>
      </c>
      <c r="B5" s="34">
        <v>2.5000000000000001E-2</v>
      </c>
      <c r="C5" s="34">
        <v>0.98499999999999999</v>
      </c>
      <c r="D5" s="34">
        <v>0.2</v>
      </c>
      <c r="E5" s="34">
        <v>0.15</v>
      </c>
      <c r="F5" s="34">
        <v>0.35</v>
      </c>
      <c r="G5" s="29">
        <f>((SUM(Customer_SKU_Data!S5:S124)*B5*C5)+(SUM(Customer_SKU_Data!P5:Q124)*D5*C5)+(SUM(Customer_SKU_Data!R5:R124)*E5*C5)+(SUM(Customer_SKU_Data!M5:M124)*F5))*Inputs!$B$10</f>
        <v>98059.257034509879</v>
      </c>
      <c r="H5" s="29">
        <f>G5*Inputs!$B$11</f>
        <v>1176711.0844141184</v>
      </c>
      <c r="I5" s="1"/>
      <c r="J5" s="1"/>
      <c r="K5" s="1"/>
      <c r="L5" s="1"/>
      <c r="M5" s="1"/>
      <c r="N5" s="1"/>
      <c r="O5" s="1"/>
      <c r="P5" s="1"/>
      <c r="Q5" s="1"/>
      <c r="R5" s="1"/>
      <c r="S5" s="1"/>
      <c r="T5" s="1"/>
      <c r="U5" s="1"/>
      <c r="V5" s="1"/>
      <c r="W5" s="1"/>
      <c r="X5" s="1"/>
      <c r="Y5" s="1"/>
      <c r="Z5" s="1"/>
    </row>
    <row r="6" spans="1:26" ht="20" customHeight="1">
      <c r="A6" s="4" t="s">
        <v>26</v>
      </c>
      <c r="B6" s="34">
        <v>0.04</v>
      </c>
      <c r="C6" s="34">
        <v>0.97</v>
      </c>
      <c r="D6" s="34">
        <v>0.3</v>
      </c>
      <c r="E6" s="34">
        <v>0.2</v>
      </c>
      <c r="F6" s="34">
        <v>0.45</v>
      </c>
      <c r="G6" s="29">
        <f>((SUM(Customer_SKU_Data!S6:S125)*B6*C6)+(SUM(Customer_SKU_Data!P6:Q125)*D6*C6)+(SUM(Customer_SKU_Data!R6:R125)*E6*C6)+(SUM(Customer_SKU_Data!M6:M125)*F6))*Inputs!$B$10</f>
        <v>146669.06608712976</v>
      </c>
      <c r="H6" s="29">
        <f>G6*Inputs!$B$11</f>
        <v>1760028.7930455571</v>
      </c>
      <c r="I6" s="1"/>
      <c r="J6" s="1"/>
      <c r="K6" s="1"/>
      <c r="L6" s="1"/>
      <c r="M6" s="1"/>
      <c r="N6" s="1"/>
      <c r="O6" s="1"/>
      <c r="P6" s="1"/>
      <c r="Q6" s="1"/>
      <c r="R6" s="1"/>
      <c r="S6" s="1"/>
      <c r="T6" s="1"/>
      <c r="U6" s="1"/>
      <c r="V6" s="1"/>
      <c r="W6" s="1"/>
      <c r="X6" s="1"/>
      <c r="Y6" s="1"/>
      <c r="Z6" s="1"/>
    </row>
    <row r="7" spans="1:26" ht="20" customHeight="1">
      <c r="A7" s="4" t="s">
        <v>27</v>
      </c>
      <c r="B7" s="34">
        <v>0.06</v>
      </c>
      <c r="C7" s="34">
        <v>0.95</v>
      </c>
      <c r="D7" s="34">
        <v>0.4</v>
      </c>
      <c r="E7" s="34">
        <v>0.3</v>
      </c>
      <c r="F7" s="34">
        <v>0.6</v>
      </c>
      <c r="G7" s="29">
        <f>((SUM(Customer_SKU_Data!S7:S126)*B7*C7)+(SUM(Customer_SKU_Data!P7:Q126)*D7*C7)+(SUM(Customer_SKU_Data!R7:R126)*E7*C7)+(SUM(Customer_SKU_Data!M7:M126)*F7))*Inputs!$B$10</f>
        <v>202535.04097231384</v>
      </c>
      <c r="H7" s="29">
        <f>G7*Inputs!$B$11</f>
        <v>2430420.4916677661</v>
      </c>
      <c r="I7" s="1"/>
      <c r="J7" s="1"/>
      <c r="K7" s="1"/>
      <c r="L7" s="1"/>
      <c r="M7" s="1"/>
      <c r="N7" s="1"/>
      <c r="O7" s="1"/>
      <c r="P7" s="1"/>
      <c r="Q7" s="1"/>
      <c r="R7" s="1"/>
      <c r="S7" s="1"/>
      <c r="T7" s="1"/>
      <c r="U7" s="1"/>
      <c r="V7" s="1"/>
      <c r="W7" s="1"/>
      <c r="X7" s="1"/>
      <c r="Y7" s="1"/>
      <c r="Z7" s="1"/>
    </row>
    <row r="8" spans="1:26" ht="20" customHeight="1">
      <c r="A8" s="1"/>
      <c r="B8" s="1"/>
      <c r="C8" s="1"/>
      <c r="D8" s="1"/>
      <c r="E8" s="1"/>
      <c r="F8" s="1"/>
      <c r="G8" s="1"/>
      <c r="H8" s="1"/>
      <c r="I8" s="1"/>
      <c r="J8" s="1"/>
      <c r="K8" s="1"/>
      <c r="L8" s="1"/>
      <c r="M8" s="1"/>
      <c r="N8" s="1"/>
      <c r="O8" s="1"/>
      <c r="P8" s="1"/>
      <c r="Q8" s="1"/>
      <c r="R8" s="1"/>
      <c r="S8" s="1"/>
      <c r="T8" s="1"/>
      <c r="U8" s="1"/>
      <c r="V8" s="1"/>
      <c r="W8" s="1"/>
      <c r="X8" s="1"/>
      <c r="Y8" s="1"/>
      <c r="Z8" s="1"/>
    </row>
    <row r="9" spans="1:26" ht="20" customHeight="1">
      <c r="A9" s="1"/>
      <c r="B9" s="1"/>
      <c r="C9" s="1"/>
      <c r="D9" s="1"/>
      <c r="E9" s="1"/>
      <c r="F9" s="1"/>
      <c r="G9" s="1"/>
      <c r="H9" s="1"/>
      <c r="I9" s="1"/>
      <c r="J9" s="1"/>
      <c r="K9" s="1"/>
      <c r="L9" s="1"/>
      <c r="M9" s="1"/>
      <c r="N9" s="1"/>
      <c r="O9" s="1"/>
      <c r="P9" s="1"/>
      <c r="Q9" s="1"/>
      <c r="R9" s="1"/>
      <c r="S9" s="1"/>
      <c r="T9" s="1"/>
      <c r="U9" s="1"/>
      <c r="V9" s="1"/>
      <c r="W9" s="1"/>
      <c r="X9" s="1"/>
      <c r="Y9" s="1"/>
      <c r="Z9" s="1"/>
    </row>
    <row r="10" spans="1:26" ht="20" customHeight="1">
      <c r="A10" s="62" t="s">
        <v>287</v>
      </c>
      <c r="B10" s="62"/>
      <c r="C10" s="62"/>
      <c r="D10" s="62"/>
      <c r="E10" s="62"/>
      <c r="F10" s="62"/>
      <c r="G10" s="62"/>
      <c r="H10" s="1"/>
      <c r="I10" s="1"/>
      <c r="J10" s="1"/>
      <c r="K10" s="1"/>
      <c r="L10" s="1"/>
      <c r="M10" s="1"/>
      <c r="N10" s="1"/>
      <c r="O10" s="1"/>
      <c r="P10" s="1"/>
      <c r="Q10" s="1"/>
      <c r="R10" s="1"/>
      <c r="S10" s="1"/>
      <c r="T10" s="1"/>
      <c r="U10" s="1"/>
      <c r="V10" s="1"/>
      <c r="W10" s="1"/>
      <c r="X10" s="1"/>
      <c r="Y10" s="1"/>
      <c r="Z10" s="1"/>
    </row>
    <row r="11" spans="1:26" ht="20" customHeight="1">
      <c r="A11" s="7" t="s">
        <v>288</v>
      </c>
      <c r="B11" s="31">
        <v>0.94</v>
      </c>
      <c r="C11" s="31">
        <v>0.96</v>
      </c>
      <c r="D11" s="31">
        <v>0.98</v>
      </c>
      <c r="E11" s="31">
        <v>1</v>
      </c>
      <c r="F11" s="31">
        <v>1.02</v>
      </c>
      <c r="G11" s="1"/>
      <c r="H11" s="1"/>
      <c r="I11" s="1"/>
      <c r="J11" s="1"/>
      <c r="K11" s="1"/>
      <c r="L11" s="1"/>
      <c r="M11" s="1"/>
      <c r="N11" s="1"/>
      <c r="O11" s="1"/>
      <c r="P11" s="1"/>
      <c r="Q11" s="1"/>
      <c r="R11" s="1"/>
      <c r="S11" s="1"/>
      <c r="T11" s="1"/>
      <c r="U11" s="1"/>
      <c r="V11" s="1"/>
      <c r="W11" s="1"/>
      <c r="X11" s="1"/>
      <c r="Y11" s="1"/>
      <c r="Z11" s="1"/>
    </row>
    <row r="12" spans="1:26" ht="20" customHeight="1">
      <c r="A12" s="31">
        <v>0.01</v>
      </c>
      <c r="B12" s="29">
        <f>((SUM(Customer_SKU_Data!S4:S123)*$A12*B$11)+(SUM(Customer_SKU_Data!P4:Q123)*Inputs!$B$6*B$11)+(SUM(Customer_SKU_Data!R4:R123)*Inputs!$B$8*B$11)+(SUM(Customer_SKU_Data!M4:M123)*Inputs!$B$9))*Inputs!$B$10</f>
        <v>70479.232840019729</v>
      </c>
      <c r="C12" s="29">
        <f>((SUM(Customer_SKU_Data!S4:S123)*$A12*C$11)+(SUM(Customer_SKU_Data!P4:Q123)*Inputs!$B$6*C$11)+(SUM(Customer_SKU_Data!R4:R123)*Inputs!$B$8*C$11)+(SUM(Customer_SKU_Data!M4:M123)*Inputs!$B$9))*Inputs!$B$10</f>
        <v>71896.37190415751</v>
      </c>
      <c r="D12" s="29">
        <f>((SUM(Customer_SKU_Data!S4:S123)*$A12*D$11)+(SUM(Customer_SKU_Data!P4:Q123)*Inputs!$B$6*D$11)+(SUM(Customer_SKU_Data!R4:R123)*Inputs!$B$8*D$11)+(SUM(Customer_SKU_Data!M4:M123)*Inputs!$B$9))*Inputs!$B$10</f>
        <v>73313.510968295275</v>
      </c>
      <c r="E12" s="29">
        <f>((SUM(Customer_SKU_Data!S4:S123)*$A12*E$11)+(SUM(Customer_SKU_Data!P4:Q123)*Inputs!$B$6*E$11)+(SUM(Customer_SKU_Data!R4:R123)*Inputs!$B$8*E$11)+(SUM(Customer_SKU_Data!M4:M123)*Inputs!$B$9))*Inputs!$B$10</f>
        <v>74730.650032433041</v>
      </c>
      <c r="F12" s="29">
        <f>((SUM(Customer_SKU_Data!S4:S123)*$A12*F$11)+(SUM(Customer_SKU_Data!P4:Q123)*Inputs!$B$6*F$11)+(SUM(Customer_SKU_Data!R4:R123)*Inputs!$B$8*F$11)+(SUM(Customer_SKU_Data!M4:M123)*Inputs!$B$9))*Inputs!$B$10</f>
        <v>76147.789096570807</v>
      </c>
      <c r="G12" s="1"/>
      <c r="H12" s="1"/>
      <c r="I12" s="1"/>
      <c r="J12" s="1"/>
      <c r="K12" s="1"/>
      <c r="L12" s="1"/>
      <c r="M12" s="1"/>
      <c r="N12" s="1"/>
      <c r="O12" s="1"/>
      <c r="P12" s="1"/>
      <c r="Q12" s="1"/>
      <c r="R12" s="1"/>
      <c r="S12" s="1"/>
      <c r="T12" s="1"/>
      <c r="U12" s="1"/>
      <c r="V12" s="1"/>
      <c r="W12" s="1"/>
      <c r="X12" s="1"/>
      <c r="Y12" s="1"/>
      <c r="Z12" s="1"/>
    </row>
    <row r="13" spans="1:26" ht="20" customHeight="1">
      <c r="A13" s="31">
        <v>0.02</v>
      </c>
      <c r="B13" s="29">
        <f>((SUM(Customer_SKU_Data!S4:S123)*$A13*B$11)+(SUM(Customer_SKU_Data!P4:Q123)*Inputs!$B$6*B$11)+(SUM(Customer_SKU_Data!R4:R123)*Inputs!$B$8*B$11)+(SUM(Customer_SKU_Data!M4:M123)*Inputs!$B$9))*Inputs!$B$10</f>
        <v>86062.013052061448</v>
      </c>
      <c r="C13" s="29">
        <f>((SUM(Customer_SKU_Data!S4:S123)*$A13*C$11)+(SUM(Customer_SKU_Data!P4:Q123)*Inputs!$B$6*C$11)+(SUM(Customer_SKU_Data!R4:R123)*Inputs!$B$8*C$11)+(SUM(Customer_SKU_Data!M4:M123)*Inputs!$B$9))*Inputs!$B$10</f>
        <v>87810.700631349042</v>
      </c>
      <c r="D13" s="29">
        <f>((SUM(Customer_SKU_Data!S4:S123)*$A13*D$11)+(SUM(Customer_SKU_Data!P4:Q123)*Inputs!$B$6*D$11)+(SUM(Customer_SKU_Data!R4:R123)*Inputs!$B$8*D$11)+(SUM(Customer_SKU_Data!M4:M123)*Inputs!$B$9))*Inputs!$B$10</f>
        <v>89559.388210636636</v>
      </c>
      <c r="E13" s="29">
        <f>((SUM(Customer_SKU_Data!S4:S123)*$A13*E$11)+(SUM(Customer_SKU_Data!P4:Q123)*Inputs!$B$6*E$11)+(SUM(Customer_SKU_Data!R4:R123)*Inputs!$B$8*E$11)+(SUM(Customer_SKU_Data!M4:M123)*Inputs!$B$9))*Inputs!$B$10</f>
        <v>91308.075789924216</v>
      </c>
      <c r="F13" s="29">
        <f>((SUM(Customer_SKU_Data!S4:S123)*$A13*F$11)+(SUM(Customer_SKU_Data!P4:Q123)*Inputs!$B$6*F$11)+(SUM(Customer_SKU_Data!R4:R123)*Inputs!$B$8*F$11)+(SUM(Customer_SKU_Data!M4:M123)*Inputs!$B$9))*Inputs!$B$10</f>
        <v>93056.763369211825</v>
      </c>
      <c r="G13" s="1"/>
      <c r="H13" s="1"/>
      <c r="I13" s="1"/>
      <c r="J13" s="1"/>
      <c r="K13" s="1"/>
      <c r="L13" s="1"/>
      <c r="M13" s="1"/>
      <c r="N13" s="1"/>
      <c r="O13" s="1"/>
      <c r="P13" s="1"/>
      <c r="Q13" s="1"/>
      <c r="R13" s="1"/>
      <c r="S13" s="1"/>
      <c r="T13" s="1"/>
      <c r="U13" s="1"/>
      <c r="V13" s="1"/>
      <c r="W13" s="1"/>
      <c r="X13" s="1"/>
      <c r="Y13" s="1"/>
      <c r="Z13" s="1"/>
    </row>
    <row r="14" spans="1:26" ht="20" customHeight="1">
      <c r="A14" s="31">
        <v>0.03</v>
      </c>
      <c r="B14" s="29">
        <f>((SUM(Customer_SKU_Data!S4:S123)*$A14*B$11)+(SUM(Customer_SKU_Data!P4:Q123)*Inputs!$B$6*B$11)+(SUM(Customer_SKU_Data!R4:R123)*Inputs!$B$8*B$11)+(SUM(Customer_SKU_Data!M4:M123)*Inputs!$B$9))*Inputs!$B$10</f>
        <v>101644.79326410317</v>
      </c>
      <c r="C14" s="29">
        <f>((SUM(Customer_SKU_Data!S4:S123)*$A14*C$11)+(SUM(Customer_SKU_Data!P4:Q123)*Inputs!$B$6*C$11)+(SUM(Customer_SKU_Data!R4:R123)*Inputs!$B$8*C$11)+(SUM(Customer_SKU_Data!M4:M123)*Inputs!$B$9))*Inputs!$B$10</f>
        <v>103725.02935854059</v>
      </c>
      <c r="D14" s="29">
        <f>((SUM(Customer_SKU_Data!S4:S123)*$A14*D$11)+(SUM(Customer_SKU_Data!P4:Q123)*Inputs!$B$6*D$11)+(SUM(Customer_SKU_Data!R4:R123)*Inputs!$B$8*D$11)+(SUM(Customer_SKU_Data!M4:M123)*Inputs!$B$9))*Inputs!$B$10</f>
        <v>105805.26545297801</v>
      </c>
      <c r="E14" s="29">
        <f>((SUM(Customer_SKU_Data!S4:S123)*$A14*E$11)+(SUM(Customer_SKU_Data!P4:Q123)*Inputs!$B$6*E$11)+(SUM(Customer_SKU_Data!R4:R123)*Inputs!$B$8*E$11)+(SUM(Customer_SKU_Data!M4:M123)*Inputs!$B$9))*Inputs!$B$10</f>
        <v>107885.50154741541</v>
      </c>
      <c r="F14" s="29">
        <f>((SUM(Customer_SKU_Data!S4:S123)*$A14*F$11)+(SUM(Customer_SKU_Data!P4:Q123)*Inputs!$B$6*F$11)+(SUM(Customer_SKU_Data!R4:R123)*Inputs!$B$8*F$11)+(SUM(Customer_SKU_Data!M4:M123)*Inputs!$B$9))*Inputs!$B$10</f>
        <v>109965.73764185281</v>
      </c>
      <c r="G14" s="1"/>
      <c r="H14" s="1"/>
      <c r="I14" s="1"/>
      <c r="J14" s="1"/>
      <c r="K14" s="1"/>
      <c r="L14" s="1"/>
      <c r="M14" s="1"/>
      <c r="N14" s="1"/>
      <c r="O14" s="1"/>
      <c r="P14" s="1"/>
      <c r="Q14" s="1"/>
      <c r="R14" s="1"/>
      <c r="S14" s="1"/>
      <c r="T14" s="1"/>
      <c r="U14" s="1"/>
      <c r="V14" s="1"/>
      <c r="W14" s="1"/>
      <c r="X14" s="1"/>
      <c r="Y14" s="1"/>
      <c r="Z14" s="1"/>
    </row>
    <row r="15" spans="1:26" ht="20" customHeight="1">
      <c r="A15" s="31">
        <v>0.04</v>
      </c>
      <c r="B15" s="29">
        <f>((SUM(Customer_SKU_Data!S4:S123)*$A15*B$11)+(SUM(Customer_SKU_Data!P4:Q123)*Inputs!$B$6*B$11)+(SUM(Customer_SKU_Data!R4:R123)*Inputs!$B$8*B$11)+(SUM(Customer_SKU_Data!M4:M123)*Inputs!$B$9))*Inputs!$B$10</f>
        <v>117227.57347614487</v>
      </c>
      <c r="C15" s="29">
        <f>((SUM(Customer_SKU_Data!S4:S123)*$A15*C$11)+(SUM(Customer_SKU_Data!P4:Q123)*Inputs!$B$6*C$11)+(SUM(Customer_SKU_Data!R4:R123)*Inputs!$B$8*C$11)+(SUM(Customer_SKU_Data!M4:M123)*Inputs!$B$9))*Inputs!$B$10</f>
        <v>119639.35808573212</v>
      </c>
      <c r="D15" s="29">
        <f>((SUM(Customer_SKU_Data!S4:S123)*$A15*D$11)+(SUM(Customer_SKU_Data!P4:Q123)*Inputs!$B$6*D$11)+(SUM(Customer_SKU_Data!R4:R123)*Inputs!$B$8*D$11)+(SUM(Customer_SKU_Data!M4:M123)*Inputs!$B$9))*Inputs!$B$10</f>
        <v>122051.14269531934</v>
      </c>
      <c r="E15" s="29">
        <f>((SUM(Customer_SKU_Data!S4:S123)*$A15*E$11)+(SUM(Customer_SKU_Data!P4:Q123)*Inputs!$B$6*E$11)+(SUM(Customer_SKU_Data!R4:R123)*Inputs!$B$8*E$11)+(SUM(Customer_SKU_Data!M4:M123)*Inputs!$B$9))*Inputs!$B$10</f>
        <v>124462.9273049066</v>
      </c>
      <c r="F15" s="29">
        <f>((SUM(Customer_SKU_Data!S4:S123)*$A15*F$11)+(SUM(Customer_SKU_Data!P4:Q123)*Inputs!$B$6*F$11)+(SUM(Customer_SKU_Data!R4:R123)*Inputs!$B$8*F$11)+(SUM(Customer_SKU_Data!M4:M123)*Inputs!$B$9))*Inputs!$B$10</f>
        <v>126874.71191449385</v>
      </c>
      <c r="G15" s="1"/>
      <c r="H15" s="1"/>
      <c r="I15" s="1"/>
      <c r="J15" s="1"/>
      <c r="K15" s="1"/>
      <c r="L15" s="1"/>
      <c r="M15" s="1"/>
      <c r="N15" s="1"/>
      <c r="O15" s="1"/>
      <c r="P15" s="1"/>
      <c r="Q15" s="1"/>
      <c r="R15" s="1"/>
      <c r="S15" s="1"/>
      <c r="T15" s="1"/>
      <c r="U15" s="1"/>
      <c r="V15" s="1"/>
      <c r="W15" s="1"/>
      <c r="X15" s="1"/>
      <c r="Y15" s="1"/>
      <c r="Z15" s="1"/>
    </row>
    <row r="16" spans="1:26" ht="20" customHeight="1">
      <c r="A16" s="31">
        <v>0.05</v>
      </c>
      <c r="B16" s="29">
        <f>((SUM(Customer_SKU_Data!S4:S123)*$A16*B$11)+(SUM(Customer_SKU_Data!P4:Q123)*Inputs!$B$6*B$11)+(SUM(Customer_SKU_Data!R4:R123)*Inputs!$B$8*B$11)+(SUM(Customer_SKU_Data!M4:M123)*Inputs!$B$9))*Inputs!$B$10</f>
        <v>132810.35368818662</v>
      </c>
      <c r="C16" s="29">
        <f>((SUM(Customer_SKU_Data!S4:S123)*$A16*C$11)+(SUM(Customer_SKU_Data!P4:Q123)*Inputs!$B$6*C$11)+(SUM(Customer_SKU_Data!R4:R123)*Inputs!$B$8*C$11)+(SUM(Customer_SKU_Data!M4:M123)*Inputs!$B$9))*Inputs!$B$10</f>
        <v>135553.68681292367</v>
      </c>
      <c r="D16" s="29">
        <f>((SUM(Customer_SKU_Data!S4:S123)*$A16*D$11)+(SUM(Customer_SKU_Data!P4:Q123)*Inputs!$B$6*D$11)+(SUM(Customer_SKU_Data!R4:R123)*Inputs!$B$8*D$11)+(SUM(Customer_SKU_Data!M4:M123)*Inputs!$B$9))*Inputs!$B$10</f>
        <v>138297.01993766072</v>
      </c>
      <c r="E16" s="29">
        <f>((SUM(Customer_SKU_Data!S4:S123)*$A16*E$11)+(SUM(Customer_SKU_Data!P4:Q123)*Inputs!$B$6*E$11)+(SUM(Customer_SKU_Data!R4:R123)*Inputs!$B$8*E$11)+(SUM(Customer_SKU_Data!M4:M123)*Inputs!$B$9))*Inputs!$B$10</f>
        <v>141040.3530623978</v>
      </c>
      <c r="F16" s="29">
        <f>((SUM(Customer_SKU_Data!S4:S123)*$A16*F$11)+(SUM(Customer_SKU_Data!P4:Q123)*Inputs!$B$6*F$11)+(SUM(Customer_SKU_Data!R4:R123)*Inputs!$B$8*F$11)+(SUM(Customer_SKU_Data!M4:M123)*Inputs!$B$9))*Inputs!$B$10</f>
        <v>143783.68618713485</v>
      </c>
      <c r="G16" s="1"/>
      <c r="H16" s="1"/>
      <c r="I16" s="1"/>
      <c r="J16" s="1"/>
      <c r="K16" s="1"/>
      <c r="L16" s="1"/>
      <c r="M16" s="1"/>
      <c r="N16" s="1"/>
      <c r="O16" s="1"/>
      <c r="P16" s="1"/>
      <c r="Q16" s="1"/>
      <c r="R16" s="1"/>
      <c r="S16" s="1"/>
      <c r="T16" s="1"/>
      <c r="U16" s="1"/>
      <c r="V16" s="1"/>
      <c r="W16" s="1"/>
      <c r="X16" s="1"/>
      <c r="Y16" s="1"/>
      <c r="Z16" s="1"/>
    </row>
    <row r="17" spans="1:26" ht="20"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20"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20"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2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20"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20"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20"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20"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20"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20"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20"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20"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20"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20"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20"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20"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20"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20"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0"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0"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0"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0"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0"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0"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0"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0"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0"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0"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0"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0"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0"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0"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0"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0"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0"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0"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0"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0"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0"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0"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0"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0"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0"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0"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0"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0"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0"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0"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0"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0"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0"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0"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0"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mergeCells count="1">
    <mergeCell ref="A10:G10"/>
  </mergeCells>
  <conditionalFormatting sqref="B12:F16">
    <cfRule type="colorScale" priority="1">
      <colorScale>
        <cfvo type="min"/>
        <cfvo type="percentile" val="50"/>
        <cfvo type="max"/>
        <color rgb="FFF4CCCC"/>
        <color rgb="FFFFF2CC"/>
        <color rgb="FFD9EAD3"/>
      </colorScale>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Instructions</vt:lpstr>
      <vt:lpstr>Inputs</vt:lpstr>
      <vt:lpstr>Customer_SKU_Data</vt:lpstr>
      <vt:lpstr>Waterfall</vt:lpstr>
      <vt:lpstr>Segmentation</vt:lpstr>
      <vt:lpstr>Scenarios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Blake Henkel</cp:lastModifiedBy>
  <dcterms:modified xsi:type="dcterms:W3CDTF">2026-05-03T20:17:28Z</dcterms:modified>
</cp:coreProperties>
</file>