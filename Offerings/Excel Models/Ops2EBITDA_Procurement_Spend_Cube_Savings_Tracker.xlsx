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aa046d4bc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b0b2f759cc94aa6"/>
    <x:sheet xmlns:r="http://schemas.openxmlformats.org/officeDocument/2006/relationships" name="Instructions" sheetId="2" r:id="Rb054c2925b9e407d"/>
    <x:sheet xmlns:r="http://schemas.openxmlformats.org/officeDocument/2006/relationships" name="Inputs" sheetId="3" r:id="R673ebe37dc49485b"/>
    <x:sheet xmlns:r="http://schemas.openxmlformats.org/officeDocument/2006/relationships" name="Spend_Data" sheetId="4" r:id="Rce6e0abddb714491"/>
    <x:sheet xmlns:r="http://schemas.openxmlformats.org/officeDocument/2006/relationships" name="Spend_Cube" sheetId="5" r:id="R6f949317fd8448c1"/>
    <x:sheet xmlns:r="http://schemas.openxmlformats.org/officeDocument/2006/relationships" name="Vendor_Consolidation" sheetId="6" r:id="Rbacdfaf51c7040e7"/>
    <x:sheet xmlns:r="http://schemas.openxmlformats.org/officeDocument/2006/relationships" name="Savings_Pipeline" sheetId="7" r:id="R9ad60730b52f42c7"/>
    <x:sheet xmlns:r="http://schemas.openxmlformats.org/officeDocument/2006/relationships" name="EBITDA_Validation" sheetId="8" r:id="R6df157266bdf4168"/>
    <x:sheet xmlns:r="http://schemas.openxmlformats.org/officeDocument/2006/relationships" name="Sources" sheetId="9" r:id="R65439c6d8f74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x"/>
    <x:numFmt numFmtId="202" formatCode="$#,##0"/>
    <x:numFmt numFmtId="203" formatCode="0"/>
    <x:numFmt numFmtId="204" formatCode="yyyy-mm-dd"/>
  </x:numFmts>
  <x:fonts count="10">
    <x:font>
      <x:sz val="11"/>
      <x:name val="Carlito"/>
    </x:font>
    <x:font>
      <x:sz val="10"/>
      <x:color rgb="161413"/>
      <x:name val="Geist"/>
    </x:font>
    <x:font>
      <x:b/>
      <x:sz val="24"/>
      <x:color rgb="161413"/>
      <x:name val="Newsreader"/>
    </x:font>
    <x:font>
      <x:sz val="10"/>
      <x:color rgb="928B7E"/>
      <x:name val="Geist"/>
    </x:font>
    <x:font>
      <x:b/>
      <x:sz val="9"/>
      <x:color rgb="F4EFE6"/>
      <x:name val="Geist"/>
    </x:font>
    <x:font>
      <x:b/>
      <x:sz val="9"/>
      <x:color rgb="B8862F"/>
      <x:name val="JetBrains Mono"/>
    </x:font>
    <x:font>
      <x:b/>
      <x:sz val="26"/>
      <x:color rgb="161413"/>
      <x:name val="Newsreader"/>
    </x:font>
    <x:font>
      <x:sz val="12"/>
      <x:color rgb="928B7E"/>
      <x:name val="Geist"/>
    </x:font>
    <x:font>
      <x:b/>
      <x:sz val="20"/>
      <x:color rgb="161413"/>
      <x:name val="Newsreader"/>
    </x:font>
    <x:font>
      <x:b/>
      <x:sz val="8"/>
      <x:color rgb="B8862F"/>
      <x:name val="JetBrains Mono"/>
    </x:font>
  </x:fonts>
  <x:fills count="5">
    <x:fill>
      <x:patternFill patternType="none"/>
    </x:fill>
    <x:fill>
      <x:patternFill patternType="gray125"/>
    </x:fill>
    <x:fill>
      <x:patternFill patternType="solid">
        <x:fgColor rgb="FBF8F2"/>
      </x:patternFill>
    </x:fill>
    <x:fill>
      <x:patternFill patternType="solid">
        <x:fgColor rgb="F4EFE6"/>
      </x:patternFill>
    </x:fill>
    <x:fill>
      <x:patternFill patternType="solid">
        <x:fgColor rgb="161413"/>
      </x:patternFill>
    </x:fill>
  </x:fills>
  <x:borders count="20">
    <x:border/>
    <x:border/>
    <x:border>
      <x:right>
        <x:color rgb="DED8CD"/>
      </x:right>
      <x:bottom>
        <x:color rgb="DED8CD"/>
      </x:bottom>
    </x:border>
    <x:border>
      <x:left>
        <x:color rgb="DED8CD"/>
      </x:left>
      <x:right>
        <x:color rgb="DED8CD"/>
      </x:right>
      <x:bottom>
        <x:color rgb="DED8CD"/>
      </x:bottom>
    </x:border>
    <x:border>
      <x:left>
        <x:color rgb="DED8CD"/>
      </x:left>
      <x:bottom>
        <x:color rgb="DED8CD"/>
      </x:bottom>
    </x:border>
    <x:border>
      <x:right>
        <x:color rgb="DED8CD"/>
      </x:right>
      <x:top>
        <x:color rgb="DED8CD"/>
      </x:top>
      <x:bottom>
        <x:color rgb="DED8CD"/>
      </x:bottom>
    </x:border>
    <x:border>
      <x:left>
        <x:color rgb="DED8CD"/>
      </x:left>
      <x:right>
        <x:color rgb="DED8CD"/>
      </x:right>
      <x:top>
        <x:color rgb="DED8CD"/>
      </x:top>
      <x:bottom>
        <x:color rgb="DED8CD"/>
      </x:bottom>
    </x:border>
    <x:border>
      <x:left>
        <x:color rgb="DED8CD"/>
      </x:left>
      <x:top>
        <x:color rgb="DED8CD"/>
      </x:top>
      <x:bottom>
        <x:color rgb="DED8CD"/>
      </x:bottom>
    </x:border>
    <x:border>
      <x:right>
        <x:color rgb="DED8CD"/>
      </x:right>
      <x:top>
        <x:color rgb="DED8CD"/>
      </x:top>
    </x:border>
    <x:border>
      <x:left>
        <x:color rgb="DED8CD"/>
      </x:left>
      <x:right>
        <x:color rgb="DED8CD"/>
      </x:right>
      <x:top>
        <x:color rgb="DED8CD"/>
      </x:top>
    </x:border>
    <x:border>
      <x:left>
        <x:color rgb="DED8CD"/>
      </x:left>
      <x:top>
        <x:color rgb="DED8CD"/>
      </x:top>
    </x:border>
    <x:border>
      <x:right>
        <x:color rgb="DED8CD"/>
      </x:right>
      <x:bottom>
        <x:color rgb="DED8CD"/>
      </x:bottom>
    </x:border>
    <x:border>
      <x:left>
        <x:color rgb="DED8CD"/>
      </x:left>
      <x:right>
        <x:color rgb="DED8CD"/>
      </x:right>
      <x:bottom>
        <x:color rgb="DED8CD"/>
      </x:bottom>
    </x:border>
    <x:border>
      <x:left>
        <x:color rgb="DED8CD"/>
      </x:left>
      <x:bottom>
        <x:color rgb="DED8CD"/>
      </x:bottom>
    </x:border>
    <x:border>
      <x:right>
        <x:color rgb="DED8CD"/>
      </x:right>
      <x:top>
        <x:color rgb="DED8CD"/>
      </x:top>
      <x:bottom>
        <x:color rgb="DED8CD"/>
      </x:bottom>
    </x:border>
    <x:border>
      <x:left>
        <x:color rgb="DED8CD"/>
      </x:left>
      <x:right>
        <x:color rgb="DED8CD"/>
      </x:right>
      <x:top>
        <x:color rgb="DED8CD"/>
      </x:top>
      <x:bottom>
        <x:color rgb="DED8CD"/>
      </x:bottom>
    </x:border>
    <x:border>
      <x:left>
        <x:color rgb="DED8CD"/>
      </x:left>
      <x:top>
        <x:color rgb="DED8CD"/>
      </x:top>
      <x:bottom>
        <x:color rgb="DED8CD"/>
      </x:bottom>
    </x:border>
    <x:border>
      <x:right>
        <x:color rgb="DED8CD"/>
      </x:right>
      <x:top>
        <x:color rgb="DED8CD"/>
      </x:top>
    </x:border>
    <x:border>
      <x:left>
        <x:color rgb="DED8CD"/>
      </x:left>
      <x:right>
        <x:color rgb="DED8CD"/>
      </x:right>
      <x:top>
        <x:color rgb="DED8CD"/>
      </x:top>
    </x:border>
    <x:border>
      <x:left>
        <x:color rgb="DED8CD"/>
      </x:left>
      <x:top>
        <x:color rgb="DED8CD"/>
      </x:top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6" xfId="0" applyNumberFormat="1" applyFont="1" applyFill="1" applyBorder="1"/>
    <x:xf numFmtId="202" fontId="0" fillId="0" borderId="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5" xfId="0" applyNumberFormat="1" applyFont="1" applyFill="1" applyBorder="1"/>
    <x:xf numFmtId="202" fontId="0" fillId="0" borderId="15" xfId="0" applyNumberFormat="1" applyFont="1" applyFill="1" applyBorder="1"/>
    <x:xf numFmtId="0" fontId="0" fillId="0" borderId="17" xfId="0" applyNumberFormat="1" applyFont="1" applyFill="1" applyBorder="1"/>
    <x:xf numFmtId="203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 applyAlignment="1">
      <x:alignment horizontal="left" vertical="center"/>
    </x:xf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15" xfId="0" applyNumberFormat="1" applyFont="1" applyFill="1" applyBorder="1"/>
    <x:xf numFmtId="0" fontId="0" fillId="0" borderId="18" xfId="0" applyNumberFormat="1" applyFont="1" applyFill="1" applyBorder="1"/>
    <x:xf numFmtId="200" fontId="0" fillId="0" borderId="18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6" xfId="0" applyNumberFormat="1" applyFont="1" applyFill="1" applyBorder="1"/>
    <x:xf numFmtId="204" fontId="0" fillId="0" borderId="9" xfId="0" applyNumberFormat="1" applyFont="1" applyFill="1" applyBorder="1"/>
    <x:xf numFmtId="202" fontId="0" fillId="0" borderId="9" xfId="0" applyNumberFormat="1" applyFont="1" applyFill="1" applyBorder="1"/>
    <x:xf numFmtId="204" fontId="0" fillId="0" borderId="15" xfId="0" applyNumberFormat="1" applyFont="1" applyFill="1" applyBorder="1"/>
    <x:xf numFmtId="204" fontId="0" fillId="0" borderId="18" xfId="0" applyNumberFormat="1" applyFont="1" applyFill="1" applyBorder="1"/>
    <x:xf numFmtId="202" fontId="0" fillId="0" borderId="1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4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4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4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2" fontId="0" fillId="0" borderId="18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16" xfId="0" applyNumberFormat="1" applyFont="1" applyFill="1" applyBorder="1"/>
    <x:xf numFmtId="200" fontId="0" fillId="0" borderId="19" xfId="0" applyNumberFormat="1" applyFont="1" applyFill="1" applyBorder="1"/>
    <x:xf numFmtId="204" fontId="0" fillId="0" borderId="7" xfId="0" applyNumberFormat="1" applyFont="1" applyFill="1" applyBorder="1"/>
    <x:xf numFmtId="204" fontId="0" fillId="0" borderId="10" xfId="0" applyNumberFormat="1" applyFont="1" applyFill="1" applyBorder="1"/>
    <x:xf numFmtId="204" fontId="0" fillId="0" borderId="16" xfId="0" applyNumberFormat="1" applyFont="1" applyFill="1" applyBorder="1"/>
    <x:xf numFmtId="204" fontId="0" fillId="0" borderId="19" xfId="0" applyNumberFormat="1" applyFont="1" applyFill="1" applyBorder="1"/>
    <x:xf numFmtId="204" fontId="0" fillId="0" borderId="7" xfId="0" applyNumberFormat="1" applyFont="1" applyFill="1" applyBorder="1" applyAlignment="1">
      <x:alignment wrapText="1"/>
    </x:xf>
    <x:xf numFmtId="204" fontId="0" fillId="0" borderId="10" xfId="0" applyNumberFormat="1" applyFont="1" applyFill="1" applyBorder="1" applyAlignment="1">
      <x:alignment wrapText="1"/>
    </x:xf>
    <x:xf numFmtId="204" fontId="0" fillId="0" borderId="16" xfId="0" applyNumberFormat="1" applyFont="1" applyFill="1" applyBorder="1" applyAlignment="1">
      <x:alignment wrapText="1"/>
    </x:xf>
    <x:xf numFmtId="204" fontId="0" fillId="0" borderId="19" xfId="0" applyNumberFormat="1" applyFont="1" applyFill="1" applyBorder="1" applyAlignment="1">
      <x:alignment wrapText="1"/>
    </x:xf>
    <x:xf numFmtId="202" fontId="0" fillId="0" borderId="7" xfId="0" applyNumberFormat="1" applyFont="1" applyFill="1" applyBorder="1"/>
    <x:xf numFmtId="202" fontId="0" fillId="0" borderId="10" xfId="0" applyNumberFormat="1" applyFont="1" applyFill="1" applyBorder="1"/>
    <x:xf numFmtId="202" fontId="0" fillId="0" borderId="16" xfId="0" applyNumberFormat="1" applyFont="1" applyFill="1" applyBorder="1"/>
    <x:xf numFmtId="202" fontId="0" fillId="0" borderId="19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202" fontId="8" fillId="2" borderId="0" xfId="0" applyNumberFormat="1" applyFont="1" applyFill="1" applyBorder="1" applyAlignment="1">
      <x:alignment horizontal="center" vertical="center"/>
    </x:xf>
    <x:xf numFmtId="202" fontId="8" fillId="2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7A2E1F"/>
      </x:font>
      <x:fill>
        <x:patternFill patternType="solid">
          <x:bgColor rgb="F1E4DC"/>
        </x:patternFill>
      </x:fill>
    </x:dxf>
    <x:dxf>
      <x:font>
        <x:b/>
        <x:color rgb="7A2E1F"/>
      </x:font>
      <x:fill>
        <x:patternFill patternType="solid">
          <x:bgColor rgb="F1E4DC"/>
        </x:patternFill>
      </x:fill>
    </x:dxf>
    <x:dxf>
      <x:font>
        <x:b/>
        <x:color rgb="B8862F"/>
      </x:font>
      <x:fill>
        <x:patternFill patternType="solid">
          <x:bgColor rgb="EDE7D8"/>
        </x:patternFill>
      </x:fill>
    </x:dxf>
    <x:dxf>
      <x:font>
        <x:b/>
        <x:color rgb="7A2E1F"/>
      </x:font>
      <x:fill>
        <x:patternFill patternType="solid">
          <x:bgColor rgb="F1E4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82079bbd74bb6" /><Relationship Type="http://schemas.openxmlformats.org/officeDocument/2006/relationships/theme" Target="/xl/theme/theme1.xml" Id="R2647c38847d74341" /><Relationship Type="http://schemas.openxmlformats.org/officeDocument/2006/relationships/sharedStrings" Target="/xl/sharedStrings.xml" Id="Rfdee665a7aff465a" /><Relationship Type="http://schemas.openxmlformats.org/officeDocument/2006/relationships/worksheet" Target="/xl/worksheets/sheet1.xml" Id="R2b0b2f759cc94aa6" /><Relationship Type="http://schemas.openxmlformats.org/officeDocument/2006/relationships/worksheet" Target="/xl/worksheets/sheet2.xml" Id="Rb054c2925b9e407d" /><Relationship Type="http://schemas.openxmlformats.org/officeDocument/2006/relationships/worksheet" Target="/xl/worksheets/sheet3.xml" Id="R673ebe37dc49485b" /><Relationship Type="http://schemas.openxmlformats.org/officeDocument/2006/relationships/worksheet" Target="/xl/worksheets/sheet4.xml" Id="Rce6e0abddb714491" /><Relationship Type="http://schemas.openxmlformats.org/officeDocument/2006/relationships/worksheet" Target="/xl/worksheets/sheet5.xml" Id="R6f949317fd8448c1" /><Relationship Type="http://schemas.openxmlformats.org/officeDocument/2006/relationships/worksheet" Target="/xl/worksheets/sheet6.xml" Id="Rbacdfaf51c7040e7" /><Relationship Type="http://schemas.openxmlformats.org/officeDocument/2006/relationships/worksheet" Target="/xl/worksheets/sheet7.xml" Id="R9ad60730b52f42c7" /><Relationship Type="http://schemas.openxmlformats.org/officeDocument/2006/relationships/worksheet" Target="/xl/worksheets/sheet8.xml" Id="R6df157266bdf4168" /><Relationship Type="http://schemas.openxmlformats.org/officeDocument/2006/relationships/worksheet" Target="/xl/worksheets/sheet9.xml" Id="R65439c6d8f7447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84e2f203274de8" /><Relationship Type="http://schemas.openxmlformats.org/officeDocument/2006/relationships/chart" Target="/xl/drawings/charts/chart2.xml" Id="Rd81672239f6c4ad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Savings Opportunity</c:v>
          </c:tx>
          <c:cat>
            <c:strRef>
              <c:f>'Dashboard'!$A$12:$A$17</c:f>
              <c:strCache>
                <c:ptCount val="0"/>
              </c:strCache>
            </c:strRef>
          </c:cat>
          <c:val>
            <c:numRef>
              <c:f>'Dashboard'!$E$12:$E$17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varyColors val="0"/>
        <c:ser>
          <c:idx val="0"/>
          <c:order val="0"/>
          <c:tx>
            <c:v>Run-Rate EBITDA</c:v>
          </c:tx>
          <c:cat>
            <c:strRef>
              <c:f>'Dashboard'!$H$12:$H$15</c:f>
              <c:strCache>
                <c:ptCount val="0"/>
              </c:strCache>
            </c:strRef>
          </c:cat>
          <c:val>
            <c:numRef>
              <c:f>'Dashboard'!$J$12:$J$15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19</xdr:row>
      <xdr:rowOff>0</xdr:rowOff>
    </xdr:from>
    <xdr:ext cx="4953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84e2f203274de8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40005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1672239f6c4ad8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SpendDataTable" displayName="SpendDataTable" ref="A4:R304" headerRowCount="1">
  <x:tableColumns count="18">
    <x:tableColumn id="1" name="Invoice ID"/>
    <x:tableColumn id="2" name="Invoice Date"/>
    <x:tableColumn id="3" name="Vendor"/>
    <x:tableColumn id="4" name="Category"/>
    <x:tableColumn id="5" name="Spend Type"/>
    <x:tableColumn id="6" name="Site"/>
    <x:tableColumn id="7" name="Business Unit"/>
    <x:tableColumn id="8" name="Spend"/>
    <x:tableColumn id="9" name="Under Contract?"/>
    <x:tableColumn id="10" name="Preferred Vendor?"/>
    <x:tableColumn id="11" name="Addressable?"/>
    <x:tableColumn id="12" name="Default Savings Rate"/>
    <x:tableColumn id="13" name="Owner"/>
    <x:tableColumn id="14" name="Maverick?"/>
    <x:tableColumn id="15" name="Tail Vendor?"/>
    <x:tableColumn id="16" name="Savings Opportunity"/>
    <x:tableColumn id="17" name="Savings Type"/>
    <x:tableColumn id="18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SavingsPipelineTable" displayName="SavingsPipelineTable" ref="A4:L12" headerRowCount="1">
  <x:tableColumns count="12">
    <x:tableColumn id="1" name="ID"/>
    <x:tableColumn id="2" name="Opportunity"/>
    <x:tableColumn id="3" name="Category"/>
    <x:tableColumn id="4" name="Owner"/>
    <x:tableColumn id="5" name="Lever"/>
    <x:tableColumn id="6" name="Baseline Spend"/>
    <x:tableColumn id="7" name="Savings Rate"/>
    <x:tableColumn id="8" name="Gross Savings"/>
    <x:tableColumn id="9" name="Realization %"/>
    <x:tableColumn id="10" name="Run-Rate EBITDA"/>
    <x:tableColumn id="11" name="Status"/>
    <x:tableColumn id="12" name="Target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d1946c465e4d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96c7b481e9648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6e902038fe8e45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0" hidden="0" customWidth="1"/>
    <x:col min="7" max="7" width="4" hidden="0" customWidth="1"/>
    <x:col min="8" max="8" width="18" hidden="0" customWidth="1"/>
    <x:col min="9" max="9" width="16" hidden="0" customWidth="1"/>
    <x:col min="10" max="10" width="16" hidden="0" customWidth="1"/>
    <x:col min="11" max="11" width="10" hidden="0" customWidth="1"/>
    <x:col min="12" max="12" width="10" hidden="0" customWidth="1"/>
  </x:cols>
  <x:sheetData>
    <x:row r="1" ht="36" customHeight="1">
      <x:c r="A1" s="138" t="str">
        <x:v>Ops2EBITDA</x:v>
      </x:c>
      <x:c r="B1" s="142"/>
      <x:c r="C1" s="142"/>
      <x:c r="D1" s="142"/>
      <x:c r="E1" s="142"/>
      <x:c r="F1" s="142"/>
      <x:c r="G1" s="142"/>
      <x:c r="H1" s="142"/>
      <x:c r="I1" s="142"/>
      <x:c r="J1" s="142"/>
      <x:c r="K1" s="142"/>
      <x:c r="L1" s="142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4" customHeight="1">
      <x:c r="A2" s="122" t="str">
        <x:v>Procurement Spend Cube &amp; Savings Tracker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 ht="22" customHeight="1">
      <x:c r="A4" s="60" t="str">
        <x:v>EXECUTIVE PROCUREMENT SNAPSHOT</x:v>
      </x:c>
    </x:row>
    <x:row r="5">
      <x:c r="A5" s="136" t="n">
        <x:f>EBITDA_Validation!C6</x:f>
        <x:v>6975760</x:v>
      </x:c>
      <x:c r="B5" s="32"/>
      <x:c r="C5" s="136" t="n">
        <x:f>EBITDA_Validation!C7</x:f>
        <x:v>3502330</x:v>
      </x:c>
      <x:c r="D5" s="32"/>
      <x:c r="E5" s="136" t="n">
        <x:f>EBITDA_Validation!C8</x:f>
        <x:v>302826.99999999994</x:v>
      </x:c>
      <x:c r="F5" s="32"/>
      <x:c r="G5" s="136" t="n">
        <x:f>EBITDA_Validation!C11</x:f>
        <x:v>212187.72000000003</x:v>
      </x:c>
      <x:c r="H5" s="32"/>
      <x:c r="I5" s="136" t="n">
        <x:f>EBITDA_Validation!C12</x:f>
        <x:v>2121877.2</x:v>
      </x:c>
      <x:c r="J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</x:row>
    <x:row r="8">
      <x:c r="A8" s="133" t="str">
        <x:v>Total Spend</x:v>
      </x:c>
      <x:c r="C8" s="133" t="str">
        <x:v>Addressable Spend</x:v>
      </x:c>
      <x:c r="E8" s="133" t="str">
        <x:v>Identified Savings</x:v>
      </x:c>
      <x:c r="G8" s="133" t="str">
        <x:v>Validated EBITDA</x:v>
      </x:c>
      <x:c r="I8" s="133" t="str">
        <x:v>EV Impact</x:v>
      </x:c>
    </x:row>
    <x:row r="10" ht="22" customHeight="1">
      <x:c r="A10" s="60" t="str">
        <x:v>TOP CATEGORY OPPORTUNITIES</x:v>
      </x:c>
      <x:c r="H10" s="60" t="str">
        <x:v>SAVINGS PIPELINE STATUS</x:v>
      </x:c>
    </x:row>
    <x:row r="11">
      <x:c r="A11" s="36" t="str">
        <x:v>Category</x:v>
      </x:c>
      <x:c r="B11" s="37" t="str">
        <x:v>Total Spend</x:v>
      </x:c>
      <x:c r="C11" s="37" t="str">
        <x:v>Addressable Spend</x:v>
      </x:c>
      <x:c r="D11" s="37" t="str">
        <x:v>Maverick Spend</x:v>
      </x:c>
      <x:c r="E11" s="37" t="str">
        <x:v>Savings Opportunity</x:v>
      </x:c>
      <x:c r="F11" s="38" t="str">
        <x:v>Priority</x:v>
      </x:c>
      <x:c r="H11" s="36" t="str">
        <x:v>Status</x:v>
      </x:c>
      <x:c r="I11" s="37" t="str">
        <x:v>Gross Savings</x:v>
      </x:c>
      <x:c r="J11" s="38" t="str">
        <x:v>Run-Rate EBITDA</x:v>
      </x:c>
    </x:row>
    <x:row r="12">
      <x:c r="A12" s="39" t="str">
        <x:v>Freight &amp; Logistics</x:v>
      </x:c>
      <x:c r="B12" s="43" t="n">
        <x:f>SUMIFS(Spend_Data!$H:$H,Spend_Data!$D:$D,A12)</x:f>
        <x:v>1347530</x:v>
      </x:c>
      <x:c r="C12" s="43" t="n">
        <x:f>SUMIFS(Spend_Data!$H:$H,Spend_Data!$D:$D,A12,Spend_Data!$K:$K,"Yes")</x:f>
        <x:v>1347530</x:v>
      </x:c>
      <x:c r="D12" s="43" t="n">
        <x:f>SUMIFS(Spend_Data!$H:$H,Spend_Data!$D:$D,A12,Spend_Data!$N:$N,"Yes")</x:f>
        <x:v>860720</x:v>
      </x:c>
      <x:c r="E12" s="43" t="n">
        <x:f>SUMIFS(Spend_Data!$P:$P,Spend_Data!$D:$D,A12)</x:f>
        <x:v>107802.40000000001</x:v>
      </x:c>
      <x:c r="F12" s="41" t="str">
        <x:f>IF(E12&gt;=50000,"High",IF(E12&gt;=15000,"Medium","Low"))</x:f>
        <x:v>High</x:v>
      </x:c>
      <x:c r="H12" s="39" t="str">
        <x:v>Not Started</x:v>
      </x:c>
      <x:c r="I12" s="43" t="n">
        <x:f>SUMIFS(Savings_Pipeline!$H:$H,Savings_Pipeline!$K:$K,H12)</x:f>
        <x:v>75430.2</x:v>
      </x:c>
      <x:c r="J12" s="114" t="n">
        <x:f>SUMIFS(Savings_Pipeline!$J:$J,Savings_Pipeline!$K:$K,H12)</x:f>
        <x:v>60344.16</x:v>
      </x:c>
    </x:row>
    <x:row r="13">
      <x:c r="A13" s="39" t="str">
        <x:v>IT Software</x:v>
      </x:c>
      <x:c r="B13" s="43" t="n">
        <x:f>SUMIFS(Spend_Data!$H:$H,Spend_Data!$D:$D,A13)</x:f>
        <x:v>421720</x:v>
      </x:c>
      <x:c r="C13" s="43" t="n">
        <x:f>SUMIFS(Spend_Data!$H:$H,Spend_Data!$D:$D,A13,Spend_Data!$K:$K,"Yes")</x:f>
        <x:v>421720</x:v>
      </x:c>
      <x:c r="D13" s="43" t="n">
        <x:f>SUMIFS(Spend_Data!$H:$H,Spend_Data!$D:$D,A13,Spend_Data!$N:$N,"Yes")</x:f>
        <x:v>277970</x:v>
      </x:c>
      <x:c r="E13" s="43" t="n">
        <x:f>SUMIFS(Spend_Data!$P:$P,Spend_Data!$D:$D,A13)</x:f>
        <x:v>50606.4</x:v>
      </x:c>
      <x:c r="F13" s="41" t="str">
        <x:f>IF(E13&gt;=50000,"High",IF(E13&gt;=15000,"Medium","Low"))</x:f>
        <x:v>High</x:v>
      </x:c>
      <x:c r="H13" s="39" t="str">
        <x:v>In Progress</x:v>
      </x:c>
      <x:c r="I13" s="43" t="n">
        <x:f>SUMIFS(Savings_Pipeline!$H:$H,Savings_Pipeline!$K:$K,H13)</x:f>
        <x:v>161395.95</x:v>
      </x:c>
      <x:c r="J13" s="114" t="n">
        <x:f>SUMIFS(Savings_Pipeline!$J:$J,Savings_Pipeline!$K:$K,H13)</x:f>
        <x:v>129116.76</x:v>
      </x:c>
    </x:row>
    <x:row r="14">
      <x:c r="A14" s="39" t="str">
        <x:v>Packaging</x:v>
      </x:c>
      <x:c r="B14" s="43" t="n">
        <x:f>SUMIFS(Spend_Data!$H:$H,Spend_Data!$D:$D,A14)</x:f>
        <x:v>556150</x:v>
      </x:c>
      <x:c r="C14" s="43" t="n">
        <x:f>SUMIFS(Spend_Data!$H:$H,Spend_Data!$D:$D,A14,Spend_Data!$K:$K,"Yes")</x:f>
        <x:v>556150</x:v>
      </x:c>
      <x:c r="D14" s="43" t="n">
        <x:f>SUMIFS(Spend_Data!$H:$H,Spend_Data!$D:$D,A14,Spend_Data!$N:$N,"Yes")</x:f>
        <x:v>317290</x:v>
      </x:c>
      <x:c r="E14" s="43" t="n">
        <x:f>SUMIFS(Spend_Data!$P:$P,Spend_Data!$D:$D,A14)</x:f>
        <x:v>33369</x:v>
      </x:c>
      <x:c r="F14" s="41" t="str">
        <x:f>IF(E14&gt;=50000,"High",IF(E14&gt;=15000,"Medium","Low"))</x:f>
        <x:v>Medium</x:v>
      </x:c>
      <x:c r="H14" s="39" t="str">
        <x:v>At Risk</x:v>
      </x:c>
      <x:c r="I14" s="43" t="n">
        <x:f>SUMIFS(Savings_Pipeline!$H:$H,Savings_Pipeline!$K:$K,H14)</x:f>
        <x:v>0</x:v>
      </x:c>
      <x:c r="J14" s="114" t="n">
        <x:f>SUMIFS(Savings_Pipeline!$J:$J,Savings_Pipeline!$K:$K,H14)</x:f>
        <x:v>0</x:v>
      </x:c>
    </x:row>
    <x:row r="15">
      <x:c r="A15" s="39" t="str">
        <x:v>Telecom</x:v>
      </x:c>
      <x:c r="B15" s="43" t="n">
        <x:f>SUMIFS(Spend_Data!$H:$H,Spend_Data!$D:$D,A15)</x:f>
        <x:v>189390</x:v>
      </x:c>
      <x:c r="C15" s="43" t="n">
        <x:f>SUMIFS(Spend_Data!$H:$H,Spend_Data!$D:$D,A15,Spend_Data!$K:$K,"Yes")</x:f>
        <x:v>189390</x:v>
      </x:c>
      <x:c r="D15" s="43" t="n">
        <x:f>SUMIFS(Spend_Data!$H:$H,Spend_Data!$D:$D,A15,Spend_Data!$N:$N,"Yes")</x:f>
        <x:v>128200</x:v>
      </x:c>
      <x:c r="E15" s="43" t="n">
        <x:f>SUMIFS(Spend_Data!$P:$P,Spend_Data!$D:$D,A15)</x:f>
        <x:v>28408.5</x:v>
      </x:c>
      <x:c r="F15" s="41" t="str">
        <x:f>IF(E15&gt;=50000,"High",IF(E15&gt;=15000,"Medium","Low"))</x:f>
        <x:v>Medium</x:v>
      </x:c>
      <x:c r="H15" s="44" t="str">
        <x:v>Complete</x:v>
      </x:c>
      <x:c r="I15" s="74" t="n">
        <x:f>SUMIFS(Savings_Pipeline!$H:$H,Savings_Pipeline!$K:$K,H15)</x:f>
        <x:v>28408.5</x:v>
      </x:c>
      <x:c r="J15" s="115" t="n">
        <x:f>SUMIFS(Savings_Pipeline!$J:$J,Savings_Pipeline!$K:$K,H15)</x:f>
        <x:v>22726.800000000003</x:v>
      </x:c>
    </x:row>
    <x:row r="16">
      <x:c r="A16" s="39" t="str">
        <x:v>Raw Materials</x:v>
      </x:c>
      <x:c r="B16" s="43" t="n">
        <x:f>SUMIFS(Spend_Data!$H:$H,Spend_Data!$D:$D,A16)</x:f>
        <x:v>1824420</x:v>
      </x:c>
      <x:c r="C16" s="43" t="n">
        <x:f>SUMIFS(Spend_Data!$H:$H,Spend_Data!$D:$D,A16,Spend_Data!$K:$K,"Yes")</x:f>
        <x:v>561930</x:v>
      </x:c>
      <x:c r="D16" s="43" t="n">
        <x:f>SUMIFS(Spend_Data!$H:$H,Spend_Data!$D:$D,A16,Spend_Data!$N:$N,"Yes")</x:f>
        <x:v>666330</x:v>
      </x:c>
      <x:c r="E16" s="43" t="n">
        <x:f>SUMIFS(Spend_Data!$P:$P,Spend_Data!$D:$D,A16)</x:f>
        <x:v>28096.5</x:v>
      </x:c>
      <x:c r="F16" s="41" t="str">
        <x:f>IF(E16&gt;=50000,"High",IF(E16&gt;=15000,"Medium","Low"))</x:f>
        <x:v>Medium</x:v>
      </x:c>
    </x:row>
    <x:row r="17">
      <x:c r="A17" s="44" t="str">
        <x:v>Facilities</x:v>
      </x:c>
      <x:c r="B17" s="74" t="n">
        <x:f>SUMIFS(Spend_Data!$H:$H,Spend_Data!$D:$D,A17)</x:f>
        <x:v>275820</x:v>
      </x:c>
      <x:c r="C17" s="74" t="n">
        <x:f>SUMIFS(Spend_Data!$H:$H,Spend_Data!$D:$D,A17,Spend_Data!$K:$K,"Yes")</x:f>
        <x:v>275820</x:v>
      </x:c>
      <x:c r="D17" s="74" t="n">
        <x:f>SUMIFS(Spend_Data!$H:$H,Spend_Data!$D:$D,A17,Spend_Data!$N:$N,"Yes")</x:f>
        <x:v>183980</x:v>
      </x:c>
      <x:c r="E17" s="74" t="n">
        <x:f>SUMIFS(Spend_Data!$P:$P,Spend_Data!$D:$D,A17)</x:f>
        <x:v>27582</x:v>
      </x:c>
      <x:c r="F17" s="46" t="str">
        <x:f>IF(E17&gt;=50000,"High",IF(E17&gt;=15000,"Medium","Low"))</x:f>
        <x:v>Medium</x:v>
      </x:c>
    </x:row>
  </x:sheetData>
  <x:mergeCells>
    <x:mergeCell ref="A1:L1"/>
    <x:mergeCell ref="A2:L2"/>
    <x:mergeCell ref="A4:L4"/>
    <x:mergeCell ref="A5:B7"/>
    <x:mergeCell ref="A8:B8"/>
    <x:mergeCell ref="C5:D7"/>
    <x:mergeCell ref="C8:D8"/>
    <x:mergeCell ref="E5:F7"/>
    <x:mergeCell ref="E8:F8"/>
    <x:mergeCell ref="G5:H7"/>
    <x:mergeCell ref="G8:H8"/>
    <x:mergeCell ref="I5:J7"/>
    <x:mergeCell ref="I8:J8"/>
    <x:mergeCell ref="A10:F10"/>
    <x:mergeCell ref="H10:L10"/>
  </x:mergeCells>
  <x:conditionalFormatting sqref="F12:F17">
    <x:cfRule type="expression" dxfId="3" priority="1">
      <x:formula>F12="High"</x:formula>
    </x:cfRule>
  </x:conditionalFormatting>
  <x:pageMargins left="0.7" right="0.7" top="0.75" bottom="0.75" header="0.3" footer="0.3"/>
  <x:drawing xmlns:r="http://schemas.openxmlformats.org/officeDocument/2006/relationships" r:id="Re0d1946c465e4d6b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70" hidden="0" customWidth="1"/>
  </x:cols>
  <x:sheetData>
    <x:row r="1" ht="34" customHeight="1">
      <x:c r="A1" s="8" t="str">
        <x:v>How to Use This Model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4" customHeight="1">
      <x:c r="A2" s="14" t="str">
        <x:v>Procurement spend cube and savings tracker workflow.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36" t="str">
        <x:v>Step</x:v>
      </x:c>
      <x:c r="B4" s="37" t="str">
        <x:v>Action</x:v>
      </x:c>
      <x:c r="C4" s="38" t="str">
        <x:v>Notes</x:v>
      </x:c>
    </x:row>
    <x:row r="5">
      <x:c r="A5" s="78" t="n">
        <x:v>1</x:v>
      </x:c>
      <x:c r="B5" s="80" t="str">
        <x:v>Replace sample data in Spend_Data</x:v>
      </x:c>
      <x:c r="C5" s="83" t="str">
        <x:v>Paste AP/PO export fields into columns A:M. Keep derived formula columns N:R.</x:v>
      </x:c>
    </x:row>
    <x:row r="6">
      <x:c r="A6" s="78" t="n">
        <x:v>2</x:v>
      </x:c>
      <x:c r="B6" s="80" t="str">
        <x:v>Update assumptions in Inputs</x:v>
      </x:c>
      <x:c r="C6" s="83" t="str">
        <x:v>Adjust EBITDA multiple, realization rate, consolidation capture, and category savings rates.</x:v>
      </x:c>
    </x:row>
    <x:row r="7">
      <x:c r="A7" s="78" t="n">
        <x:v>3</x:v>
      </x:c>
      <x:c r="B7" s="80" t="str">
        <x:v>Review Spend_Cube</x:v>
      </x:c>
      <x:c r="C7" s="83" t="str">
        <x:v>Use category, site, and vendor cuts to identify concentration, maverick spend, and savings opportunity.</x:v>
      </x:c>
    </x:row>
    <x:row r="8">
      <x:c r="A8" s="78" t="n">
        <x:v>4</x:v>
      </x:c>
      <x:c r="B8" s="80" t="str">
        <x:v>Prioritize Vendor_Consolidation</x:v>
      </x:c>
      <x:c r="C8" s="83" t="str">
        <x:v>Focus on categories with high tail spend, many vendors, and meaningful estimated savings.</x:v>
      </x:c>
    </x:row>
    <x:row r="9">
      <x:c r="A9" s="78" t="n">
        <x:v>5</x:v>
      </x:c>
      <x:c r="B9" s="80" t="str">
        <x:v>Build Savings_Pipeline</x:v>
      </x:c>
      <x:c r="C9" s="83" t="str">
        <x:v>Convert opportunities into owned initiatives with status, dates, and run-rate EBITDA impact.</x:v>
      </x:c>
    </x:row>
    <x:row r="10">
      <x:c r="A10" s="78" t="n">
        <x:v>6</x:v>
      </x:c>
      <x:c r="B10" s="80" t="str">
        <x:v>Validate EBITDA</x:v>
      </x:c>
      <x:c r="C10" s="83" t="str">
        <x:v>Use EBITDA_Validation to separate gross opportunity from realized run-rate impact and EV impact.</x:v>
      </x:c>
    </x:row>
    <x:row r="11">
      <x:c r="A11" s="84" t="n">
        <x:v>7</x:v>
      </x:c>
      <x:c r="B11" s="86" t="str">
        <x:v>Use Dashboard for executive readout</x:v>
      </x:c>
      <x:c r="C11" s="89" t="str">
        <x:v>Summarize the opportunity set, savings pipeline, and impact story for management or board discussion.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0.94000244140625" hidden="0" customWidth="1"/>
    <x:col min="2" max="2" width="7.670000076293945" hidden="0" customWidth="1"/>
    <x:col min="3" max="3" width="54.90999984741211" hidden="0" customWidth="1"/>
    <x:col min="4" max="4" width="36.20000076293945" hidden="0" customWidth="1"/>
    <x:col min="5" max="5" width="48.31999969482422" hidden="0" customWidth="1"/>
  </x:cols>
  <x:sheetData>
    <x:row r="1" ht="34" customHeight="1">
      <x:c r="A1" s="8" t="str">
        <x:v>Ops2EBITDA Procurement Spend Cube &amp; Savings Tracker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4" customHeight="1">
      <x:c r="A2" s="14" t="str">
        <x:v>Editable model assumptions and category savings benchmarks.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36" t="str">
        <x:v>Assumption</x:v>
      </x:c>
      <x:c r="B4" s="37" t="str">
        <x:v>Value</x:v>
      </x:c>
      <x:c r="C4" s="38" t="str">
        <x:v>Notes</x:v>
      </x:c>
    </x:row>
    <x:row r="5">
      <x:c r="A5" s="39" t="str">
        <x:v>EBITDA Multiple</x:v>
      </x:c>
      <x:c r="B5" s="40" t="n">
        <x:v>10</x:v>
      </x:c>
      <x:c r="C5" s="41" t="str">
        <x:v>Used to translate run-rate savings into enterprise value impact</x:v>
      </x:c>
    </x:row>
    <x:row r="6">
      <x:c r="A6" s="39" t="str">
        <x:v>Benefit Realization Rate</x:v>
      </x:c>
      <x:c r="B6" s="42" t="n">
        <x:v>0.8</x:v>
      </x:c>
      <x:c r="C6" s="41" t="str">
        <x:v>Portion of identified savings expected to hit EBITDA</x:v>
      </x:c>
    </x:row>
    <x:row r="7">
      <x:c r="A7" s="39" t="str">
        <x:v>Maverick Spend Savings Rate</x:v>
      </x:c>
      <x:c r="B7" s="42" t="n">
        <x:v>0.1</x:v>
      </x:c>
      <x:c r="C7" s="41" t="str">
        <x:v>Default savings rate on non-contract / non-preferred spend</x:v>
      </x:c>
    </x:row>
    <x:row r="8">
      <x:c r="A8" s="39" t="str">
        <x:v>Vendor Consolidation Capture</x:v>
      </x:c>
      <x:c r="B8" s="42" t="n">
        <x:v>0.6</x:v>
      </x:c>
      <x:c r="C8" s="41" t="str">
        <x:v>Percent of tail spend that can be consolidated into preferred vendors</x:v>
      </x:c>
    </x:row>
    <x:row r="9">
      <x:c r="A9" s="39" t="str">
        <x:v>Minimum Addressable Spend Threshold</x:v>
      </x:c>
      <x:c r="B9" s="43" t="n">
        <x:v>50000</x:v>
      </x:c>
      <x:c r="C9" s="41" t="str">
        <x:v>Used to filter small opportunities</x:v>
      </x:c>
    </x:row>
    <x:row r="10">
      <x:c r="A10" s="44" t="str">
        <x:v>Run-Rate Conversion Months</x:v>
      </x:c>
      <x:c r="B10" s="45" t="n">
        <x:v>12</x:v>
      </x:c>
      <x:c r="C10" s="46" t="str">
        <x:v>Months used for annualized EBITDA impact</x:v>
      </x:c>
    </x:row>
    <x:row r="12" ht="22" customHeight="1">
      <x:c r="A12" s="60" t="str">
        <x:v>CATEGORY BENCHMARKS</x:v>
      </x:c>
    </x:row>
    <x:row r="13">
      <x:c r="A13" s="36" t="str">
        <x:v>Category</x:v>
      </x:c>
      <x:c r="B13" s="37" t="str">
        <x:v>Spend Type</x:v>
      </x:c>
      <x:c r="C13" s="37" t="str">
        <x:v>Default Savings Rate</x:v>
      </x:c>
      <x:c r="D13" s="37" t="str">
        <x:v>Primary Lever</x:v>
      </x:c>
      <x:c r="E13" s="38" t="str">
        <x:v>Addressability Notes</x:v>
      </x:c>
    </x:row>
    <x:row r="14">
      <x:c r="A14" s="39" t="str">
        <x:v>Freight &amp; Logistics</x:v>
      </x:c>
      <x:c r="B14" s="64" t="str">
        <x:v>Direct</x:v>
      </x:c>
      <x:c r="C14" s="42" t="n">
        <x:v>0.08</x:v>
      </x:c>
      <x:c r="D14" s="64" t="str">
        <x:v>Carrier rebid / route optimization</x:v>
      </x:c>
      <x:c r="E14" s="41" t="str">
        <x:v>Addressable if not core supply risk</x:v>
      </x:c>
    </x:row>
    <x:row r="15">
      <x:c r="A15" s="39" t="str">
        <x:v>Raw Materials</x:v>
      </x:c>
      <x:c r="B15" s="64" t="str">
        <x:v>Direct</x:v>
      </x:c>
      <x:c r="C15" s="42" t="n">
        <x:v>0.05</x:v>
      </x:c>
      <x:c r="D15" s="64" t="str">
        <x:v>Supplier negotiation / should-cost</x:v>
      </x:c>
      <x:c r="E15" s="41" t="str">
        <x:v>Addressable if not core supply risk</x:v>
      </x:c>
    </x:row>
    <x:row r="16">
      <x:c r="A16" s="39" t="str">
        <x:v>Packaging</x:v>
      </x:c>
      <x:c r="B16" s="64" t="str">
        <x:v>Direct</x:v>
      </x:c>
      <x:c r="C16" s="42" t="n">
        <x:v>0.06</x:v>
      </x:c>
      <x:c r="D16" s="64" t="str">
        <x:v>Specification standardization</x:v>
      </x:c>
      <x:c r="E16" s="41" t="str">
        <x:v>Addressable if not core supply risk</x:v>
      </x:c>
    </x:row>
    <x:row r="17">
      <x:c r="A17" s="39" t="str">
        <x:v>IT Software</x:v>
      </x:c>
      <x:c r="B17" s="64" t="str">
        <x:v>Indirect</x:v>
      </x:c>
      <x:c r="C17" s="42" t="n">
        <x:v>0.12</x:v>
      </x:c>
      <x:c r="D17" s="64" t="str">
        <x:v>License rationalization / vendor consolidation</x:v>
      </x:c>
      <x:c r="E17" s="41" t="str">
        <x:v>Addressable if not core supply risk</x:v>
      </x:c>
    </x:row>
    <x:row r="18">
      <x:c r="A18" s="39" t="str">
        <x:v>Telecom</x:v>
      </x:c>
      <x:c r="B18" s="64" t="str">
        <x:v>Indirect</x:v>
      </x:c>
      <x:c r="C18" s="42" t="n">
        <x:v>0.15</x:v>
      </x:c>
      <x:c r="D18" s="64" t="str">
        <x:v>Plan consolidation / contract rebid</x:v>
      </x:c>
      <x:c r="E18" s="41" t="str">
        <x:v>Addressable if not core supply risk</x:v>
      </x:c>
    </x:row>
    <x:row r="19">
      <x:c r="A19" s="39" t="str">
        <x:v>Facilities</x:v>
      </x:c>
      <x:c r="B19" s="64" t="str">
        <x:v>Indirect</x:v>
      </x:c>
      <x:c r="C19" s="42" t="n">
        <x:v>0.1</x:v>
      </x:c>
      <x:c r="D19" s="64" t="str">
        <x:v>Scope standardization / site consolidation</x:v>
      </x:c>
      <x:c r="E19" s="41" t="str">
        <x:v>Addressable if not core supply risk</x:v>
      </x:c>
    </x:row>
    <x:row r="20">
      <x:c r="A20" s="39" t="str">
        <x:v>Professional Services</x:v>
      </x:c>
      <x:c r="B20" s="64" t="str">
        <x:v>Indirect</x:v>
      </x:c>
      <x:c r="C20" s="42" t="n">
        <x:v>0.09</x:v>
      </x:c>
      <x:c r="D20" s="64" t="str">
        <x:v>Demand management / panel rates</x:v>
      </x:c>
      <x:c r="E20" s="41" t="str">
        <x:v>Validate carefully; may be relationship or quality constrained</x:v>
      </x:c>
    </x:row>
    <x:row r="21">
      <x:c r="A21" s="39" t="str">
        <x:v>Temp Labor</x:v>
      </x:c>
      <x:c r="B21" s="64" t="str">
        <x:v>Indirect</x:v>
      </x:c>
      <x:c r="C21" s="42" t="n">
        <x:v>0.07</x:v>
      </x:c>
      <x:c r="D21" s="64" t="str">
        <x:v>Vendor consolidation / mark-up reduction</x:v>
      </x:c>
      <x:c r="E21" s="41" t="str">
        <x:v>Validate carefully; may be relationship or quality constrained</x:v>
      </x:c>
    </x:row>
    <x:row r="22">
      <x:c r="A22" s="39" t="str">
        <x:v>Office Supplies</x:v>
      </x:c>
      <x:c r="B22" s="64" t="str">
        <x:v>Indirect</x:v>
      </x:c>
      <x:c r="C22" s="42" t="n">
        <x:v>0.18</x:v>
      </x:c>
      <x:c r="D22" s="64" t="str">
        <x:v>Catalog control / preferred vendor</x:v>
      </x:c>
      <x:c r="E22" s="41" t="str">
        <x:v>Addressable if not core supply risk</x:v>
      </x:c>
    </x:row>
    <x:row r="23">
      <x:c r="A23" s="44" t="str">
        <x:v>MRO</x:v>
      </x:c>
      <x:c r="B23" s="65" t="str">
        <x:v>Direct</x:v>
      </x:c>
      <x:c r="C23" s="66" t="n">
        <x:v>0.06</x:v>
      </x:c>
      <x:c r="D23" s="65" t="str">
        <x:v>SKU rationalization / preferred suppliers</x:v>
      </x:c>
      <x:c r="E23" s="46" t="str">
        <x:v>Validate carefully; may be relationship or quality constrained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22" hidden="0" customWidth="1"/>
    <x:col min="5" max="5" width="12" hidden="0" customWidth="1"/>
    <x:col min="6" max="6" width="14" hidden="0" customWidth="1"/>
    <x:col min="7" max="7" width="18" hidden="0" customWidth="1"/>
    <x:col min="8" max="8" width="14" hidden="0" customWidth="1"/>
    <x:col min="9" max="9" width="13" hidden="0" customWidth="1"/>
    <x:col min="10" max="10" width="15" hidden="0" customWidth="1"/>
    <x:col min="11" max="11" width="13" hidden="0" customWidth="1"/>
    <x:col min="12" max="12" width="14" hidden="0" customWidth="1"/>
    <x:col min="13" max="13" width="14" hidden="0" customWidth="1"/>
    <x:col min="14" max="14" width="12" hidden="0" customWidth="1"/>
    <x:col min="15" max="15" width="12" hidden="0" customWidth="1"/>
    <x:col min="16" max="16" width="16" hidden="0" customWidth="1"/>
    <x:col min="17" max="17" width="22" hidden="0" customWidth="1"/>
    <x:col min="18" max="18" width="10" hidden="0" customWidth="1"/>
  </x:cols>
  <x:sheetData>
    <x:row r="1" ht="34" customHeight="1">
      <x:c r="A1" s="8" t="str">
        <x:v>Spend Data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4" customHeight="1">
      <x:c r="A2" s="14" t="str">
        <x:v>Sample invoice-level third-party spend data. Replace sample rows with AP/PO export data.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36" t="str">
        <x:v>Invoice ID</x:v>
      </x:c>
      <x:c r="B4" s="37" t="str">
        <x:v>Invoice Date</x:v>
      </x:c>
      <x:c r="C4" s="37" t="str">
        <x:v>Vendor</x:v>
      </x:c>
      <x:c r="D4" s="37" t="str">
        <x:v>Category</x:v>
      </x:c>
      <x:c r="E4" s="37" t="str">
        <x:v>Spend Type</x:v>
      </x:c>
      <x:c r="F4" s="37" t="str">
        <x:v>Site</x:v>
      </x:c>
      <x:c r="G4" s="37" t="str">
        <x:v>Business Unit</x:v>
      </x:c>
      <x:c r="H4" s="37" t="str">
        <x:v>Spend</x:v>
      </x:c>
      <x:c r="I4" s="37" t="str">
        <x:v>Under Contract?</x:v>
      </x:c>
      <x:c r="J4" s="37" t="str">
        <x:v>Preferred Vendor?</x:v>
      </x:c>
      <x:c r="K4" s="37" t="str">
        <x:v>Addressable?</x:v>
      </x:c>
      <x:c r="L4" s="37" t="str">
        <x:v>Default Savings Rate</x:v>
      </x:c>
      <x:c r="M4" s="37" t="str">
        <x:v>Owner</x:v>
      </x:c>
      <x:c r="N4" s="37" t="str">
        <x:v>Maverick?</x:v>
      </x:c>
      <x:c r="O4" s="37" t="str">
        <x:v>Tail Vendor?</x:v>
      </x:c>
      <x:c r="P4" s="37" t="str">
        <x:v>Savings Opportunity</x:v>
      </x:c>
      <x:c r="Q4" s="37" t="str">
        <x:v>Savings Type</x:v>
      </x:c>
      <x:c r="R4" s="38" t="str">
        <x:v>Priority</x:v>
      </x:c>
    </x:row>
    <x:row r="5">
      <x:c r="A5" s="78" t="n">
        <x:v>1</x:v>
      </x:c>
      <x:c r="B5" s="79" t="n">
        <x:v>45991</x:v>
      </x:c>
      <x:c r="C5" s="80" t="str">
        <x:v>BoxWorks</x:v>
      </x:c>
      <x:c r="D5" s="80" t="str">
        <x:v>Packaging</x:v>
      </x:c>
      <x:c r="E5" s="80" t="str">
        <x:v>Direct</x:v>
      </x:c>
      <x:c r="F5" s="80" t="str">
        <x:v>Chicago</x:v>
      </x:c>
      <x:c r="G5" s="80" t="str">
        <x:v>Field Operations</x:v>
      </x:c>
      <x:c r="H5" s="81" t="n">
        <x:v>9450</x:v>
      </x:c>
      <x:c r="I5" s="80" t="str">
        <x:v>Yes</x:v>
      </x:c>
      <x:c r="J5" s="80" t="str">
        <x:v>Yes</x:v>
      </x:c>
      <x:c r="K5" s="80" t="str">
        <x:v>Yes</x:v>
      </x:c>
      <x:c r="L5" s="82" t="n">
        <x:v>0.06</x:v>
      </x:c>
      <x:c r="M5" s="80" t="str">
        <x:v>COO</x:v>
      </x:c>
      <x:c r="N5" s="80" t="str">
        <x:f>IF(OR(I5="No",J5="No"),"Yes","No")</x:f>
        <x:v>No</x:v>
      </x:c>
      <x:c r="O5" s="80" t="str">
        <x:f>IF(COUNTIFS($C:$C,C5)&lt;5,"Yes","No")</x:f>
        <x:v>No</x:v>
      </x:c>
      <x:c r="P5" s="81" t="n">
        <x:f>IF(K5="Yes",H5*L5,0)</x:f>
        <x:v>567</x:v>
      </x:c>
      <x:c r="Q5" s="80" t="str">
        <x:f>IF(N5="Yes","Maverick / non-preferred",IF(O5="Yes","Tail consolidation",IF(K5="Yes","Category sourcing","Non-addressable")))</x:f>
        <x:v>Category sourcing</x:v>
      </x:c>
      <x:c r="R5" s="83" t="str">
        <x:f>IF(P5&gt;=10000,"High",IF(P5&gt;=3000,"Medium","Low"))</x:f>
        <x:v>Low</x:v>
      </x:c>
    </x:row>
    <x:row r="6">
      <x:c r="A6" s="78" t="n">
        <x:v>2</x:v>
      </x:c>
      <x:c r="B6" s="79" t="n">
        <x:v>45940</x:v>
      </x:c>
      <x:c r="C6" s="80" t="str">
        <x:v>Summit Polymers</x:v>
      </x:c>
      <x:c r="D6" s="80" t="str">
        <x:v>Raw Materials</x:v>
      </x:c>
      <x:c r="E6" s="80" t="str">
        <x:v>Direct</x:v>
      </x:c>
      <x:c r="F6" s="80" t="str">
        <x:v>Atlanta</x:v>
      </x:c>
      <x:c r="G6" s="80" t="str">
        <x:v>Manufacturing</x:v>
      </x:c>
      <x:c r="H6" s="81" t="n">
        <x:v>25130</x:v>
      </x:c>
      <x:c r="I6" s="80" t="str">
        <x:v>Yes</x:v>
      </x:c>
      <x:c r="J6" s="80" t="str">
        <x:v>Yes</x:v>
      </x:c>
      <x:c r="K6" s="80" t="str">
        <x:v>No</x:v>
      </x:c>
      <x:c r="L6" s="82" t="n">
        <x:v>0.05</x:v>
      </x:c>
      <x:c r="M6" s="80" t="str">
        <x:v>COO</x:v>
      </x:c>
      <x:c r="N6" s="80" t="str">
        <x:f>IF(OR(I6="No",J6="No"),"Yes","No")</x:f>
        <x:v>No</x:v>
      </x:c>
      <x:c r="O6" s="80" t="str">
        <x:f>IF(COUNTIFS($C:$C,C6)&lt;5,"Yes","No")</x:f>
        <x:v>No</x:v>
      </x:c>
      <x:c r="P6" s="81" t="n">
        <x:f>IF(K6="Yes",H6*L6,0)</x:f>
        <x:v>0</x:v>
      </x:c>
      <x:c r="Q6" s="80" t="str">
        <x:f>IF(N6="Yes","Maverick / non-preferred",IF(O6="Yes","Tail consolidation",IF(K6="Yes","Category sourcing","Non-addressable")))</x:f>
        <x:v>Non-addressable</x:v>
      </x:c>
      <x:c r="R6" s="83" t="str">
        <x:f>IF(P6&gt;=10000,"High",IF(P6&gt;=3000,"Medium","Low"))</x:f>
        <x:v>Low</x:v>
      </x:c>
    </x:row>
    <x:row r="7">
      <x:c r="A7" s="78" t="n">
        <x:v>3</x:v>
      </x:c>
      <x:c r="B7" s="79" t="n">
        <x:v>45715</x:v>
      </x:c>
      <x:c r="C7" s="80" t="str">
        <x:v>Regional LTL</x:v>
      </x:c>
      <x:c r="D7" s="80" t="str">
        <x:v>Freight &amp; Logistics</x:v>
      </x:c>
      <x:c r="E7" s="80" t="str">
        <x:v>Direct</x:v>
      </x:c>
      <x:c r="F7" s="80" t="str">
        <x:v>Chicago</x:v>
      </x:c>
      <x:c r="G7" s="80" t="str">
        <x:v>Corporate</x:v>
      </x:c>
      <x:c r="H7" s="81" t="n">
        <x:v>20730</x:v>
      </x:c>
      <x:c r="I7" s="80" t="str">
        <x:v>No</x:v>
      </x:c>
      <x:c r="J7" s="80" t="str">
        <x:v>No</x:v>
      </x:c>
      <x:c r="K7" s="80" t="str">
        <x:v>Yes</x:v>
      </x:c>
      <x:c r="L7" s="82" t="n">
        <x:v>0.08</x:v>
      </x:c>
      <x:c r="M7" s="80" t="str">
        <x:v>COO</x:v>
      </x:c>
      <x:c r="N7" s="80" t="str">
        <x:f>IF(OR(I7="No",J7="No"),"Yes","No")</x:f>
        <x:v>Yes</x:v>
      </x:c>
      <x:c r="O7" s="80" t="str">
        <x:f>IF(COUNTIFS($C:$C,C7)&lt;5,"Yes","No")</x:f>
        <x:v>No</x:v>
      </x:c>
      <x:c r="P7" s="81" t="n">
        <x:f>IF(K7="Yes",H7*L7,0)</x:f>
        <x:v>1658.4</x:v>
      </x:c>
      <x:c r="Q7" s="80" t="str">
        <x:f>IF(N7="Yes","Maverick / non-preferred",IF(O7="Yes","Tail consolidation",IF(K7="Yes","Category sourcing","Non-addressable")))</x:f>
        <x:v>Maverick / non-preferred</x:v>
      </x:c>
      <x:c r="R7" s="83" t="str">
        <x:f>IF(P7&gt;=10000,"High",IF(P7&gt;=3000,"Medium","Low"))</x:f>
        <x:v>Low</x:v>
      </x:c>
    </x:row>
    <x:row r="8">
      <x:c r="A8" s="78" t="n">
        <x:v>4</x:v>
      </x:c>
      <x:c r="B8" s="79" t="n">
        <x:v>45991</x:v>
      </x:c>
      <x:c r="C8" s="80" t="str">
        <x:v>PartsPlus</x:v>
      </x:c>
      <x:c r="D8" s="80" t="str">
        <x:v>MRO</x:v>
      </x:c>
      <x:c r="E8" s="80" t="str">
        <x:v>Direct</x:v>
      </x:c>
      <x:c r="F8" s="80" t="str">
        <x:v>Atlanta</x:v>
      </x:c>
      <x:c r="G8" s="80" t="str">
        <x:v>Corporate</x:v>
      </x:c>
      <x:c r="H8" s="81" t="n">
        <x:v>3320</x:v>
      </x:c>
      <x:c r="I8" s="80" t="str">
        <x:v>Yes</x:v>
      </x:c>
      <x:c r="J8" s="80" t="str">
        <x:v>Yes</x:v>
      </x:c>
      <x:c r="K8" s="80" t="str">
        <x:v>No</x:v>
      </x:c>
      <x:c r="L8" s="82" t="n">
        <x:v>0.06</x:v>
      </x:c>
      <x:c r="M8" s="80" t="str">
        <x:v>COO</x:v>
      </x:c>
      <x:c r="N8" s="80" t="str">
        <x:f>IF(OR(I8="No",J8="No"),"Yes","No")</x:f>
        <x:v>No</x:v>
      </x:c>
      <x:c r="O8" s="80" t="str">
        <x:f>IF(COUNTIFS($C:$C,C8)&lt;5,"Yes","No")</x:f>
        <x:v>No</x:v>
      </x:c>
      <x:c r="P8" s="81" t="n">
        <x:f>IF(K8="Yes",H8*L8,0)</x:f>
        <x:v>0</x:v>
      </x:c>
      <x:c r="Q8" s="80" t="str">
        <x:f>IF(N8="Yes","Maverick / non-preferred",IF(O8="Yes","Tail consolidation",IF(K8="Yes","Category sourcing","Non-addressable")))</x:f>
        <x:v>Non-addressable</x:v>
      </x:c>
      <x:c r="R8" s="83" t="str">
        <x:f>IF(P8&gt;=10000,"High",IF(P8&gt;=3000,"Medium","Low"))</x:f>
        <x:v>Low</x:v>
      </x:c>
    </x:row>
    <x:row r="9">
      <x:c r="A9" s="78" t="n">
        <x:v>5</x:v>
      </x:c>
      <x:c r="B9" s="79" t="n">
        <x:v>45674</x:v>
      </x:c>
      <x:c r="C9" s="80" t="str">
        <x:v>MobileWorks</x:v>
      </x:c>
      <x:c r="D9" s="80" t="str">
        <x:v>Telecom</x:v>
      </x:c>
      <x:c r="E9" s="80" t="str">
        <x:v>Indirect</x:v>
      </x:c>
      <x:c r="F9" s="80" t="str">
        <x:v>Dallas</x:v>
      </x:c>
      <x:c r="G9" s="80" t="str">
        <x:v>Field Operations</x:v>
      </x:c>
      <x:c r="H9" s="81" t="n">
        <x:v>1450</x:v>
      </x:c>
      <x:c r="I9" s="80" t="str">
        <x:v>No</x:v>
      </x:c>
      <x:c r="J9" s="80" t="str">
        <x:v>No</x:v>
      </x:c>
      <x:c r="K9" s="80" t="str">
        <x:v>Yes</x:v>
      </x:c>
      <x:c r="L9" s="82" t="n">
        <x:v>0.15</x:v>
      </x:c>
      <x:c r="M9" s="80" t="str">
        <x:v>CIO</x:v>
      </x:c>
      <x:c r="N9" s="80" t="str">
        <x:f>IF(OR(I9="No",J9="No"),"Yes","No")</x:f>
        <x:v>Yes</x:v>
      </x:c>
      <x:c r="O9" s="80" t="str">
        <x:f>IF(COUNTIFS($C:$C,C9)&lt;5,"Yes","No")</x:f>
        <x:v>No</x:v>
      </x:c>
      <x:c r="P9" s="81" t="n">
        <x:f>IF(K9="Yes",H9*L9,0)</x:f>
        <x:v>217.5</x:v>
      </x:c>
      <x:c r="Q9" s="80" t="str">
        <x:f>IF(N9="Yes","Maverick / non-preferred",IF(O9="Yes","Tail consolidation",IF(K9="Yes","Category sourcing","Non-addressable")))</x:f>
        <x:v>Maverick / non-preferred</x:v>
      </x:c>
      <x:c r="R9" s="83" t="str">
        <x:f>IF(P9&gt;=10000,"High",IF(P9&gt;=3000,"Medium","Low"))</x:f>
        <x:v>Low</x:v>
      </x:c>
    </x:row>
    <x:row r="10">
      <x:c r="A10" s="78" t="n">
        <x:v>6</x:v>
      </x:c>
      <x:c r="B10" s="79" t="n">
        <x:v>45752</x:v>
      </x:c>
      <x:c r="C10" s="80" t="str">
        <x:v>MobileWorks</x:v>
      </x:c>
      <x:c r="D10" s="80" t="str">
        <x:v>Telecom</x:v>
      </x:c>
      <x:c r="E10" s="80" t="str">
        <x:v>Indirect</x:v>
      </x:c>
      <x:c r="F10" s="80" t="str">
        <x:v>Columbus</x:v>
      </x:c>
      <x:c r="G10" s="80" t="str">
        <x:v>Field Operations</x:v>
      </x:c>
      <x:c r="H10" s="81" t="n">
        <x:v>870</x:v>
      </x:c>
      <x:c r="I10" s="80" t="str">
        <x:v>No</x:v>
      </x:c>
      <x:c r="J10" s="80" t="str">
        <x:v>No</x:v>
      </x:c>
      <x:c r="K10" s="80" t="str">
        <x:v>Yes</x:v>
      </x:c>
      <x:c r="L10" s="82" t="n">
        <x:v>0.15</x:v>
      </x:c>
      <x:c r="M10" s="80" t="str">
        <x:v>CIO</x:v>
      </x:c>
      <x:c r="N10" s="80" t="str">
        <x:f>IF(OR(I10="No",J10="No"),"Yes","No")</x:f>
        <x:v>Yes</x:v>
      </x:c>
      <x:c r="O10" s="80" t="str">
        <x:f>IF(COUNTIFS($C:$C,C10)&lt;5,"Yes","No")</x:f>
        <x:v>No</x:v>
      </x:c>
      <x:c r="P10" s="81" t="n">
        <x:f>IF(K10="Yes",H10*L10,0)</x:f>
        <x:v>130.5</x:v>
      </x:c>
      <x:c r="Q10" s="80" t="str">
        <x:f>IF(N10="Yes","Maverick / non-preferred",IF(O10="Yes","Tail consolidation",IF(K10="Yes","Category sourcing","Non-addressable")))</x:f>
        <x:v>Maverick / non-preferred</x:v>
      </x:c>
      <x:c r="R10" s="83" t="str">
        <x:f>IF(P10&gt;=10000,"High",IF(P10&gt;=3000,"Medium","Low"))</x:f>
        <x:v>Low</x:v>
      </x:c>
    </x:row>
    <x:row r="11">
      <x:c r="A11" s="78" t="n">
        <x:v>7</x:v>
      </x:c>
      <x:c r="B11" s="79" t="n">
        <x:v>45936</x:v>
      </x:c>
      <x:c r="C11" s="80" t="str">
        <x:v>FacilityOne</x:v>
      </x:c>
      <x:c r="D11" s="80" t="str">
        <x:v>Facilities</x:v>
      </x:c>
      <x:c r="E11" s="80" t="str">
        <x:v>Indirect</x:v>
      </x:c>
      <x:c r="F11" s="80" t="str">
        <x:v>Columbus</x:v>
      </x:c>
      <x:c r="G11" s="80" t="str">
        <x:v>Manufacturing</x:v>
      </x:c>
      <x:c r="H11" s="81" t="n">
        <x:v>4200</x:v>
      </x:c>
      <x:c r="I11" s="80" t="str">
        <x:v>Yes</x:v>
      </x:c>
      <x:c r="J11" s="80" t="str">
        <x:v>Yes</x:v>
      </x:c>
      <x:c r="K11" s="80" t="str">
        <x:v>Yes</x:v>
      </x:c>
      <x:c r="L11" s="82" t="n">
        <x:v>0.1</x:v>
      </x:c>
      <x:c r="M11" s="80" t="str">
        <x:v>COO</x:v>
      </x:c>
      <x:c r="N11" s="80" t="str">
        <x:f>IF(OR(I11="No",J11="No"),"Yes","No")</x:f>
        <x:v>No</x:v>
      </x:c>
      <x:c r="O11" s="80" t="str">
        <x:f>IF(COUNTIFS($C:$C,C11)&lt;5,"Yes","No")</x:f>
        <x:v>No</x:v>
      </x:c>
      <x:c r="P11" s="81" t="n">
        <x:f>IF(K11="Yes",H11*L11,0)</x:f>
        <x:v>420</x:v>
      </x:c>
      <x:c r="Q11" s="80" t="str">
        <x:f>IF(N11="Yes","Maverick / non-preferred",IF(O11="Yes","Tail consolidation",IF(K11="Yes","Category sourcing","Non-addressable")))</x:f>
        <x:v>Category sourcing</x:v>
      </x:c>
      <x:c r="R11" s="83" t="str">
        <x:f>IF(P11&gt;=10000,"High",IF(P11&gt;=3000,"Medium","Low"))</x:f>
        <x:v>Low</x:v>
      </x:c>
    </x:row>
    <x:row r="12">
      <x:c r="A12" s="78" t="n">
        <x:v>8</x:v>
      </x:c>
      <x:c r="B12" s="79" t="n">
        <x:v>45879</x:v>
      </x:c>
      <x:c r="C12" s="80" t="str">
        <x:v>Workplace Mart</x:v>
      </x:c>
      <x:c r="D12" s="80" t="str">
        <x:v>Office Supplies</x:v>
      </x:c>
      <x:c r="E12" s="80" t="str">
        <x:v>Indirect</x:v>
      </x:c>
      <x:c r="F12" s="80" t="str">
        <x:v>Chicago</x:v>
      </x:c>
      <x:c r="G12" s="80" t="str">
        <x:v>Manufacturing</x:v>
      </x:c>
      <x:c r="H12" s="81" t="n">
        <x:v>9430</x:v>
      </x:c>
      <x:c r="I12" s="80" t="str">
        <x:v>No</x:v>
      </x:c>
      <x:c r="J12" s="80" t="str">
        <x:v>No</x:v>
      </x:c>
      <x:c r="K12" s="80" t="str">
        <x:v>Yes</x:v>
      </x:c>
      <x:c r="L12" s="82" t="n">
        <x:v>0.18</x:v>
      </x:c>
      <x:c r="M12" s="80" t="str">
        <x:v>CFO</x:v>
      </x:c>
      <x:c r="N12" s="80" t="str">
        <x:f>IF(OR(I12="No",J12="No"),"Yes","No")</x:f>
        <x:v>Yes</x:v>
      </x:c>
      <x:c r="O12" s="80" t="str">
        <x:f>IF(COUNTIFS($C:$C,C12)&lt;5,"Yes","No")</x:f>
        <x:v>No</x:v>
      </x:c>
      <x:c r="P12" s="81" t="n">
        <x:f>IF(K12="Yes",H12*L12,0)</x:f>
        <x:v>1697.3999999999999</x:v>
      </x:c>
      <x:c r="Q12" s="80" t="str">
        <x:f>IF(N12="Yes","Maverick / non-preferred",IF(O12="Yes","Tail consolidation",IF(K12="Yes","Category sourcing","Non-addressable")))</x:f>
        <x:v>Maverick / non-preferred</x:v>
      </x:c>
      <x:c r="R12" s="83" t="str">
        <x:f>IF(P12&gt;=10000,"High",IF(P12&gt;=3000,"Medium","Low"))</x:f>
        <x:v>Low</x:v>
      </x:c>
    </x:row>
    <x:row r="13">
      <x:c r="A13" s="78" t="n">
        <x:v>9</x:v>
      </x:c>
      <x:c r="B13" s="79" t="n">
        <x:v>45757</x:v>
      </x:c>
      <x:c r="C13" s="80" t="str">
        <x:v>NorthLine Freight</x:v>
      </x:c>
      <x:c r="D13" s="80" t="str">
        <x:v>Freight &amp; Logistics</x:v>
      </x:c>
      <x:c r="E13" s="80" t="str">
        <x:v>Direct</x:v>
      </x:c>
      <x:c r="F13" s="80" t="str">
        <x:v>Columbus</x:v>
      </x:c>
      <x:c r="G13" s="80" t="str">
        <x:v>Distribution</x:v>
      </x:c>
      <x:c r="H13" s="81" t="n">
        <x:v>24310</x:v>
      </x:c>
      <x:c r="I13" s="80" t="str">
        <x:v>Yes</x:v>
      </x:c>
      <x:c r="J13" s="80" t="str">
        <x:v>Yes</x:v>
      </x:c>
      <x:c r="K13" s="80" t="str">
        <x:v>Yes</x:v>
      </x:c>
      <x:c r="L13" s="82" t="n">
        <x:v>0.08</x:v>
      </x:c>
      <x:c r="M13" s="80" t="str">
        <x:v>COO</x:v>
      </x:c>
      <x:c r="N13" s="80" t="str">
        <x:f>IF(OR(I13="No",J13="No"),"Yes","No")</x:f>
        <x:v>No</x:v>
      </x:c>
      <x:c r="O13" s="80" t="str">
        <x:f>IF(COUNTIFS($C:$C,C13)&lt;5,"Yes","No")</x:f>
        <x:v>No</x:v>
      </x:c>
      <x:c r="P13" s="81" t="n">
        <x:f>IF(K13="Yes",H13*L13,0)</x:f>
        <x:v>1944.8</x:v>
      </x:c>
      <x:c r="Q13" s="80" t="str">
        <x:f>IF(N13="Yes","Maverick / non-preferred",IF(O13="Yes","Tail consolidation",IF(K13="Yes","Category sourcing","Non-addressable")))</x:f>
        <x:v>Category sourcing</x:v>
      </x:c>
      <x:c r="R13" s="83" t="str">
        <x:f>IF(P13&gt;=10000,"High",IF(P13&gt;=3000,"Medium","Low"))</x:f>
        <x:v>Low</x:v>
      </x:c>
    </x:row>
    <x:row r="14">
      <x:c r="A14" s="78" t="n">
        <x:v>10</x:v>
      </x:c>
      <x:c r="B14" s="79" t="n">
        <x:v>45755</x:v>
      </x:c>
      <x:c r="C14" s="80" t="str">
        <x:v>Workplace Mart</x:v>
      </x:c>
      <x:c r="D14" s="80" t="str">
        <x:v>Office Supplies</x:v>
      </x:c>
      <x:c r="E14" s="80" t="str">
        <x:v>Indirect</x:v>
      </x:c>
      <x:c r="F14" s="80" t="str">
        <x:v>Atlanta</x:v>
      </x:c>
      <x:c r="G14" s="80" t="str">
        <x:v>Distribution</x:v>
      </x:c>
      <x:c r="H14" s="81" t="n">
        <x:v>2480</x:v>
      </x:c>
      <x:c r="I14" s="80" t="str">
        <x:v>No</x:v>
      </x:c>
      <x:c r="J14" s="80" t="str">
        <x:v>No</x:v>
      </x:c>
      <x:c r="K14" s="80" t="str">
        <x:v>Yes</x:v>
      </x:c>
      <x:c r="L14" s="82" t="n">
        <x:v>0.18</x:v>
      </x:c>
      <x:c r="M14" s="80" t="str">
        <x:v>CFO</x:v>
      </x:c>
      <x:c r="N14" s="80" t="str">
        <x:f>IF(OR(I14="No",J14="No"),"Yes","No")</x:f>
        <x:v>Yes</x:v>
      </x:c>
      <x:c r="O14" s="80" t="str">
        <x:f>IF(COUNTIFS($C:$C,C14)&lt;5,"Yes","No")</x:f>
        <x:v>No</x:v>
      </x:c>
      <x:c r="P14" s="81" t="n">
        <x:f>IF(K14="Yes",H14*L14,0)</x:f>
        <x:v>446.4</x:v>
      </x:c>
      <x:c r="Q14" s="80" t="str">
        <x:f>IF(N14="Yes","Maverick / non-preferred",IF(O14="Yes","Tail consolidation",IF(K14="Yes","Category sourcing","Non-addressable")))</x:f>
        <x:v>Maverick / non-preferred</x:v>
      </x:c>
      <x:c r="R14" s="83" t="str">
        <x:f>IF(P14&gt;=10000,"High",IF(P14&gt;=3000,"Medium","Low"))</x:f>
        <x:v>Low</x:v>
      </x:c>
    </x:row>
    <x:row r="15">
      <x:c r="A15" s="78" t="n">
        <x:v>11</x:v>
      </x:c>
      <x:c r="B15" s="79" t="n">
        <x:v>45757</x:v>
      </x:c>
      <x:c r="C15" s="80" t="str">
        <x:v>Prime Components</x:v>
      </x:c>
      <x:c r="D15" s="80" t="str">
        <x:v>Raw Materials</x:v>
      </x:c>
      <x:c r="E15" s="80" t="str">
        <x:v>Direct</x:v>
      </x:c>
      <x:c r="F15" s="80" t="str">
        <x:v>Dallas</x:v>
      </x:c>
      <x:c r="G15" s="80" t="str">
        <x:v>Distribution</x:v>
      </x:c>
      <x:c r="H15" s="81" t="n">
        <x:v>56220</x:v>
      </x:c>
      <x:c r="I15" s="80" t="str">
        <x:v>No</x:v>
      </x:c>
      <x:c r="J15" s="80" t="str">
        <x:v>No</x:v>
      </x:c>
      <x:c r="K15" s="80" t="str">
        <x:v>No</x:v>
      </x:c>
      <x:c r="L15" s="82" t="n">
        <x:v>0.05</x:v>
      </x:c>
      <x:c r="M15" s="80" t="str">
        <x:v>COO</x:v>
      </x:c>
      <x:c r="N15" s="80" t="str">
        <x:f>IF(OR(I15="No",J15="No"),"Yes","No")</x:f>
        <x:v>Yes</x:v>
      </x:c>
      <x:c r="O15" s="80" t="str">
        <x:f>IF(COUNTIFS($C:$C,C15)&lt;5,"Yes","No")</x:f>
        <x:v>No</x:v>
      </x:c>
      <x:c r="P15" s="81" t="n">
        <x:f>IF(K15="Yes",H15*L15,0)</x:f>
        <x:v>0</x:v>
      </x:c>
      <x:c r="Q15" s="80" t="str">
        <x:f>IF(N15="Yes","Maverick / non-preferred",IF(O15="Yes","Tail consolidation",IF(K15="Yes","Category sourcing","Non-addressable")))</x:f>
        <x:v>Maverick / non-preferred</x:v>
      </x:c>
      <x:c r="R15" s="83" t="str">
        <x:f>IF(P15&gt;=10000,"High",IF(P15&gt;=3000,"Medium","Low"))</x:f>
        <x:v>Low</x:v>
      </x:c>
    </x:row>
    <x:row r="16">
      <x:c r="A16" s="78" t="n">
        <x:v>12</x:v>
      </x:c>
      <x:c r="B16" s="79" t="n">
        <x:v>45957</x:v>
      </x:c>
      <x:c r="C16" s="80" t="str">
        <x:v>ToolWorks</x:v>
      </x:c>
      <x:c r="D16" s="80" t="str">
        <x:v>MRO</x:v>
      </x:c>
      <x:c r="E16" s="80" t="str">
        <x:v>Direct</x:v>
      </x:c>
      <x:c r="F16" s="80" t="str">
        <x:v>Chicago</x:v>
      </x:c>
      <x:c r="G16" s="80" t="str">
        <x:v>Manufacturing</x:v>
      </x:c>
      <x:c r="H16" s="81" t="n">
        <x:v>9960</x:v>
      </x:c>
      <x:c r="I16" s="80" t="str">
        <x:v>No</x:v>
      </x:c>
      <x:c r="J16" s="80" t="str">
        <x:v>No</x:v>
      </x:c>
      <x:c r="K16" s="80" t="str">
        <x:v>No</x:v>
      </x:c>
      <x:c r="L16" s="82" t="n">
        <x:v>0.06</x:v>
      </x:c>
      <x:c r="M16" s="80" t="str">
        <x:v>COO</x:v>
      </x:c>
      <x:c r="N16" s="80" t="str">
        <x:f>IF(OR(I16="No",J16="No"),"Yes","No")</x:f>
        <x:v>Yes</x:v>
      </x:c>
      <x:c r="O16" s="80" t="str">
        <x:f>IF(COUNTIFS($C:$C,C16)&lt;5,"Yes","No")</x:f>
        <x:v>No</x:v>
      </x:c>
      <x:c r="P16" s="81" t="n">
        <x:f>IF(K16="Yes",H16*L16,0)</x:f>
        <x:v>0</x:v>
      </x:c>
      <x:c r="Q16" s="80" t="str">
        <x:f>IF(N16="Yes","Maverick / non-preferred",IF(O16="Yes","Tail consolidation",IF(K16="Yes","Category sourcing","Non-addressable")))</x:f>
        <x:v>Maverick / non-preferred</x:v>
      </x:c>
      <x:c r="R16" s="83" t="str">
        <x:f>IF(P16&gt;=10000,"High",IF(P16&gt;=3000,"Medium","Low"))</x:f>
        <x:v>Low</x:v>
      </x:c>
    </x:row>
    <x:row r="17">
      <x:c r="A17" s="78" t="n">
        <x:v>13</x:v>
      </x:c>
      <x:c r="B17" s="79" t="n">
        <x:v>45719</x:v>
      </x:c>
      <x:c r="C17" s="80" t="str">
        <x:v>WorkforceOne</x:v>
      </x:c>
      <x:c r="D17" s="80" t="str">
        <x:v>Temp Labor</x:v>
      </x:c>
      <x:c r="E17" s="80" t="str">
        <x:v>Indirect</x:v>
      </x:c>
      <x:c r="F17" s="80" t="str">
        <x:v>Chicago</x:v>
      </x:c>
      <x:c r="G17" s="80" t="str">
        <x:v>Corporate</x:v>
      </x:c>
      <x:c r="H17" s="81" t="n">
        <x:v>30710</x:v>
      </x:c>
      <x:c r="I17" s="80" t="str">
        <x:v>Yes</x:v>
      </x:c>
      <x:c r="J17" s="80" t="str">
        <x:v>No</x:v>
      </x:c>
      <x:c r="K17" s="80" t="str">
        <x:v>No</x:v>
      </x:c>
      <x:c r="L17" s="82" t="n">
        <x:v>0.07</x:v>
      </x:c>
      <x:c r="M17" s="80" t="str">
        <x:v>CHRO</x:v>
      </x:c>
      <x:c r="N17" s="80" t="str">
        <x:f>IF(OR(I17="No",J17="No"),"Yes","No")</x:f>
        <x:v>Yes</x:v>
      </x:c>
      <x:c r="O17" s="80" t="str">
        <x:f>IF(COUNTIFS($C:$C,C17)&lt;5,"Yes","No")</x:f>
        <x:v>No</x:v>
      </x:c>
      <x:c r="P17" s="81" t="n">
        <x:f>IF(K17="Yes",H17*L17,0)</x:f>
        <x:v>0</x:v>
      </x:c>
      <x:c r="Q17" s="80" t="str">
        <x:f>IF(N17="Yes","Maverick / non-preferred",IF(O17="Yes","Tail consolidation",IF(K17="Yes","Category sourcing","Non-addressable")))</x:f>
        <x:v>Maverick / non-preferred</x:v>
      </x:c>
      <x:c r="R17" s="83" t="str">
        <x:f>IF(P17&gt;=10000,"High",IF(P17&gt;=3000,"Medium","Low"))</x:f>
        <x:v>Low</x:v>
      </x:c>
    </x:row>
    <x:row r="18">
      <x:c r="A18" s="78" t="n">
        <x:v>14</x:v>
      </x:c>
      <x:c r="B18" s="79" t="n">
        <x:v>45963</x:v>
      </x:c>
      <x:c r="C18" s="80" t="str">
        <x:v>PaperTrail</x:v>
      </x:c>
      <x:c r="D18" s="80" t="str">
        <x:v>Office Supplies</x:v>
      </x:c>
      <x:c r="E18" s="80" t="str">
        <x:v>Indirect</x:v>
      </x:c>
      <x:c r="F18" s="80" t="str">
        <x:v>Chicago</x:v>
      </x:c>
      <x:c r="G18" s="80" t="str">
        <x:v>Corporate</x:v>
      </x:c>
      <x:c r="H18" s="81" t="n">
        <x:v>870</x:v>
      </x:c>
      <x:c r="I18" s="80" t="str">
        <x:v>No</x:v>
      </x:c>
      <x:c r="J18" s="80" t="str">
        <x:v>No</x:v>
      </x:c>
      <x:c r="K18" s="80" t="str">
        <x:v>Yes</x:v>
      </x:c>
      <x:c r="L18" s="82" t="n">
        <x:v>0.18</x:v>
      </x:c>
      <x:c r="M18" s="80" t="str">
        <x:v>CFO</x:v>
      </x:c>
      <x:c r="N18" s="80" t="str">
        <x:f>IF(OR(I18="No",J18="No"),"Yes","No")</x:f>
        <x:v>Yes</x:v>
      </x:c>
      <x:c r="O18" s="80" t="str">
        <x:f>IF(COUNTIFS($C:$C,C18)&lt;5,"Yes","No")</x:f>
        <x:v>No</x:v>
      </x:c>
      <x:c r="P18" s="81" t="n">
        <x:f>IF(K18="Yes",H18*L18,0)</x:f>
        <x:v>156.6</x:v>
      </x:c>
      <x:c r="Q18" s="80" t="str">
        <x:f>IF(N18="Yes","Maverick / non-preferred",IF(O18="Yes","Tail consolidation",IF(K18="Yes","Category sourcing","Non-addressable")))</x:f>
        <x:v>Maverick / non-preferred</x:v>
      </x:c>
      <x:c r="R18" s="83" t="str">
        <x:f>IF(P18&gt;=10000,"High",IF(P18&gt;=3000,"Medium","Low"))</x:f>
        <x:v>Low</x:v>
      </x:c>
    </x:row>
    <x:row r="19">
      <x:c r="A19" s="78" t="n">
        <x:v>15</x:v>
      </x:c>
      <x:c r="B19" s="79" t="n">
        <x:v>45718</x:v>
      </x:c>
      <x:c r="C19" s="80" t="str">
        <x:v>FiberOne</x:v>
      </x:c>
      <x:c r="D19" s="80" t="str">
        <x:v>Telecom</x:v>
      </x:c>
      <x:c r="E19" s="80" t="str">
        <x:v>Indirect</x:v>
      </x:c>
      <x:c r="F19" s="80" t="str">
        <x:v>Chicago</x:v>
      </x:c>
      <x:c r="G19" s="80" t="str">
        <x:v>Manufacturing</x:v>
      </x:c>
      <x:c r="H19" s="81" t="n">
        <x:v>12650</x:v>
      </x:c>
      <x:c r="I19" s="80" t="str">
        <x:v>No</x:v>
      </x:c>
      <x:c r="J19" s="80" t="str">
        <x:v>No</x:v>
      </x:c>
      <x:c r="K19" s="80" t="str">
        <x:v>Yes</x:v>
      </x:c>
      <x:c r="L19" s="82" t="n">
        <x:v>0.15</x:v>
      </x:c>
      <x:c r="M19" s="80" t="str">
        <x:v>CIO</x:v>
      </x:c>
      <x:c r="N19" s="80" t="str">
        <x:f>IF(OR(I19="No",J19="No"),"Yes","No")</x:f>
        <x:v>Yes</x:v>
      </x:c>
      <x:c r="O19" s="80" t="str">
        <x:f>IF(COUNTIFS($C:$C,C19)&lt;5,"Yes","No")</x:f>
        <x:v>No</x:v>
      </x:c>
      <x:c r="P19" s="81" t="n">
        <x:f>IF(K19="Yes",H19*L19,0)</x:f>
        <x:v>1897.5</x:v>
      </x:c>
      <x:c r="Q19" s="80" t="str">
        <x:f>IF(N19="Yes","Maverick / non-preferred",IF(O19="Yes","Tail consolidation",IF(K19="Yes","Category sourcing","Non-addressable")))</x:f>
        <x:v>Maverick / non-preferred</x:v>
      </x:c>
      <x:c r="R19" s="83" t="str">
        <x:f>IF(P19&gt;=10000,"High",IF(P19&gt;=3000,"Medium","Low"))</x:f>
        <x:v>Low</x:v>
      </x:c>
    </x:row>
    <x:row r="20">
      <x:c r="A20" s="78" t="n">
        <x:v>16</x:v>
      </x:c>
      <x:c r="B20" s="79" t="n">
        <x:v>45707</x:v>
      </x:c>
      <x:c r="C20" s="80" t="str">
        <x:v>PaperTrail</x:v>
      </x:c>
      <x:c r="D20" s="80" t="str">
        <x:v>Office Supplies</x:v>
      </x:c>
      <x:c r="E20" s="80" t="str">
        <x:v>Indirect</x:v>
      </x:c>
      <x:c r="F20" s="80" t="str">
        <x:v>Phoenix</x:v>
      </x:c>
      <x:c r="G20" s="80" t="str">
        <x:v>Manufacturing</x:v>
      </x:c>
      <x:c r="H20" s="81" t="n">
        <x:v>1980</x:v>
      </x:c>
      <x:c r="I20" s="80" t="str">
        <x:v>No</x:v>
      </x:c>
      <x:c r="J20" s="80" t="str">
        <x:v>No</x:v>
      </x:c>
      <x:c r="K20" s="80" t="str">
        <x:v>Yes</x:v>
      </x:c>
      <x:c r="L20" s="82" t="n">
        <x:v>0.18</x:v>
      </x:c>
      <x:c r="M20" s="80" t="str">
        <x:v>CFO</x:v>
      </x:c>
      <x:c r="N20" s="80" t="str">
        <x:f>IF(OR(I20="No",J20="No"),"Yes","No")</x:f>
        <x:v>Yes</x:v>
      </x:c>
      <x:c r="O20" s="80" t="str">
        <x:f>IF(COUNTIFS($C:$C,C20)&lt;5,"Yes","No")</x:f>
        <x:v>No</x:v>
      </x:c>
      <x:c r="P20" s="81" t="n">
        <x:f>IF(K20="Yes",H20*L20,0)</x:f>
        <x:v>356.4</x:v>
      </x:c>
      <x:c r="Q20" s="80" t="str">
        <x:f>IF(N20="Yes","Maverick / non-preferred",IF(O20="Yes","Tail consolidation",IF(K20="Yes","Category sourcing","Non-addressable")))</x:f>
        <x:v>Maverick / non-preferred</x:v>
      </x:c>
      <x:c r="R20" s="83" t="str">
        <x:f>IF(P20&gt;=10000,"High",IF(P20&gt;=3000,"Medium","Low"))</x:f>
        <x:v>Low</x:v>
      </x:c>
    </x:row>
    <x:row r="21">
      <x:c r="A21" s="78" t="n">
        <x:v>17</x:v>
      </x:c>
      <x:c r="B21" s="79" t="n">
        <x:v>45779</x:v>
      </x:c>
      <x:c r="C21" s="80" t="str">
        <x:v>MaintainCo</x:v>
      </x:c>
      <x:c r="D21" s="80" t="str">
        <x:v>MRO</x:v>
      </x:c>
      <x:c r="E21" s="80" t="str">
        <x:v>Direct</x:v>
      </x:c>
      <x:c r="F21" s="80" t="str">
        <x:v>Phoenix</x:v>
      </x:c>
      <x:c r="G21" s="80" t="str">
        <x:v>Corporate</x:v>
      </x:c>
      <x:c r="H21" s="81" t="n">
        <x:v>10400</x:v>
      </x:c>
      <x:c r="I21" s="80" t="str">
        <x:v>No</x:v>
      </x:c>
      <x:c r="J21" s="80" t="str">
        <x:v>No</x:v>
      </x:c>
      <x:c r="K21" s="80" t="str">
        <x:v>No</x:v>
      </x:c>
      <x:c r="L21" s="82" t="n">
        <x:v>0.06</x:v>
      </x:c>
      <x:c r="M21" s="80" t="str">
        <x:v>COO</x:v>
      </x:c>
      <x:c r="N21" s="80" t="str">
        <x:f>IF(OR(I21="No",J21="No"),"Yes","No")</x:f>
        <x:v>Yes</x:v>
      </x:c>
      <x:c r="O21" s="80" t="str">
        <x:f>IF(COUNTIFS($C:$C,C21)&lt;5,"Yes","No")</x:f>
        <x:v>No</x:v>
      </x:c>
      <x:c r="P21" s="81" t="n">
        <x:f>IF(K21="Yes",H21*L21,0)</x:f>
        <x:v>0</x:v>
      </x:c>
      <x:c r="Q21" s="80" t="str">
        <x:f>IF(N21="Yes","Maverick / non-preferred",IF(O21="Yes","Tail consolidation",IF(K21="Yes","Category sourcing","Non-addressable")))</x:f>
        <x:v>Maverick / non-preferred</x:v>
      </x:c>
      <x:c r="R21" s="83" t="str">
        <x:f>IF(P21&gt;=10000,"High",IF(P21&gt;=3000,"Medium","Low"))</x:f>
        <x:v>Low</x:v>
      </x:c>
    </x:row>
    <x:row r="22">
      <x:c r="A22" s="78" t="n">
        <x:v>18</x:v>
      </x:c>
      <x:c r="B22" s="79" t="n">
        <x:v>45683</x:v>
      </x:c>
      <x:c r="C22" s="80" t="str">
        <x:v>PartsPlus</x:v>
      </x:c>
      <x:c r="D22" s="80" t="str">
        <x:v>MRO</x:v>
      </x:c>
      <x:c r="E22" s="80" t="str">
        <x:v>Direct</x:v>
      </x:c>
      <x:c r="F22" s="80" t="str">
        <x:v>Dallas</x:v>
      </x:c>
      <x:c r="G22" s="80" t="str">
        <x:v>Distribution</x:v>
      </x:c>
      <x:c r="H22" s="81" t="n">
        <x:v>24460</x:v>
      </x:c>
      <x:c r="I22" s="80" t="str">
        <x:v>Yes</x:v>
      </x:c>
      <x:c r="J22" s="80" t="str">
        <x:v>Yes</x:v>
      </x:c>
      <x:c r="K22" s="80" t="str">
        <x:v>No</x:v>
      </x:c>
      <x:c r="L22" s="82" t="n">
        <x:v>0.06</x:v>
      </x:c>
      <x:c r="M22" s="80" t="str">
        <x:v>COO</x:v>
      </x:c>
      <x:c r="N22" s="80" t="str">
        <x:f>IF(OR(I22="No",J22="No"),"Yes","No")</x:f>
        <x:v>No</x:v>
      </x:c>
      <x:c r="O22" s="80" t="str">
        <x:f>IF(COUNTIFS($C:$C,C22)&lt;5,"Yes","No")</x:f>
        <x:v>No</x:v>
      </x:c>
      <x:c r="P22" s="81" t="n">
        <x:f>IF(K22="Yes",H22*L22,0)</x:f>
        <x:v>0</x:v>
      </x:c>
      <x:c r="Q22" s="80" t="str">
        <x:f>IF(N22="Yes","Maverick / non-preferred",IF(O22="Yes","Tail consolidation",IF(K22="Yes","Category sourcing","Non-addressable")))</x:f>
        <x:v>Non-addressable</x:v>
      </x:c>
      <x:c r="R22" s="83" t="str">
        <x:f>IF(P22&gt;=10000,"High",IF(P22&gt;=3000,"Medium","Low"))</x:f>
        <x:v>Low</x:v>
      </x:c>
    </x:row>
    <x:row r="23">
      <x:c r="A23" s="78" t="n">
        <x:v>19</x:v>
      </x:c>
      <x:c r="B23" s="79" t="n">
        <x:v>45988</x:v>
      </x:c>
      <x:c r="C23" s="80" t="str">
        <x:v>BrandNorth</x:v>
      </x:c>
      <x:c r="D23" s="80" t="str">
        <x:v>Professional Services</x:v>
      </x:c>
      <x:c r="E23" s="80" t="str">
        <x:v>Indirect</x:v>
      </x:c>
      <x:c r="F23" s="80" t="str">
        <x:v>Atlanta</x:v>
      </x:c>
      <x:c r="G23" s="80" t="str">
        <x:v>Distribution</x:v>
      </x:c>
      <x:c r="H23" s="81" t="n">
        <x:v>24400</x:v>
      </x:c>
      <x:c r="I23" s="80" t="str">
        <x:v>No</x:v>
      </x:c>
      <x:c r="J23" s="80" t="str">
        <x:v>No</x:v>
      </x:c>
      <x:c r="K23" s="80" t="str">
        <x:v>No</x:v>
      </x:c>
      <x:c r="L23" s="82" t="n">
        <x:v>0.09</x:v>
      </x:c>
      <x:c r="M23" s="80" t="str">
        <x:v>CFO</x:v>
      </x:c>
      <x:c r="N23" s="80" t="str">
        <x:f>IF(OR(I23="No",J23="No"),"Yes","No")</x:f>
        <x:v>Yes</x:v>
      </x:c>
      <x:c r="O23" s="80" t="str">
        <x:f>IF(COUNTIFS($C:$C,C23)&lt;5,"Yes","No")</x:f>
        <x:v>No</x:v>
      </x:c>
      <x:c r="P23" s="81" t="n">
        <x:f>IF(K23="Yes",H23*L23,0)</x:f>
        <x:v>0</x:v>
      </x:c>
      <x:c r="Q23" s="80" t="str">
        <x:f>IF(N23="Yes","Maverick / non-preferred",IF(O23="Yes","Tail consolidation",IF(K23="Yes","Category sourcing","Non-addressable")))</x:f>
        <x:v>Maverick / non-preferred</x:v>
      </x:c>
      <x:c r="R23" s="83" t="str">
        <x:f>IF(P23&gt;=10000,"High",IF(P23&gt;=3000,"Medium","Low"))</x:f>
        <x:v>Low</x:v>
      </x:c>
    </x:row>
    <x:row r="24">
      <x:c r="A24" s="78" t="n">
        <x:v>20</x:v>
      </x:c>
      <x:c r="B24" s="79" t="n">
        <x:v>45673</x:v>
      </x:c>
      <x:c r="C24" s="80" t="str">
        <x:v>FastLane Carriers</x:v>
      </x:c>
      <x:c r="D24" s="80" t="str">
        <x:v>Freight &amp; Logistics</x:v>
      </x:c>
      <x:c r="E24" s="80" t="str">
        <x:v>Direct</x:v>
      </x:c>
      <x:c r="F24" s="80" t="str">
        <x:v>Dallas</x:v>
      </x:c>
      <x:c r="G24" s="80" t="str">
        <x:v>Corporate</x:v>
      </x:c>
      <x:c r="H24" s="81" t="n">
        <x:v>8890</x:v>
      </x:c>
      <x:c r="I24" s="80" t="str">
        <x:v>No</x:v>
      </x:c>
      <x:c r="J24" s="80" t="str">
        <x:v>No</x:v>
      </x:c>
      <x:c r="K24" s="80" t="str">
        <x:v>Yes</x:v>
      </x:c>
      <x:c r="L24" s="82" t="n">
        <x:v>0.08</x:v>
      </x:c>
      <x:c r="M24" s="80" t="str">
        <x:v>COO</x:v>
      </x:c>
      <x:c r="N24" s="80" t="str">
        <x:f>IF(OR(I24="No",J24="No"),"Yes","No")</x:f>
        <x:v>Yes</x:v>
      </x:c>
      <x:c r="O24" s="80" t="str">
        <x:f>IF(COUNTIFS($C:$C,C24)&lt;5,"Yes","No")</x:f>
        <x:v>No</x:v>
      </x:c>
      <x:c r="P24" s="81" t="n">
        <x:f>IF(K24="Yes",H24*L24,0)</x:f>
        <x:v>711.2</x:v>
      </x:c>
      <x:c r="Q24" s="80" t="str">
        <x:f>IF(N24="Yes","Maverick / non-preferred",IF(O24="Yes","Tail consolidation",IF(K24="Yes","Category sourcing","Non-addressable")))</x:f>
        <x:v>Maverick / non-preferred</x:v>
      </x:c>
      <x:c r="R24" s="83" t="str">
        <x:f>IF(P24&gt;=10000,"High",IF(P24&gt;=3000,"Medium","Low"))</x:f>
        <x:v>Low</x:v>
      </x:c>
    </x:row>
    <x:row r="25">
      <x:c r="A25" s="78" t="n">
        <x:v>21</x:v>
      </x:c>
      <x:c r="B25" s="79" t="n">
        <x:v>45839</x:v>
      </x:c>
      <x:c r="C25" s="80" t="str">
        <x:v>NorthLine Freight</x:v>
      </x:c>
      <x:c r="D25" s="80" t="str">
        <x:v>Freight &amp; Logistics</x:v>
      </x:c>
      <x:c r="E25" s="80" t="str">
        <x:v>Direct</x:v>
      </x:c>
      <x:c r="F25" s="80" t="str">
        <x:v>Phoenix</x:v>
      </x:c>
      <x:c r="G25" s="80" t="str">
        <x:v>Distribution</x:v>
      </x:c>
      <x:c r="H25" s="81" t="n">
        <x:v>24620</x:v>
      </x:c>
      <x:c r="I25" s="80" t="str">
        <x:v>Yes</x:v>
      </x:c>
      <x:c r="J25" s="80" t="str">
        <x:v>Yes</x:v>
      </x:c>
      <x:c r="K25" s="80" t="str">
        <x:v>Yes</x:v>
      </x:c>
      <x:c r="L25" s="82" t="n">
        <x:v>0.08</x:v>
      </x:c>
      <x:c r="M25" s="80" t="str">
        <x:v>COO</x:v>
      </x:c>
      <x:c r="N25" s="80" t="str">
        <x:f>IF(OR(I25="No",J25="No"),"Yes","No")</x:f>
        <x:v>No</x:v>
      </x:c>
      <x:c r="O25" s="80" t="str">
        <x:f>IF(COUNTIFS($C:$C,C25)&lt;5,"Yes","No")</x:f>
        <x:v>No</x:v>
      </x:c>
      <x:c r="P25" s="81" t="n">
        <x:f>IF(K25="Yes",H25*L25,0)</x:f>
        <x:v>1969.6000000000001</x:v>
      </x:c>
      <x:c r="Q25" s="80" t="str">
        <x:f>IF(N25="Yes","Maverick / non-preferred",IF(O25="Yes","Tail consolidation",IF(K25="Yes","Category sourcing","Non-addressable")))</x:f>
        <x:v>Category sourcing</x:v>
      </x:c>
      <x:c r="R25" s="83" t="str">
        <x:f>IF(P25&gt;=10000,"High",IF(P25&gt;=3000,"Medium","Low"))</x:f>
        <x:v>Low</x:v>
      </x:c>
    </x:row>
    <x:row r="26">
      <x:c r="A26" s="78" t="n">
        <x:v>22</x:v>
      </x:c>
      <x:c r="B26" s="79" t="n">
        <x:v>45843</x:v>
      </x:c>
      <x:c r="C26" s="80" t="str">
        <x:v>FastLane Carriers</x:v>
      </x:c>
      <x:c r="D26" s="80" t="str">
        <x:v>Freight &amp; Logistics</x:v>
      </x:c>
      <x:c r="E26" s="80" t="str">
        <x:v>Direct</x:v>
      </x:c>
      <x:c r="F26" s="80" t="str">
        <x:v>Columbus</x:v>
      </x:c>
      <x:c r="G26" s="80" t="str">
        <x:v>Manufacturing</x:v>
      </x:c>
      <x:c r="H26" s="81" t="n">
        <x:v>86450</x:v>
      </x:c>
      <x:c r="I26" s="80" t="str">
        <x:v>No</x:v>
      </x:c>
      <x:c r="J26" s="80" t="str">
        <x:v>No</x:v>
      </x:c>
      <x:c r="K26" s="80" t="str">
        <x:v>Yes</x:v>
      </x:c>
      <x:c r="L26" s="82" t="n">
        <x:v>0.08</x:v>
      </x:c>
      <x:c r="M26" s="80" t="str">
        <x:v>COO</x:v>
      </x:c>
      <x:c r="N26" s="80" t="str">
        <x:f>IF(OR(I26="No",J26="No"),"Yes","No")</x:f>
        <x:v>Yes</x:v>
      </x:c>
      <x:c r="O26" s="80" t="str">
        <x:f>IF(COUNTIFS($C:$C,C26)&lt;5,"Yes","No")</x:f>
        <x:v>No</x:v>
      </x:c>
      <x:c r="P26" s="81" t="n">
        <x:f>IF(K26="Yes",H26*L26,0)</x:f>
        <x:v>6916</x:v>
      </x:c>
      <x:c r="Q26" s="80" t="str">
        <x:f>IF(N26="Yes","Maverick / non-preferred",IF(O26="Yes","Tail consolidation",IF(K26="Yes","Category sourcing","Non-addressable")))</x:f>
        <x:v>Maverick / non-preferred</x:v>
      </x:c>
      <x:c r="R26" s="83" t="str">
        <x:f>IF(P26&gt;=10000,"High",IF(P26&gt;=3000,"Medium","Low"))</x:f>
        <x:v>Medium</x:v>
      </x:c>
    </x:row>
    <x:row r="27">
      <x:c r="A27" s="78" t="n">
        <x:v>23</x:v>
      </x:c>
      <x:c r="B27" s="79" t="n">
        <x:v>45919</x:v>
      </x:c>
      <x:c r="C27" s="80" t="str">
        <x:v>PaperTrail</x:v>
      </x:c>
      <x:c r="D27" s="80" t="str">
        <x:v>Office Supplies</x:v>
      </x:c>
      <x:c r="E27" s="80" t="str">
        <x:v>Indirect</x:v>
      </x:c>
      <x:c r="F27" s="80" t="str">
        <x:v>Dallas</x:v>
      </x:c>
      <x:c r="G27" s="80" t="str">
        <x:v>Corporate</x:v>
      </x:c>
      <x:c r="H27" s="81" t="n">
        <x:v>2490</x:v>
      </x:c>
      <x:c r="I27" s="80" t="str">
        <x:v>No</x:v>
      </x:c>
      <x:c r="J27" s="80" t="str">
        <x:v>No</x:v>
      </x:c>
      <x:c r="K27" s="80" t="str">
        <x:v>Yes</x:v>
      </x:c>
      <x:c r="L27" s="82" t="n">
        <x:v>0.18</x:v>
      </x:c>
      <x:c r="M27" s="80" t="str">
        <x:v>CFO</x:v>
      </x:c>
      <x:c r="N27" s="80" t="str">
        <x:f>IF(OR(I27="No",J27="No"),"Yes","No")</x:f>
        <x:v>Yes</x:v>
      </x:c>
      <x:c r="O27" s="80" t="str">
        <x:f>IF(COUNTIFS($C:$C,C27)&lt;5,"Yes","No")</x:f>
        <x:v>No</x:v>
      </x:c>
      <x:c r="P27" s="81" t="n">
        <x:f>IF(K27="Yes",H27*L27,0)</x:f>
        <x:v>448.2</x:v>
      </x:c>
      <x:c r="Q27" s="80" t="str">
        <x:f>IF(N27="Yes","Maverick / non-preferred",IF(O27="Yes","Tail consolidation",IF(K27="Yes","Category sourcing","Non-addressable")))</x:f>
        <x:v>Maverick / non-preferred</x:v>
      </x:c>
      <x:c r="R27" s="83" t="str">
        <x:f>IF(P27&gt;=10000,"High",IF(P27&gt;=3000,"Medium","Low"))</x:f>
        <x:v>Low</x:v>
      </x:c>
    </x:row>
    <x:row r="28">
      <x:c r="A28" s="78" t="n">
        <x:v>24</x:v>
      </x:c>
      <x:c r="B28" s="79" t="n">
        <x:v>45697</x:v>
      </x:c>
      <x:c r="C28" s="80" t="str">
        <x:v>ShiftPro</x:v>
      </x:c>
      <x:c r="D28" s="80" t="str">
        <x:v>Temp Labor</x:v>
      </x:c>
      <x:c r="E28" s="80" t="str">
        <x:v>Indirect</x:v>
      </x:c>
      <x:c r="F28" s="80" t="str">
        <x:v>Columbus</x:v>
      </x:c>
      <x:c r="G28" s="80" t="str">
        <x:v>Distribution</x:v>
      </x:c>
      <x:c r="H28" s="81" t="n">
        <x:v>17970</x:v>
      </x:c>
      <x:c r="I28" s="80" t="str">
        <x:v>No</x:v>
      </x:c>
      <x:c r="J28" s="80" t="str">
        <x:v>No</x:v>
      </x:c>
      <x:c r="K28" s="80" t="str">
        <x:v>No</x:v>
      </x:c>
      <x:c r="L28" s="82" t="n">
        <x:v>0.07</x:v>
      </x:c>
      <x:c r="M28" s="80" t="str">
        <x:v>CHRO</x:v>
      </x:c>
      <x:c r="N28" s="80" t="str">
        <x:f>IF(OR(I28="No",J28="No"),"Yes","No")</x:f>
        <x:v>Yes</x:v>
      </x:c>
      <x:c r="O28" s="80" t="str">
        <x:f>IF(COUNTIFS($C:$C,C28)&lt;5,"Yes","No")</x:f>
        <x:v>No</x:v>
      </x:c>
      <x:c r="P28" s="81" t="n">
        <x:f>IF(K28="Yes",H28*L28,0)</x:f>
        <x:v>0</x:v>
      </x:c>
      <x:c r="Q28" s="80" t="str">
        <x:f>IF(N28="Yes","Maverick / non-preferred",IF(O28="Yes","Tail consolidation",IF(K28="Yes","Category sourcing","Non-addressable")))</x:f>
        <x:v>Maverick / non-preferred</x:v>
      </x:c>
      <x:c r="R28" s="83" t="str">
        <x:f>IF(P28&gt;=10000,"High",IF(P28&gt;=3000,"Medium","Low"))</x:f>
        <x:v>Low</x:v>
      </x:c>
    </x:row>
    <x:row r="29">
      <x:c r="A29" s="78" t="n">
        <x:v>25</x:v>
      </x:c>
      <x:c r="B29" s="79" t="n">
        <x:v>45778</x:v>
      </x:c>
      <x:c r="C29" s="80" t="str">
        <x:v>OfficeDirect</x:v>
      </x:c>
      <x:c r="D29" s="80" t="str">
        <x:v>Office Supplies</x:v>
      </x:c>
      <x:c r="E29" s="80" t="str">
        <x:v>Indirect</x:v>
      </x:c>
      <x:c r="F29" s="80" t="str">
        <x:v>Dallas</x:v>
      </x:c>
      <x:c r="G29" s="80" t="str">
        <x:v>Manufacturing</x:v>
      </x:c>
      <x:c r="H29" s="81" t="n">
        <x:v>1380</x:v>
      </x:c>
      <x:c r="I29" s="80" t="str">
        <x:v>Yes</x:v>
      </x:c>
      <x:c r="J29" s="80" t="str">
        <x:v>No</x:v>
      </x:c>
      <x:c r="K29" s="80" t="str">
        <x:v>Yes</x:v>
      </x:c>
      <x:c r="L29" s="82" t="n">
        <x:v>0.18</x:v>
      </x:c>
      <x:c r="M29" s="80" t="str">
        <x:v>CFO</x:v>
      </x:c>
      <x:c r="N29" s="80" t="str">
        <x:f>IF(OR(I29="No",J29="No"),"Yes","No")</x:f>
        <x:v>Yes</x:v>
      </x:c>
      <x:c r="O29" s="80" t="str">
        <x:f>IF(COUNTIFS($C:$C,C29)&lt;5,"Yes","No")</x:f>
        <x:v>Yes</x:v>
      </x:c>
      <x:c r="P29" s="81" t="n">
        <x:f>IF(K29="Yes",H29*L29,0)</x:f>
        <x:v>248.39999999999998</x:v>
      </x:c>
      <x:c r="Q29" s="80" t="str">
        <x:f>IF(N29="Yes","Maverick / non-preferred",IF(O29="Yes","Tail consolidation",IF(K29="Yes","Category sourcing","Non-addressable")))</x:f>
        <x:v>Maverick / non-preferred</x:v>
      </x:c>
      <x:c r="R29" s="83" t="str">
        <x:f>IF(P29&gt;=10000,"High",IF(P29&gt;=3000,"Medium","Low"))</x:f>
        <x:v>Low</x:v>
      </x:c>
    </x:row>
    <x:row r="30">
      <x:c r="A30" s="78" t="n">
        <x:v>26</x:v>
      </x:c>
      <x:c r="B30" s="79" t="n">
        <x:v>45927</x:v>
      </x:c>
      <x:c r="C30" s="80" t="str">
        <x:v>OfficeDirect</x:v>
      </x:c>
      <x:c r="D30" s="80" t="str">
        <x:v>Office Supplies</x:v>
      </x:c>
      <x:c r="E30" s="80" t="str">
        <x:v>Indirect</x:v>
      </x:c>
      <x:c r="F30" s="80" t="str">
        <x:v>Dallas</x:v>
      </x:c>
      <x:c r="G30" s="80" t="str">
        <x:v>Corporate</x:v>
      </x:c>
      <x:c r="H30" s="81" t="n">
        <x:v>11260</x:v>
      </x:c>
      <x:c r="I30" s="80" t="str">
        <x:v>No</x:v>
      </x:c>
      <x:c r="J30" s="80" t="str">
        <x:v>No</x:v>
      </x:c>
      <x:c r="K30" s="80" t="str">
        <x:v>Yes</x:v>
      </x:c>
      <x:c r="L30" s="82" t="n">
        <x:v>0.18</x:v>
      </x:c>
      <x:c r="M30" s="80" t="str">
        <x:v>CFO</x:v>
      </x:c>
      <x:c r="N30" s="80" t="str">
        <x:f>IF(OR(I30="No",J30="No"),"Yes","No")</x:f>
        <x:v>Yes</x:v>
      </x:c>
      <x:c r="O30" s="80" t="str">
        <x:f>IF(COUNTIFS($C:$C,C30)&lt;5,"Yes","No")</x:f>
        <x:v>Yes</x:v>
      </x:c>
      <x:c r="P30" s="81" t="n">
        <x:f>IF(K30="Yes",H30*L30,0)</x:f>
        <x:v>2026.8</x:v>
      </x:c>
      <x:c r="Q30" s="80" t="str">
        <x:f>IF(N30="Yes","Maverick / non-preferred",IF(O30="Yes","Tail consolidation",IF(K30="Yes","Category sourcing","Non-addressable")))</x:f>
        <x:v>Maverick / non-preferred</x:v>
      </x:c>
      <x:c r="R30" s="83" t="str">
        <x:f>IF(P30&gt;=10000,"High",IF(P30&gt;=3000,"Medium","Low"))</x:f>
        <x:v>Low</x:v>
      </x:c>
    </x:row>
    <x:row r="31">
      <x:c r="A31" s="78" t="n">
        <x:v>27</x:v>
      </x:c>
      <x:c r="B31" s="79" t="n">
        <x:v>45818</x:v>
      </x:c>
      <x:c r="C31" s="80" t="str">
        <x:v>ShipMax</x:v>
      </x:c>
      <x:c r="D31" s="80" t="str">
        <x:v>Freight &amp; Logistics</x:v>
      </x:c>
      <x:c r="E31" s="80" t="str">
        <x:v>Direct</x:v>
      </x:c>
      <x:c r="F31" s="80" t="str">
        <x:v>Columbus</x:v>
      </x:c>
      <x:c r="G31" s="80" t="str">
        <x:v>Manufacturing</x:v>
      </x:c>
      <x:c r="H31" s="81" t="n">
        <x:v>12140</x:v>
      </x:c>
      <x:c r="I31" s="80" t="str">
        <x:v>No</x:v>
      </x:c>
      <x:c r="J31" s="80" t="str">
        <x:v>Yes</x:v>
      </x:c>
      <x:c r="K31" s="80" t="str">
        <x:v>Yes</x:v>
      </x:c>
      <x:c r="L31" s="82" t="n">
        <x:v>0.08</x:v>
      </x:c>
      <x:c r="M31" s="80" t="str">
        <x:v>COO</x:v>
      </x:c>
      <x:c r="N31" s="80" t="str">
        <x:f>IF(OR(I31="No",J31="No"),"Yes","No")</x:f>
        <x:v>Yes</x:v>
      </x:c>
      <x:c r="O31" s="80" t="str">
        <x:f>IF(COUNTIFS($C:$C,C31)&lt;5,"Yes","No")</x:f>
        <x:v>No</x:v>
      </x:c>
      <x:c r="P31" s="81" t="n">
        <x:f>IF(K31="Yes",H31*L31,0)</x:f>
        <x:v>971.2</x:v>
      </x:c>
      <x:c r="Q31" s="80" t="str">
        <x:f>IF(N31="Yes","Maverick / non-preferred",IF(O31="Yes","Tail consolidation",IF(K31="Yes","Category sourcing","Non-addressable")))</x:f>
        <x:v>Maverick / non-preferred</x:v>
      </x:c>
      <x:c r="R31" s="83" t="str">
        <x:f>IF(P31&gt;=10000,"High",IF(P31&gt;=3000,"Medium","Low"))</x:f>
        <x:v>Low</x:v>
      </x:c>
    </x:row>
    <x:row r="32">
      <x:c r="A32" s="78" t="n">
        <x:v>28</x:v>
      </x:c>
      <x:c r="B32" s="79" t="n">
        <x:v>45684</x:v>
      </x:c>
      <x:c r="C32" s="80" t="str">
        <x:v>RepairMax</x:v>
      </x:c>
      <x:c r="D32" s="80" t="str">
        <x:v>MRO</x:v>
      </x:c>
      <x:c r="E32" s="80" t="str">
        <x:v>Direct</x:v>
      </x:c>
      <x:c r="F32" s="80" t="str">
        <x:v>Columbus</x:v>
      </x:c>
      <x:c r="G32" s="80" t="str">
        <x:v>Corporate</x:v>
      </x:c>
      <x:c r="H32" s="81" t="n">
        <x:v>4930</x:v>
      </x:c>
      <x:c r="I32" s="80" t="str">
        <x:v>No</x:v>
      </x:c>
      <x:c r="J32" s="80" t="str">
        <x:v>No</x:v>
      </x:c>
      <x:c r="K32" s="80" t="str">
        <x:v>No</x:v>
      </x:c>
      <x:c r="L32" s="82" t="n">
        <x:v>0.06</x:v>
      </x:c>
      <x:c r="M32" s="80" t="str">
        <x:v>COO</x:v>
      </x:c>
      <x:c r="N32" s="80" t="str">
        <x:f>IF(OR(I32="No",J32="No"),"Yes","No")</x:f>
        <x:v>Yes</x:v>
      </x:c>
      <x:c r="O32" s="80" t="str">
        <x:f>IF(COUNTIFS($C:$C,C32)&lt;5,"Yes","No")</x:f>
        <x:v>Yes</x:v>
      </x:c>
      <x:c r="P32" s="81" t="n">
        <x:f>IF(K32="Yes",H32*L32,0)</x:f>
        <x:v>0</x:v>
      </x:c>
      <x:c r="Q32" s="80" t="str">
        <x:f>IF(N32="Yes","Maverick / non-preferred",IF(O32="Yes","Tail consolidation",IF(K32="Yes","Category sourcing","Non-addressable")))</x:f>
        <x:v>Maverick / non-preferred</x:v>
      </x:c>
      <x:c r="R32" s="83" t="str">
        <x:f>IF(P32&gt;=10000,"High",IF(P32&gt;=3000,"Medium","Low"))</x:f>
        <x:v>Low</x:v>
      </x:c>
    </x:row>
    <x:row r="33">
      <x:c r="A33" s="78" t="n">
        <x:v>29</x:v>
      </x:c>
      <x:c r="B33" s="79" t="n">
        <x:v>45819</x:v>
      </x:c>
      <x:c r="C33" s="80" t="str">
        <x:v>PaperTrail</x:v>
      </x:c>
      <x:c r="D33" s="80" t="str">
        <x:v>Office Supplies</x:v>
      </x:c>
      <x:c r="E33" s="80" t="str">
        <x:v>Indirect</x:v>
      </x:c>
      <x:c r="F33" s="80" t="str">
        <x:v>Atlanta</x:v>
      </x:c>
      <x:c r="G33" s="80" t="str">
        <x:v>Manufacturing</x:v>
      </x:c>
      <x:c r="H33" s="81" t="n">
        <x:v>2450</x:v>
      </x:c>
      <x:c r="I33" s="80" t="str">
        <x:v>No</x:v>
      </x:c>
      <x:c r="J33" s="80" t="str">
        <x:v>No</x:v>
      </x:c>
      <x:c r="K33" s="80" t="str">
        <x:v>Yes</x:v>
      </x:c>
      <x:c r="L33" s="82" t="n">
        <x:v>0.18</x:v>
      </x:c>
      <x:c r="M33" s="80" t="str">
        <x:v>CFO</x:v>
      </x:c>
      <x:c r="N33" s="80" t="str">
        <x:f>IF(OR(I33="No",J33="No"),"Yes","No")</x:f>
        <x:v>Yes</x:v>
      </x:c>
      <x:c r="O33" s="80" t="str">
        <x:f>IF(COUNTIFS($C:$C,C33)&lt;5,"Yes","No")</x:f>
        <x:v>No</x:v>
      </x:c>
      <x:c r="P33" s="81" t="n">
        <x:f>IF(K33="Yes",H33*L33,0)</x:f>
        <x:v>441</x:v>
      </x:c>
      <x:c r="Q33" s="80" t="str">
        <x:f>IF(N33="Yes","Maverick / non-preferred",IF(O33="Yes","Tail consolidation",IF(K33="Yes","Category sourcing","Non-addressable")))</x:f>
        <x:v>Maverick / non-preferred</x:v>
      </x:c>
      <x:c r="R33" s="83" t="str">
        <x:f>IF(P33&gt;=10000,"High",IF(P33&gt;=3000,"Medium","Low"))</x:f>
        <x:v>Low</x:v>
      </x:c>
    </x:row>
    <x:row r="34">
      <x:c r="A34" s="78" t="n">
        <x:v>30</x:v>
      </x:c>
      <x:c r="B34" s="79" t="n">
        <x:v>45729</x:v>
      </x:c>
      <x:c r="C34" s="80" t="str">
        <x:v>RoadPro Logistics</x:v>
      </x:c>
      <x:c r="D34" s="80" t="str">
        <x:v>Freight &amp; Logistics</x:v>
      </x:c>
      <x:c r="E34" s="80" t="str">
        <x:v>Direct</x:v>
      </x:c>
      <x:c r="F34" s="80" t="str">
        <x:v>Chicago</x:v>
      </x:c>
      <x:c r="G34" s="80" t="str">
        <x:v>Manufacturing</x:v>
      </x:c>
      <x:c r="H34" s="81" t="n">
        <x:v>17720</x:v>
      </x:c>
      <x:c r="I34" s="80" t="str">
        <x:v>No</x:v>
      </x:c>
      <x:c r="J34" s="80" t="str">
        <x:v>No</x:v>
      </x:c>
      <x:c r="K34" s="80" t="str">
        <x:v>Yes</x:v>
      </x:c>
      <x:c r="L34" s="82" t="n">
        <x:v>0.08</x:v>
      </x:c>
      <x:c r="M34" s="80" t="str">
        <x:v>COO</x:v>
      </x:c>
      <x:c r="N34" s="80" t="str">
        <x:f>IF(OR(I34="No",J34="No"),"Yes","No")</x:f>
        <x:v>Yes</x:v>
      </x:c>
      <x:c r="O34" s="80" t="str">
        <x:f>IF(COUNTIFS($C:$C,C34)&lt;5,"Yes","No")</x:f>
        <x:v>No</x:v>
      </x:c>
      <x:c r="P34" s="81" t="n">
        <x:f>IF(K34="Yes",H34*L34,0)</x:f>
        <x:v>1417.6000000000001</x:v>
      </x:c>
      <x:c r="Q34" s="80" t="str">
        <x:f>IF(N34="Yes","Maverick / non-preferred",IF(O34="Yes","Tail consolidation",IF(K34="Yes","Category sourcing","Non-addressable")))</x:f>
        <x:v>Maverick / non-preferred</x:v>
      </x:c>
      <x:c r="R34" s="83" t="str">
        <x:f>IF(P34&gt;=10000,"High",IF(P34&gt;=3000,"Medium","Low"))</x:f>
        <x:v>Low</x:v>
      </x:c>
    </x:row>
    <x:row r="35">
      <x:c r="A35" s="78" t="n">
        <x:v>31</x:v>
      </x:c>
      <x:c r="B35" s="79" t="n">
        <x:v>45801</x:v>
      </x:c>
      <x:c r="C35" s="80" t="str">
        <x:v>FiberOne</x:v>
      </x:c>
      <x:c r="D35" s="80" t="str">
        <x:v>Telecom</x:v>
      </x:c>
      <x:c r="E35" s="80" t="str">
        <x:v>Indirect</x:v>
      </x:c>
      <x:c r="F35" s="80" t="str">
        <x:v>Columbus</x:v>
      </x:c>
      <x:c r="G35" s="80" t="str">
        <x:v>Distribution</x:v>
      </x:c>
      <x:c r="H35" s="81" t="n">
        <x:v>4230</x:v>
      </x:c>
      <x:c r="I35" s="80" t="str">
        <x:v>No</x:v>
      </x:c>
      <x:c r="J35" s="80" t="str">
        <x:v>No</x:v>
      </x:c>
      <x:c r="K35" s="80" t="str">
        <x:v>Yes</x:v>
      </x:c>
      <x:c r="L35" s="82" t="n">
        <x:v>0.15</x:v>
      </x:c>
      <x:c r="M35" s="80" t="str">
        <x:v>CIO</x:v>
      </x:c>
      <x:c r="N35" s="80" t="str">
        <x:f>IF(OR(I35="No",J35="No"),"Yes","No")</x:f>
        <x:v>Yes</x:v>
      </x:c>
      <x:c r="O35" s="80" t="str">
        <x:f>IF(COUNTIFS($C:$C,C35)&lt;5,"Yes","No")</x:f>
        <x:v>No</x:v>
      </x:c>
      <x:c r="P35" s="81" t="n">
        <x:f>IF(K35="Yes",H35*L35,0)</x:f>
        <x:v>634.5</x:v>
      </x:c>
      <x:c r="Q35" s="80" t="str">
        <x:f>IF(N35="Yes","Maverick / non-preferred",IF(O35="Yes","Tail consolidation",IF(K35="Yes","Category sourcing","Non-addressable")))</x:f>
        <x:v>Maverick / non-preferred</x:v>
      </x:c>
      <x:c r="R35" s="83" t="str">
        <x:f>IF(P35&gt;=10000,"High",IF(P35&gt;=3000,"Medium","Low"))</x:f>
        <x:v>Low</x:v>
      </x:c>
    </x:row>
    <x:row r="36">
      <x:c r="A36" s="78" t="n">
        <x:v>32</x:v>
      </x:c>
      <x:c r="B36" s="79" t="n">
        <x:v>45885</x:v>
      </x:c>
      <x:c r="C36" s="80" t="str">
        <x:v>CloudSuite</x:v>
      </x:c>
      <x:c r="D36" s="80" t="str">
        <x:v>IT Software</x:v>
      </x:c>
      <x:c r="E36" s="80" t="str">
        <x:v>Indirect</x:v>
      </x:c>
      <x:c r="F36" s="80" t="str">
        <x:v>Dallas</x:v>
      </x:c>
      <x:c r="G36" s="80" t="str">
        <x:v>Distribution</x:v>
      </x:c>
      <x:c r="H36" s="81" t="n">
        <x:v>24880</x:v>
      </x:c>
      <x:c r="I36" s="80" t="str">
        <x:v>Yes</x:v>
      </x:c>
      <x:c r="J36" s="80" t="str">
        <x:v>Yes</x:v>
      </x:c>
      <x:c r="K36" s="80" t="str">
        <x:v>Yes</x:v>
      </x:c>
      <x:c r="L36" s="82" t="n">
        <x:v>0.12</x:v>
      </x:c>
      <x:c r="M36" s="80" t="str">
        <x:v>CIO</x:v>
      </x:c>
      <x:c r="N36" s="80" t="str">
        <x:f>IF(OR(I36="No",J36="No"),"Yes","No")</x:f>
        <x:v>No</x:v>
      </x:c>
      <x:c r="O36" s="80" t="str">
        <x:f>IF(COUNTIFS($C:$C,C36)&lt;5,"Yes","No")</x:f>
        <x:v>No</x:v>
      </x:c>
      <x:c r="P36" s="81" t="n">
        <x:f>IF(K36="Yes",H36*L36,0)</x:f>
        <x:v>2985.6</x:v>
      </x:c>
      <x:c r="Q36" s="80" t="str">
        <x:f>IF(N36="Yes","Maverick / non-preferred",IF(O36="Yes","Tail consolidation",IF(K36="Yes","Category sourcing","Non-addressable")))</x:f>
        <x:v>Category sourcing</x:v>
      </x:c>
      <x:c r="R36" s="83" t="str">
        <x:f>IF(P36&gt;=10000,"High",IF(P36&gt;=3000,"Medium","Low"))</x:f>
        <x:v>Low</x:v>
      </x:c>
    </x:row>
    <x:row r="37">
      <x:c r="A37" s="78" t="n">
        <x:v>33</x:v>
      </x:c>
      <x:c r="B37" s="79" t="n">
        <x:v>45850</x:v>
      </x:c>
      <x:c r="C37" s="80" t="str">
        <x:v>DataGrid</x:v>
      </x:c>
      <x:c r="D37" s="80" t="str">
        <x:v>IT Software</x:v>
      </x:c>
      <x:c r="E37" s="80" t="str">
        <x:v>Indirect</x:v>
      </x:c>
      <x:c r="F37" s="80" t="str">
        <x:v>Chicago</x:v>
      </x:c>
      <x:c r="G37" s="80" t="str">
        <x:v>Field Operations</x:v>
      </x:c>
      <x:c r="H37" s="81" t="n">
        <x:v>9180</x:v>
      </x:c>
      <x:c r="I37" s="80" t="str">
        <x:v>Yes</x:v>
      </x:c>
      <x:c r="J37" s="80" t="str">
        <x:v>No</x:v>
      </x:c>
      <x:c r="K37" s="80" t="str">
        <x:v>Yes</x:v>
      </x:c>
      <x:c r="L37" s="82" t="n">
        <x:v>0.12</x:v>
      </x:c>
      <x:c r="M37" s="80" t="str">
        <x:v>CIO</x:v>
      </x:c>
      <x:c r="N37" s="80" t="str">
        <x:f>IF(OR(I37="No",J37="No"),"Yes","No")</x:f>
        <x:v>Yes</x:v>
      </x:c>
      <x:c r="O37" s="80" t="str">
        <x:f>IF(COUNTIFS($C:$C,C37)&lt;5,"Yes","No")</x:f>
        <x:v>No</x:v>
      </x:c>
      <x:c r="P37" s="81" t="n">
        <x:f>IF(K37="Yes",H37*L37,0)</x:f>
        <x:v>1101.6</x:v>
      </x:c>
      <x:c r="Q37" s="80" t="str">
        <x:f>IF(N37="Yes","Maverick / non-preferred",IF(O37="Yes","Tail consolidation",IF(K37="Yes","Category sourcing","Non-addressable")))</x:f>
        <x:v>Maverick / non-preferred</x:v>
      </x:c>
      <x:c r="R37" s="83" t="str">
        <x:f>IF(P37&gt;=10000,"High",IF(P37&gt;=3000,"Medium","Low"))</x:f>
        <x:v>Low</x:v>
      </x:c>
    </x:row>
    <x:row r="38">
      <x:c r="A38" s="78" t="n">
        <x:v>34</x:v>
      </x:c>
      <x:c r="B38" s="79" t="n">
        <x:v>45892</x:v>
      </x:c>
      <x:c r="C38" s="80" t="str">
        <x:v>SafeSite</x:v>
      </x:c>
      <x:c r="D38" s="80" t="str">
        <x:v>Facilities</x:v>
      </x:c>
      <x:c r="E38" s="80" t="str">
        <x:v>Indirect</x:v>
      </x:c>
      <x:c r="F38" s="80" t="str">
        <x:v>Phoenix</x:v>
      </x:c>
      <x:c r="G38" s="80" t="str">
        <x:v>Distribution</x:v>
      </x:c>
      <x:c r="H38" s="81" t="n">
        <x:v>28730</x:v>
      </x:c>
      <x:c r="I38" s="80" t="str">
        <x:v>No</x:v>
      </x:c>
      <x:c r="J38" s="80" t="str">
        <x:v>No</x:v>
      </x:c>
      <x:c r="K38" s="80" t="str">
        <x:v>Yes</x:v>
      </x:c>
      <x:c r="L38" s="82" t="n">
        <x:v>0.1</x:v>
      </x:c>
      <x:c r="M38" s="80" t="str">
        <x:v>COO</x:v>
      </x:c>
      <x:c r="N38" s="80" t="str">
        <x:f>IF(OR(I38="No",J38="No"),"Yes","No")</x:f>
        <x:v>Yes</x:v>
      </x:c>
      <x:c r="O38" s="80" t="str">
        <x:f>IF(COUNTIFS($C:$C,C38)&lt;5,"Yes","No")</x:f>
        <x:v>No</x:v>
      </x:c>
      <x:c r="P38" s="81" t="n">
        <x:f>IF(K38="Yes",H38*L38,0)</x:f>
        <x:v>2873</x:v>
      </x:c>
      <x:c r="Q38" s="80" t="str">
        <x:f>IF(N38="Yes","Maverick / non-preferred",IF(O38="Yes","Tail consolidation",IF(K38="Yes","Category sourcing","Non-addressable")))</x:f>
        <x:v>Maverick / non-preferred</x:v>
      </x:c>
      <x:c r="R38" s="83" t="str">
        <x:f>IF(P38&gt;=10000,"High",IF(P38&gt;=3000,"Medium","Low"))</x:f>
        <x:v>Low</x:v>
      </x:c>
    </x:row>
    <x:row r="39">
      <x:c r="A39" s="78" t="n">
        <x:v>35</x:v>
      </x:c>
      <x:c r="B39" s="79" t="n">
        <x:v>45842</x:v>
      </x:c>
      <x:c r="C39" s="80" t="str">
        <x:v>SupplyHub</x:v>
      </x:c>
      <x:c r="D39" s="80" t="str">
        <x:v>Office Supplies</x:v>
      </x:c>
      <x:c r="E39" s="80" t="str">
        <x:v>Indirect</x:v>
      </x:c>
      <x:c r="F39" s="80" t="str">
        <x:v>Phoenix</x:v>
      </x:c>
      <x:c r="G39" s="80" t="str">
        <x:v>Field Operations</x:v>
      </x:c>
      <x:c r="H39" s="81" t="n">
        <x:v>11660</x:v>
      </x:c>
      <x:c r="I39" s="80" t="str">
        <x:v>Yes</x:v>
      </x:c>
      <x:c r="J39" s="80" t="str">
        <x:v>Yes</x:v>
      </x:c>
      <x:c r="K39" s="80" t="str">
        <x:v>Yes</x:v>
      </x:c>
      <x:c r="L39" s="82" t="n">
        <x:v>0.18</x:v>
      </x:c>
      <x:c r="M39" s="80" t="str">
        <x:v>CFO</x:v>
      </x:c>
      <x:c r="N39" s="80" t="str">
        <x:f>IF(OR(I39="No",J39="No"),"Yes","No")</x:f>
        <x:v>No</x:v>
      </x:c>
      <x:c r="O39" s="80" t="str">
        <x:f>IF(COUNTIFS($C:$C,C39)&lt;5,"Yes","No")</x:f>
        <x:v>No</x:v>
      </x:c>
      <x:c r="P39" s="81" t="n">
        <x:f>IF(K39="Yes",H39*L39,0)</x:f>
        <x:v>2098.7999999999997</x:v>
      </x:c>
      <x:c r="Q39" s="80" t="str">
        <x:f>IF(N39="Yes","Maverick / non-preferred",IF(O39="Yes","Tail consolidation",IF(K39="Yes","Category sourcing","Non-addressable")))</x:f>
        <x:v>Category sourcing</x:v>
      </x:c>
      <x:c r="R39" s="83" t="str">
        <x:f>IF(P39&gt;=10000,"High",IF(P39&gt;=3000,"Medium","Low"))</x:f>
        <x:v>Low</x:v>
      </x:c>
    </x:row>
    <x:row r="40">
      <x:c r="A40" s="78" t="n">
        <x:v>36</x:v>
      </x:c>
      <x:c r="B40" s="79" t="n">
        <x:v>45983</x:v>
      </x:c>
      <x:c r="C40" s="80" t="str">
        <x:v>ShipMax</x:v>
      </x:c>
      <x:c r="D40" s="80" t="str">
        <x:v>Freight &amp; Logistics</x:v>
      </x:c>
      <x:c r="E40" s="80" t="str">
        <x:v>Direct</x:v>
      </x:c>
      <x:c r="F40" s="80" t="str">
        <x:v>Chicago</x:v>
      </x:c>
      <x:c r="G40" s="80" t="str">
        <x:v>Distribution</x:v>
      </x:c>
      <x:c r="H40" s="81" t="n">
        <x:v>8110</x:v>
      </x:c>
      <x:c r="I40" s="80" t="str">
        <x:v>Yes</x:v>
      </x:c>
      <x:c r="J40" s="80" t="str">
        <x:v>Yes</x:v>
      </x:c>
      <x:c r="K40" s="80" t="str">
        <x:v>Yes</x:v>
      </x:c>
      <x:c r="L40" s="82" t="n">
        <x:v>0.08</x:v>
      </x:c>
      <x:c r="M40" s="80" t="str">
        <x:v>COO</x:v>
      </x:c>
      <x:c r="N40" s="80" t="str">
        <x:f>IF(OR(I40="No",J40="No"),"Yes","No")</x:f>
        <x:v>No</x:v>
      </x:c>
      <x:c r="O40" s="80" t="str">
        <x:f>IF(COUNTIFS($C:$C,C40)&lt;5,"Yes","No")</x:f>
        <x:v>No</x:v>
      </x:c>
      <x:c r="P40" s="81" t="n">
        <x:f>IF(K40="Yes",H40*L40,0)</x:f>
        <x:v>648.8000000000001</x:v>
      </x:c>
      <x:c r="Q40" s="80" t="str">
        <x:f>IF(N40="Yes","Maverick / non-preferred",IF(O40="Yes","Tail consolidation",IF(K40="Yes","Category sourcing","Non-addressable")))</x:f>
        <x:v>Category sourcing</x:v>
      </x:c>
      <x:c r="R40" s="83" t="str">
        <x:f>IF(P40&gt;=10000,"High",IF(P40&gt;=3000,"Medium","Low"))</x:f>
        <x:v>Low</x:v>
      </x:c>
    </x:row>
    <x:row r="41">
      <x:c r="A41" s="78" t="n">
        <x:v>37</x:v>
      </x:c>
      <x:c r="B41" s="79" t="n">
        <x:v>45759</x:v>
      </x:c>
      <x:c r="C41" s="80" t="str">
        <x:v>PackRight</x:v>
      </x:c>
      <x:c r="D41" s="80" t="str">
        <x:v>Packaging</x:v>
      </x:c>
      <x:c r="E41" s="80" t="str">
        <x:v>Direct</x:v>
      </x:c>
      <x:c r="F41" s="80" t="str">
        <x:v>Dallas</x:v>
      </x:c>
      <x:c r="G41" s="80" t="str">
        <x:v>Corporate</x:v>
      </x:c>
      <x:c r="H41" s="81" t="n">
        <x:v>16860</x:v>
      </x:c>
      <x:c r="I41" s="80" t="str">
        <x:v>No</x:v>
      </x:c>
      <x:c r="J41" s="80" t="str">
        <x:v>Yes</x:v>
      </x:c>
      <x:c r="K41" s="80" t="str">
        <x:v>Yes</x:v>
      </x:c>
      <x:c r="L41" s="82" t="n">
        <x:v>0.06</x:v>
      </x:c>
      <x:c r="M41" s="80" t="str">
        <x:v>COO</x:v>
      </x:c>
      <x:c r="N41" s="80" t="str">
        <x:f>IF(OR(I41="No",J41="No"),"Yes","No")</x:f>
        <x:v>Yes</x:v>
      </x:c>
      <x:c r="O41" s="80" t="str">
        <x:f>IF(COUNTIFS($C:$C,C41)&lt;5,"Yes","No")</x:f>
        <x:v>Yes</x:v>
      </x:c>
      <x:c r="P41" s="81" t="n">
        <x:f>IF(K41="Yes",H41*L41,0)</x:f>
        <x:v>1011.5999999999999</x:v>
      </x:c>
      <x:c r="Q41" s="80" t="str">
        <x:f>IF(N41="Yes","Maverick / non-preferred",IF(O41="Yes","Tail consolidation",IF(K41="Yes","Category sourcing","Non-addressable")))</x:f>
        <x:v>Maverick / non-preferred</x:v>
      </x:c>
      <x:c r="R41" s="83" t="str">
        <x:f>IF(P41&gt;=10000,"High",IF(P41&gt;=3000,"Medium","Low"))</x:f>
        <x:v>Low</x:v>
      </x:c>
    </x:row>
    <x:row r="42">
      <x:c r="A42" s="78" t="n">
        <x:v>38</x:v>
      </x:c>
      <x:c r="B42" s="79" t="n">
        <x:v>45889</x:v>
      </x:c>
      <x:c r="C42" s="80" t="str">
        <x:v>BrandNorth</x:v>
      </x:c>
      <x:c r="D42" s="80" t="str">
        <x:v>Professional Services</x:v>
      </x:c>
      <x:c r="E42" s="80" t="str">
        <x:v>Indirect</x:v>
      </x:c>
      <x:c r="F42" s="80" t="str">
        <x:v>Columbus</x:v>
      </x:c>
      <x:c r="G42" s="80" t="str">
        <x:v>Distribution</x:v>
      </x:c>
      <x:c r="H42" s="81" t="n">
        <x:v>63980</x:v>
      </x:c>
      <x:c r="I42" s="80" t="str">
        <x:v>No</x:v>
      </x:c>
      <x:c r="J42" s="80" t="str">
        <x:v>No</x:v>
      </x:c>
      <x:c r="K42" s="80" t="str">
        <x:v>No</x:v>
      </x:c>
      <x:c r="L42" s="82" t="n">
        <x:v>0.09</x:v>
      </x:c>
      <x:c r="M42" s="80" t="str">
        <x:v>CFO</x:v>
      </x:c>
      <x:c r="N42" s="80" t="str">
        <x:f>IF(OR(I42="No",J42="No"),"Yes","No")</x:f>
        <x:v>Yes</x:v>
      </x:c>
      <x:c r="O42" s="80" t="str">
        <x:f>IF(COUNTIFS($C:$C,C42)&lt;5,"Yes","No")</x:f>
        <x:v>No</x:v>
      </x:c>
      <x:c r="P42" s="81" t="n">
        <x:f>IF(K42="Yes",H42*L42,0)</x:f>
        <x:v>0</x:v>
      </x:c>
      <x:c r="Q42" s="80" t="str">
        <x:f>IF(N42="Yes","Maverick / non-preferred",IF(O42="Yes","Tail consolidation",IF(K42="Yes","Category sourcing","Non-addressable")))</x:f>
        <x:v>Maverick / non-preferred</x:v>
      </x:c>
      <x:c r="R42" s="83" t="str">
        <x:f>IF(P42&gt;=10000,"High",IF(P42&gt;=3000,"Medium","Low"))</x:f>
        <x:v>Low</x:v>
      </x:c>
    </x:row>
    <x:row r="43">
      <x:c r="A43" s="78" t="n">
        <x:v>39</x:v>
      </x:c>
      <x:c r="B43" s="79" t="n">
        <x:v>46007</x:v>
      </x:c>
      <x:c r="C43" s="80" t="str">
        <x:v>TaxBridge</x:v>
      </x:c>
      <x:c r="D43" s="80" t="str">
        <x:v>Professional Services</x:v>
      </x:c>
      <x:c r="E43" s="80" t="str">
        <x:v>Indirect</x:v>
      </x:c>
      <x:c r="F43" s="80" t="str">
        <x:v>Dallas</x:v>
      </x:c>
      <x:c r="G43" s="80" t="str">
        <x:v>Distribution</x:v>
      </x:c>
      <x:c r="H43" s="81" t="n">
        <x:v>10380</x:v>
      </x:c>
      <x:c r="I43" s="80" t="str">
        <x:v>No</x:v>
      </x:c>
      <x:c r="J43" s="80" t="str">
        <x:v>No</x:v>
      </x:c>
      <x:c r="K43" s="80" t="str">
        <x:v>No</x:v>
      </x:c>
      <x:c r="L43" s="82" t="n">
        <x:v>0.09</x:v>
      </x:c>
      <x:c r="M43" s="80" t="str">
        <x:v>CFO</x:v>
      </x:c>
      <x:c r="N43" s="80" t="str">
        <x:f>IF(OR(I43="No",J43="No"),"Yes","No")</x:f>
        <x:v>Yes</x:v>
      </x:c>
      <x:c r="O43" s="80" t="str">
        <x:f>IF(COUNTIFS($C:$C,C43)&lt;5,"Yes","No")</x:f>
        <x:v>No</x:v>
      </x:c>
      <x:c r="P43" s="81" t="n">
        <x:f>IF(K43="Yes",H43*L43,0)</x:f>
        <x:v>0</x:v>
      </x:c>
      <x:c r="Q43" s="80" t="str">
        <x:f>IF(N43="Yes","Maverick / non-preferred",IF(O43="Yes","Tail consolidation",IF(K43="Yes","Category sourcing","Non-addressable")))</x:f>
        <x:v>Maverick / non-preferred</x:v>
      </x:c>
      <x:c r="R43" s="83" t="str">
        <x:f>IF(P43&gt;=10000,"High",IF(P43&gt;=3000,"Medium","Low"))</x:f>
        <x:v>Low</x:v>
      </x:c>
    </x:row>
    <x:row r="44">
      <x:c r="A44" s="78" t="n">
        <x:v>40</x:v>
      </x:c>
      <x:c r="B44" s="79" t="n">
        <x:v>45848</x:v>
      </x:c>
      <x:c r="C44" s="80" t="str">
        <x:v>Regional LTL</x:v>
      </x:c>
      <x:c r="D44" s="80" t="str">
        <x:v>Freight &amp; Logistics</x:v>
      </x:c>
      <x:c r="E44" s="80" t="str">
        <x:v>Direct</x:v>
      </x:c>
      <x:c r="F44" s="80" t="str">
        <x:v>Dallas</x:v>
      </x:c>
      <x:c r="G44" s="80" t="str">
        <x:v>Distribution</x:v>
      </x:c>
      <x:c r="H44" s="81" t="n">
        <x:v>11090</x:v>
      </x:c>
      <x:c r="I44" s="80" t="str">
        <x:v>No</x:v>
      </x:c>
      <x:c r="J44" s="80" t="str">
        <x:v>No</x:v>
      </x:c>
      <x:c r="K44" s="80" t="str">
        <x:v>Yes</x:v>
      </x:c>
      <x:c r="L44" s="82" t="n">
        <x:v>0.08</x:v>
      </x:c>
      <x:c r="M44" s="80" t="str">
        <x:v>COO</x:v>
      </x:c>
      <x:c r="N44" s="80" t="str">
        <x:f>IF(OR(I44="No",J44="No"),"Yes","No")</x:f>
        <x:v>Yes</x:v>
      </x:c>
      <x:c r="O44" s="80" t="str">
        <x:f>IF(COUNTIFS($C:$C,C44)&lt;5,"Yes","No")</x:f>
        <x:v>No</x:v>
      </x:c>
      <x:c r="P44" s="81" t="n">
        <x:f>IF(K44="Yes",H44*L44,0)</x:f>
        <x:v>887.2</x:v>
      </x:c>
      <x:c r="Q44" s="80" t="str">
        <x:f>IF(N44="Yes","Maverick / non-preferred",IF(O44="Yes","Tail consolidation",IF(K44="Yes","Category sourcing","Non-addressable")))</x:f>
        <x:v>Maverick / non-preferred</x:v>
      </x:c>
      <x:c r="R44" s="83" t="str">
        <x:f>IF(P44&gt;=10000,"High",IF(P44&gt;=3000,"Medium","Low"))</x:f>
        <x:v>Low</x:v>
      </x:c>
    </x:row>
    <x:row r="45">
      <x:c r="A45" s="78" t="n">
        <x:v>41</x:v>
      </x:c>
      <x:c r="B45" s="79" t="n">
        <x:v>45728</x:v>
      </x:c>
      <x:c r="C45" s="80" t="str">
        <x:v>Prime Components</x:v>
      </x:c>
      <x:c r="D45" s="80" t="str">
        <x:v>Raw Materials</x:v>
      </x:c>
      <x:c r="E45" s="80" t="str">
        <x:v>Direct</x:v>
      </x:c>
      <x:c r="F45" s="80" t="str">
        <x:v>Dallas</x:v>
      </x:c>
      <x:c r="G45" s="80" t="str">
        <x:v>Corporate</x:v>
      </x:c>
      <x:c r="H45" s="81" t="n">
        <x:v>39740</x:v>
      </x:c>
      <x:c r="I45" s="80" t="str">
        <x:v>Yes</x:v>
      </x:c>
      <x:c r="J45" s="80" t="str">
        <x:v>No</x:v>
      </x:c>
      <x:c r="K45" s="80" t="str">
        <x:v>No</x:v>
      </x:c>
      <x:c r="L45" s="82" t="n">
        <x:v>0.05</x:v>
      </x:c>
      <x:c r="M45" s="80" t="str">
        <x:v>COO</x:v>
      </x:c>
      <x:c r="N45" s="80" t="str">
        <x:f>IF(OR(I45="No",J45="No"),"Yes","No")</x:f>
        <x:v>Yes</x:v>
      </x:c>
      <x:c r="O45" s="80" t="str">
        <x:f>IF(COUNTIFS($C:$C,C45)&lt;5,"Yes","No")</x:f>
        <x:v>No</x:v>
      </x:c>
      <x:c r="P45" s="81" t="n">
        <x:f>IF(K45="Yes",H45*L45,0)</x:f>
        <x:v>0</x:v>
      </x:c>
      <x:c r="Q45" s="80" t="str">
        <x:f>IF(N45="Yes","Maverick / non-preferred",IF(O45="Yes","Tail consolidation",IF(K45="Yes","Category sourcing","Non-addressable")))</x:f>
        <x:v>Maverick / non-preferred</x:v>
      </x:c>
      <x:c r="R45" s="83" t="str">
        <x:f>IF(P45&gt;=10000,"High",IF(P45&gt;=3000,"Medium","Low"))</x:f>
        <x:v>Low</x:v>
      </x:c>
    </x:row>
    <x:row r="46">
      <x:c r="A46" s="78" t="n">
        <x:v>42</x:v>
      </x:c>
      <x:c r="B46" s="79" t="n">
        <x:v>45916</x:v>
      </x:c>
      <x:c r="C46" s="80" t="str">
        <x:v>ConnectTel</x:v>
      </x:c>
      <x:c r="D46" s="80" t="str">
        <x:v>Telecom</x:v>
      </x:c>
      <x:c r="E46" s="80" t="str">
        <x:v>Indirect</x:v>
      </x:c>
      <x:c r="F46" s="80" t="str">
        <x:v>Dallas</x:v>
      </x:c>
      <x:c r="G46" s="80" t="str">
        <x:v>Distribution</x:v>
      </x:c>
      <x:c r="H46" s="81" t="n">
        <x:v>4310</x:v>
      </x:c>
      <x:c r="I46" s="80" t="str">
        <x:v>Yes</x:v>
      </x:c>
      <x:c r="J46" s="80" t="str">
        <x:v>Yes</x:v>
      </x:c>
      <x:c r="K46" s="80" t="str">
        <x:v>Yes</x:v>
      </x:c>
      <x:c r="L46" s="82" t="n">
        <x:v>0.15</x:v>
      </x:c>
      <x:c r="M46" s="80" t="str">
        <x:v>CIO</x:v>
      </x:c>
      <x:c r="N46" s="80" t="str">
        <x:f>IF(OR(I46="No",J46="No"),"Yes","No")</x:f>
        <x:v>No</x:v>
      </x:c>
      <x:c r="O46" s="80" t="str">
        <x:f>IF(COUNTIFS($C:$C,C46)&lt;5,"Yes","No")</x:f>
        <x:v>No</x:v>
      </x:c>
      <x:c r="P46" s="81" t="n">
        <x:f>IF(K46="Yes",H46*L46,0)</x:f>
        <x:v>646.5</x:v>
      </x:c>
      <x:c r="Q46" s="80" t="str">
        <x:f>IF(N46="Yes","Maverick / non-preferred",IF(O46="Yes","Tail consolidation",IF(K46="Yes","Category sourcing","Non-addressable")))</x:f>
        <x:v>Category sourcing</x:v>
      </x:c>
      <x:c r="R46" s="83" t="str">
        <x:f>IF(P46&gt;=10000,"High",IF(P46&gt;=3000,"Medium","Low"))</x:f>
        <x:v>Low</x:v>
      </x:c>
    </x:row>
    <x:row r="47">
      <x:c r="A47" s="78" t="n">
        <x:v>43</x:v>
      </x:c>
      <x:c r="B47" s="79" t="n">
        <x:v>45738</x:v>
      </x:c>
      <x:c r="C47" s="80" t="str">
        <x:v>ConnectTel</x:v>
      </x:c>
      <x:c r="D47" s="80" t="str">
        <x:v>Telecom</x:v>
      </x:c>
      <x:c r="E47" s="80" t="str">
        <x:v>Indirect</x:v>
      </x:c>
      <x:c r="F47" s="80" t="str">
        <x:v>Chicago</x:v>
      </x:c>
      <x:c r="G47" s="80" t="str">
        <x:v>Distribution</x:v>
      </x:c>
      <x:c r="H47" s="81" t="n">
        <x:v>3370</x:v>
      </x:c>
      <x:c r="I47" s="80" t="str">
        <x:v>Yes</x:v>
      </x:c>
      <x:c r="J47" s="80" t="str">
        <x:v>Yes</x:v>
      </x:c>
      <x:c r="K47" s="80" t="str">
        <x:v>Yes</x:v>
      </x:c>
      <x:c r="L47" s="82" t="n">
        <x:v>0.15</x:v>
      </x:c>
      <x:c r="M47" s="80" t="str">
        <x:v>CIO</x:v>
      </x:c>
      <x:c r="N47" s="80" t="str">
        <x:f>IF(OR(I47="No",J47="No"),"Yes","No")</x:f>
        <x:v>No</x:v>
      </x:c>
      <x:c r="O47" s="80" t="str">
        <x:f>IF(COUNTIFS($C:$C,C47)&lt;5,"Yes","No")</x:f>
        <x:v>No</x:v>
      </x:c>
      <x:c r="P47" s="81" t="n">
        <x:f>IF(K47="Yes",H47*L47,0)</x:f>
        <x:v>505.5</x:v>
      </x:c>
      <x:c r="Q47" s="80" t="str">
        <x:f>IF(N47="Yes","Maverick / non-preferred",IF(O47="Yes","Tail consolidation",IF(K47="Yes","Category sourcing","Non-addressable")))</x:f>
        <x:v>Category sourcing</x:v>
      </x:c>
      <x:c r="R47" s="83" t="str">
        <x:f>IF(P47&gt;=10000,"High",IF(P47&gt;=3000,"Medium","Low"))</x:f>
        <x:v>Low</x:v>
      </x:c>
    </x:row>
    <x:row r="48">
      <x:c r="A48" s="78" t="n">
        <x:v>44</x:v>
      </x:c>
      <x:c r="B48" s="79" t="n">
        <x:v>45719</x:v>
      </x:c>
      <x:c r="C48" s="80" t="str">
        <x:v>FlexPack</x:v>
      </x:c>
      <x:c r="D48" s="80" t="str">
        <x:v>Packaging</x:v>
      </x:c>
      <x:c r="E48" s="80" t="str">
        <x:v>Direct</x:v>
      </x:c>
      <x:c r="F48" s="80" t="str">
        <x:v>Columbus</x:v>
      </x:c>
      <x:c r="G48" s="80" t="str">
        <x:v>Distribution</x:v>
      </x:c>
      <x:c r="H48" s="81" t="n">
        <x:v>21480</x:v>
      </x:c>
      <x:c r="I48" s="80" t="str">
        <x:v>No</x:v>
      </x:c>
      <x:c r="J48" s="80" t="str">
        <x:v>No</x:v>
      </x:c>
      <x:c r="K48" s="80" t="str">
        <x:v>Yes</x:v>
      </x:c>
      <x:c r="L48" s="82" t="n">
        <x:v>0.06</x:v>
      </x:c>
      <x:c r="M48" s="80" t="str">
        <x:v>COO</x:v>
      </x:c>
      <x:c r="N48" s="80" t="str">
        <x:f>IF(OR(I48="No",J48="No"),"Yes","No")</x:f>
        <x:v>Yes</x:v>
      </x:c>
      <x:c r="O48" s="80" t="str">
        <x:f>IF(COUNTIFS($C:$C,C48)&lt;5,"Yes","No")</x:f>
        <x:v>No</x:v>
      </x:c>
      <x:c r="P48" s="81" t="n">
        <x:f>IF(K48="Yes",H48*L48,0)</x:f>
        <x:v>1288.8</x:v>
      </x:c>
      <x:c r="Q48" s="80" t="str">
        <x:f>IF(N48="Yes","Maverick / non-preferred",IF(O48="Yes","Tail consolidation",IF(K48="Yes","Category sourcing","Non-addressable")))</x:f>
        <x:v>Maverick / non-preferred</x:v>
      </x:c>
      <x:c r="R48" s="83" t="str">
        <x:f>IF(P48&gt;=10000,"High",IF(P48&gt;=3000,"Medium","Low"))</x:f>
        <x:v>Low</x:v>
      </x:c>
    </x:row>
    <x:row r="49">
      <x:c r="A49" s="78" t="n">
        <x:v>45</x:v>
      </x:c>
      <x:c r="B49" s="79" t="n">
        <x:v>45824</x:v>
      </x:c>
      <x:c r="C49" s="80" t="str">
        <x:v>PackRight</x:v>
      </x:c>
      <x:c r="D49" s="80" t="str">
        <x:v>Packaging</x:v>
      </x:c>
      <x:c r="E49" s="80" t="str">
        <x:v>Direct</x:v>
      </x:c>
      <x:c r="F49" s="80" t="str">
        <x:v>Columbus</x:v>
      </x:c>
      <x:c r="G49" s="80" t="str">
        <x:v>Corporate</x:v>
      </x:c>
      <x:c r="H49" s="81" t="n">
        <x:v>25180</x:v>
      </x:c>
      <x:c r="I49" s="80" t="str">
        <x:v>Yes</x:v>
      </x:c>
      <x:c r="J49" s="80" t="str">
        <x:v>Yes</x:v>
      </x:c>
      <x:c r="K49" s="80" t="str">
        <x:v>Yes</x:v>
      </x:c>
      <x:c r="L49" s="82" t="n">
        <x:v>0.06</x:v>
      </x:c>
      <x:c r="M49" s="80" t="str">
        <x:v>COO</x:v>
      </x:c>
      <x:c r="N49" s="80" t="str">
        <x:f>IF(OR(I49="No",J49="No"),"Yes","No")</x:f>
        <x:v>No</x:v>
      </x:c>
      <x:c r="O49" s="80" t="str">
        <x:f>IF(COUNTIFS($C:$C,C49)&lt;5,"Yes","No")</x:f>
        <x:v>Yes</x:v>
      </x:c>
      <x:c r="P49" s="81" t="n">
        <x:f>IF(K49="Yes",H49*L49,0)</x:f>
        <x:v>1510.8</x:v>
      </x:c>
      <x:c r="Q49" s="80" t="str">
        <x:f>IF(N49="Yes","Maverick / non-preferred",IF(O49="Yes","Tail consolidation",IF(K49="Yes","Category sourcing","Non-addressable")))</x:f>
        <x:v>Tail consolidation</x:v>
      </x:c>
      <x:c r="R49" s="83" t="str">
        <x:f>IF(P49&gt;=10000,"High",IF(P49&gt;=3000,"Medium","Low"))</x:f>
        <x:v>Low</x:v>
      </x:c>
    </x:row>
    <x:row r="50">
      <x:c r="A50" s="78" t="n">
        <x:v>46</x:v>
      </x:c>
      <x:c r="B50" s="79" t="n">
        <x:v>45972</x:v>
      </x:c>
      <x:c r="C50" s="80" t="str">
        <x:v>Industrial Supply</x:v>
      </x:c>
      <x:c r="D50" s="80" t="str">
        <x:v>MRO</x:v>
      </x:c>
      <x:c r="E50" s="80" t="str">
        <x:v>Direct</x:v>
      </x:c>
      <x:c r="F50" s="80" t="str">
        <x:v>Dallas</x:v>
      </x:c>
      <x:c r="G50" s="80" t="str">
        <x:v>Distribution</x:v>
      </x:c>
      <x:c r="H50" s="81" t="n">
        <x:v>23790</x:v>
      </x:c>
      <x:c r="I50" s="80" t="str">
        <x:v>Yes</x:v>
      </x:c>
      <x:c r="J50" s="80" t="str">
        <x:v>Yes</x:v>
      </x:c>
      <x:c r="K50" s="80" t="str">
        <x:v>No</x:v>
      </x:c>
      <x:c r="L50" s="82" t="n">
        <x:v>0.06</x:v>
      </x:c>
      <x:c r="M50" s="80" t="str">
        <x:v>COO</x:v>
      </x:c>
      <x:c r="N50" s="80" t="str">
        <x:f>IF(OR(I50="No",J50="No"),"Yes","No")</x:f>
        <x:v>No</x:v>
      </x:c>
      <x:c r="O50" s="80" t="str">
        <x:f>IF(COUNTIFS($C:$C,C50)&lt;5,"Yes","No")</x:f>
        <x:v>No</x:v>
      </x:c>
      <x:c r="P50" s="81" t="n">
        <x:f>IF(K50="Yes",H50*L50,0)</x:f>
        <x:v>0</x:v>
      </x:c>
      <x:c r="Q50" s="80" t="str">
        <x:f>IF(N50="Yes","Maverick / non-preferred",IF(O50="Yes","Tail consolidation",IF(K50="Yes","Category sourcing","Non-addressable")))</x:f>
        <x:v>Non-addressable</x:v>
      </x:c>
      <x:c r="R50" s="83" t="str">
        <x:f>IF(P50&gt;=10000,"High",IF(P50&gt;=3000,"Medium","Low"))</x:f>
        <x:v>Low</x:v>
      </x:c>
    </x:row>
    <x:row r="51">
      <x:c r="A51" s="78" t="n">
        <x:v>47</x:v>
      </x:c>
      <x:c r="B51" s="79" t="n">
        <x:v>45878</x:v>
      </x:c>
      <x:c r="C51" s="80" t="str">
        <x:v>CoreMetals</x:v>
      </x:c>
      <x:c r="D51" s="80" t="str">
        <x:v>Raw Materials</x:v>
      </x:c>
      <x:c r="E51" s="80" t="str">
        <x:v>Direct</x:v>
      </x:c>
      <x:c r="F51" s="80" t="str">
        <x:v>Columbus</x:v>
      </x:c>
      <x:c r="G51" s="80" t="str">
        <x:v>Field Operations</x:v>
      </x:c>
      <x:c r="H51" s="81" t="n">
        <x:v>57460</x:v>
      </x:c>
      <x:c r="I51" s="80" t="str">
        <x:v>Yes</x:v>
      </x:c>
      <x:c r="J51" s="80" t="str">
        <x:v>Yes</x:v>
      </x:c>
      <x:c r="K51" s="80" t="str">
        <x:v>Yes</x:v>
      </x:c>
      <x:c r="L51" s="82" t="n">
        <x:v>0.05</x:v>
      </x:c>
      <x:c r="M51" s="80" t="str">
        <x:v>COO</x:v>
      </x:c>
      <x:c r="N51" s="80" t="str">
        <x:f>IF(OR(I51="No",J51="No"),"Yes","No")</x:f>
        <x:v>No</x:v>
      </x:c>
      <x:c r="O51" s="80" t="str">
        <x:f>IF(COUNTIFS($C:$C,C51)&lt;5,"Yes","No")</x:f>
        <x:v>No</x:v>
      </x:c>
      <x:c r="P51" s="81" t="n">
        <x:f>IF(K51="Yes",H51*L51,0)</x:f>
        <x:v>2873</x:v>
      </x:c>
      <x:c r="Q51" s="80" t="str">
        <x:f>IF(N51="Yes","Maverick / non-preferred",IF(O51="Yes","Tail consolidation",IF(K51="Yes","Category sourcing","Non-addressable")))</x:f>
        <x:v>Category sourcing</x:v>
      </x:c>
      <x:c r="R51" s="83" t="str">
        <x:f>IF(P51&gt;=10000,"High",IF(P51&gt;=3000,"Medium","Low"))</x:f>
        <x:v>Low</x:v>
      </x:c>
    </x:row>
    <x:row r="52">
      <x:c r="A52" s="78" t="n">
        <x:v>48</x:v>
      </x:c>
      <x:c r="B52" s="79" t="n">
        <x:v>45825</x:v>
      </x:c>
      <x:c r="C52" s="80" t="str">
        <x:v>TaxBridge</x:v>
      </x:c>
      <x:c r="D52" s="80" t="str">
        <x:v>Professional Services</x:v>
      </x:c>
      <x:c r="E52" s="80" t="str">
        <x:v>Indirect</x:v>
      </x:c>
      <x:c r="F52" s="80" t="str">
        <x:v>Chicago</x:v>
      </x:c>
      <x:c r="G52" s="80" t="str">
        <x:v>Corporate</x:v>
      </x:c>
      <x:c r="H52" s="81" t="n">
        <x:v>26930</x:v>
      </x:c>
      <x:c r="I52" s="80" t="str">
        <x:v>No</x:v>
      </x:c>
      <x:c r="J52" s="80" t="str">
        <x:v>No</x:v>
      </x:c>
      <x:c r="K52" s="80" t="str">
        <x:v>No</x:v>
      </x:c>
      <x:c r="L52" s="82" t="n">
        <x:v>0.09</x:v>
      </x:c>
      <x:c r="M52" s="80" t="str">
        <x:v>CFO</x:v>
      </x:c>
      <x:c r="N52" s="80" t="str">
        <x:f>IF(OR(I52="No",J52="No"),"Yes","No")</x:f>
        <x:v>Yes</x:v>
      </x:c>
      <x:c r="O52" s="80" t="str">
        <x:f>IF(COUNTIFS($C:$C,C52)&lt;5,"Yes","No")</x:f>
        <x:v>No</x:v>
      </x:c>
      <x:c r="P52" s="81" t="n">
        <x:f>IF(K52="Yes",H52*L52,0)</x:f>
        <x:v>0</x:v>
      </x:c>
      <x:c r="Q52" s="80" t="str">
        <x:f>IF(N52="Yes","Maverick / non-preferred",IF(O52="Yes","Tail consolidation",IF(K52="Yes","Category sourcing","Non-addressable")))</x:f>
        <x:v>Maverick / non-preferred</x:v>
      </x:c>
      <x:c r="R52" s="83" t="str">
        <x:f>IF(P52&gt;=10000,"High",IF(P52&gt;=3000,"Medium","Low"))</x:f>
        <x:v>Low</x:v>
      </x:c>
    </x:row>
    <x:row r="53">
      <x:c r="A53" s="78" t="n">
        <x:v>49</x:v>
      </x:c>
      <x:c r="B53" s="79" t="n">
        <x:v>45664</x:v>
      </x:c>
      <x:c r="C53" s="80" t="str">
        <x:v>SupplyHub</x:v>
      </x:c>
      <x:c r="D53" s="80" t="str">
        <x:v>Office Supplies</x:v>
      </x:c>
      <x:c r="E53" s="80" t="str">
        <x:v>Indirect</x:v>
      </x:c>
      <x:c r="F53" s="80" t="str">
        <x:v>Chicago</x:v>
      </x:c>
      <x:c r="G53" s="80" t="str">
        <x:v>Corporate</x:v>
      </x:c>
      <x:c r="H53" s="81" t="n">
        <x:v>3710</x:v>
      </x:c>
      <x:c r="I53" s="80" t="str">
        <x:v>Yes</x:v>
      </x:c>
      <x:c r="J53" s="80" t="str">
        <x:v>Yes</x:v>
      </x:c>
      <x:c r="K53" s="80" t="str">
        <x:v>Yes</x:v>
      </x:c>
      <x:c r="L53" s="82" t="n">
        <x:v>0.18</x:v>
      </x:c>
      <x:c r="M53" s="80" t="str">
        <x:v>CFO</x:v>
      </x:c>
      <x:c r="N53" s="80" t="str">
        <x:f>IF(OR(I53="No",J53="No"),"Yes","No")</x:f>
        <x:v>No</x:v>
      </x:c>
      <x:c r="O53" s="80" t="str">
        <x:f>IF(COUNTIFS($C:$C,C53)&lt;5,"Yes","No")</x:f>
        <x:v>No</x:v>
      </x:c>
      <x:c r="P53" s="81" t="n">
        <x:f>IF(K53="Yes",H53*L53,0)</x:f>
        <x:v>667.8</x:v>
      </x:c>
      <x:c r="Q53" s="80" t="str">
        <x:f>IF(N53="Yes","Maverick / non-preferred",IF(O53="Yes","Tail consolidation",IF(K53="Yes","Category sourcing","Non-addressable")))</x:f>
        <x:v>Category sourcing</x:v>
      </x:c>
      <x:c r="R53" s="83" t="str">
        <x:f>IF(P53&gt;=10000,"High",IF(P53&gt;=3000,"Medium","Low"))</x:f>
        <x:v>Low</x:v>
      </x:c>
    </x:row>
    <x:row r="54">
      <x:c r="A54" s="78" t="n">
        <x:v>50</x:v>
      </x:c>
      <x:c r="B54" s="79" t="n">
        <x:v>45857</x:v>
      </x:c>
      <x:c r="C54" s="80" t="str">
        <x:v>BrandNorth</x:v>
      </x:c>
      <x:c r="D54" s="80" t="str">
        <x:v>Professional Services</x:v>
      </x:c>
      <x:c r="E54" s="80" t="str">
        <x:v>Indirect</x:v>
      </x:c>
      <x:c r="F54" s="80" t="str">
        <x:v>Chicago</x:v>
      </x:c>
      <x:c r="G54" s="80" t="str">
        <x:v>Corporate</x:v>
      </x:c>
      <x:c r="H54" s="81" t="n">
        <x:v>63290</x:v>
      </x:c>
      <x:c r="I54" s="80" t="str">
        <x:v>Yes</x:v>
      </x:c>
      <x:c r="J54" s="80" t="str">
        <x:v>No</x:v>
      </x:c>
      <x:c r="K54" s="80" t="str">
        <x:v>No</x:v>
      </x:c>
      <x:c r="L54" s="82" t="n">
        <x:v>0.09</x:v>
      </x:c>
      <x:c r="M54" s="80" t="str">
        <x:v>CFO</x:v>
      </x:c>
      <x:c r="N54" s="80" t="str">
        <x:f>IF(OR(I54="No",J54="No"),"Yes","No")</x:f>
        <x:v>Yes</x:v>
      </x:c>
      <x:c r="O54" s="80" t="str">
        <x:f>IF(COUNTIFS($C:$C,C54)&lt;5,"Yes","No")</x:f>
        <x:v>No</x:v>
      </x:c>
      <x:c r="P54" s="81" t="n">
        <x:f>IF(K54="Yes",H54*L54,0)</x:f>
        <x:v>0</x:v>
      </x:c>
      <x:c r="Q54" s="80" t="str">
        <x:f>IF(N54="Yes","Maverick / non-preferred",IF(O54="Yes","Tail consolidation",IF(K54="Yes","Category sourcing","Non-addressable")))</x:f>
        <x:v>Maverick / non-preferred</x:v>
      </x:c>
      <x:c r="R54" s="83" t="str">
        <x:f>IF(P54&gt;=10000,"High",IF(P54&gt;=3000,"Medium","Low"))</x:f>
        <x:v>Low</x:v>
      </x:c>
    </x:row>
    <x:row r="55">
      <x:c r="A55" s="78" t="n">
        <x:v>51</x:v>
      </x:c>
      <x:c r="B55" s="79" t="n">
        <x:v>45761</x:v>
      </x:c>
      <x:c r="C55" s="80" t="str">
        <x:v>Prime Components</x:v>
      </x:c>
      <x:c r="D55" s="80" t="str">
        <x:v>Raw Materials</x:v>
      </x:c>
      <x:c r="E55" s="80" t="str">
        <x:v>Direct</x:v>
      </x:c>
      <x:c r="F55" s="80" t="str">
        <x:v>Columbus</x:v>
      </x:c>
      <x:c r="G55" s="80" t="str">
        <x:v>Distribution</x:v>
      </x:c>
      <x:c r="H55" s="81" t="n">
        <x:v>17630</x:v>
      </x:c>
      <x:c r="I55" s="80" t="str">
        <x:v>No</x:v>
      </x:c>
      <x:c r="J55" s="80" t="str">
        <x:v>No</x:v>
      </x:c>
      <x:c r="K55" s="80" t="str">
        <x:v>No</x:v>
      </x:c>
      <x:c r="L55" s="82" t="n">
        <x:v>0.05</x:v>
      </x:c>
      <x:c r="M55" s="80" t="str">
        <x:v>COO</x:v>
      </x:c>
      <x:c r="N55" s="80" t="str">
        <x:f>IF(OR(I55="No",J55="No"),"Yes","No")</x:f>
        <x:v>Yes</x:v>
      </x:c>
      <x:c r="O55" s="80" t="str">
        <x:f>IF(COUNTIFS($C:$C,C55)&lt;5,"Yes","No")</x:f>
        <x:v>No</x:v>
      </x:c>
      <x:c r="P55" s="81" t="n">
        <x:f>IF(K55="Yes",H55*L55,0)</x:f>
        <x:v>0</x:v>
      </x:c>
      <x:c r="Q55" s="80" t="str">
        <x:f>IF(N55="Yes","Maverick / non-preferred",IF(O55="Yes","Tail consolidation",IF(K55="Yes","Category sourcing","Non-addressable")))</x:f>
        <x:v>Maverick / non-preferred</x:v>
      </x:c>
      <x:c r="R55" s="83" t="str">
        <x:f>IF(P55&gt;=10000,"High",IF(P55&gt;=3000,"Medium","Low"))</x:f>
        <x:v>Low</x:v>
      </x:c>
    </x:row>
    <x:row r="56">
      <x:c r="A56" s="78" t="n">
        <x:v>52</x:v>
      </x:c>
      <x:c r="B56" s="79" t="n">
        <x:v>45907</x:v>
      </x:c>
      <x:c r="C56" s="80" t="str">
        <x:v>ShiftPro</x:v>
      </x:c>
      <x:c r="D56" s="80" t="str">
        <x:v>Temp Labor</x:v>
      </x:c>
      <x:c r="E56" s="80" t="str">
        <x:v>Indirect</x:v>
      </x:c>
      <x:c r="F56" s="80" t="str">
        <x:v>Dallas</x:v>
      </x:c>
      <x:c r="G56" s="80" t="str">
        <x:v>Manufacturing</x:v>
      </x:c>
      <x:c r="H56" s="81" t="n">
        <x:v>5040</x:v>
      </x:c>
      <x:c r="I56" s="80" t="str">
        <x:v>No</x:v>
      </x:c>
      <x:c r="J56" s="80" t="str">
        <x:v>No</x:v>
      </x:c>
      <x:c r="K56" s="80" t="str">
        <x:v>No</x:v>
      </x:c>
      <x:c r="L56" s="82" t="n">
        <x:v>0.07</x:v>
      </x:c>
      <x:c r="M56" s="80" t="str">
        <x:v>CHRO</x:v>
      </x:c>
      <x:c r="N56" s="80" t="str">
        <x:f>IF(OR(I56="No",J56="No"),"Yes","No")</x:f>
        <x:v>Yes</x:v>
      </x:c>
      <x:c r="O56" s="80" t="str">
        <x:f>IF(COUNTIFS($C:$C,C56)&lt;5,"Yes","No")</x:f>
        <x:v>No</x:v>
      </x:c>
      <x:c r="P56" s="81" t="n">
        <x:f>IF(K56="Yes",H56*L56,0)</x:f>
        <x:v>0</x:v>
      </x:c>
      <x:c r="Q56" s="80" t="str">
        <x:f>IF(N56="Yes","Maverick / non-preferred",IF(O56="Yes","Tail consolidation",IF(K56="Yes","Category sourcing","Non-addressable")))</x:f>
        <x:v>Maverick / non-preferred</x:v>
      </x:c>
      <x:c r="R56" s="83" t="str">
        <x:f>IF(P56&gt;=10000,"High",IF(P56&gt;=3000,"Medium","Low"))</x:f>
        <x:v>Low</x:v>
      </x:c>
    </x:row>
    <x:row r="57">
      <x:c r="A57" s="78" t="n">
        <x:v>53</x:v>
      </x:c>
      <x:c r="B57" s="79" t="n">
        <x:v>45771</x:v>
      </x:c>
      <x:c r="C57" s="80" t="str">
        <x:v>MobileWorks</x:v>
      </x:c>
      <x:c r="D57" s="80" t="str">
        <x:v>Telecom</x:v>
      </x:c>
      <x:c r="E57" s="80" t="str">
        <x:v>Indirect</x:v>
      </x:c>
      <x:c r="F57" s="80" t="str">
        <x:v>Atlanta</x:v>
      </x:c>
      <x:c r="G57" s="80" t="str">
        <x:v>Corporate</x:v>
      </x:c>
      <x:c r="H57" s="81" t="n">
        <x:v>2880</x:v>
      </x:c>
      <x:c r="I57" s="80" t="str">
        <x:v>Yes</x:v>
      </x:c>
      <x:c r="J57" s="80" t="str">
        <x:v>No</x:v>
      </x:c>
      <x:c r="K57" s="80" t="str">
        <x:v>Yes</x:v>
      </x:c>
      <x:c r="L57" s="82" t="n">
        <x:v>0.15</x:v>
      </x:c>
      <x:c r="M57" s="80" t="str">
        <x:v>CIO</x:v>
      </x:c>
      <x:c r="N57" s="80" t="str">
        <x:f>IF(OR(I57="No",J57="No"),"Yes","No")</x:f>
        <x:v>Yes</x:v>
      </x:c>
      <x:c r="O57" s="80" t="str">
        <x:f>IF(COUNTIFS($C:$C,C57)&lt;5,"Yes","No")</x:f>
        <x:v>No</x:v>
      </x:c>
      <x:c r="P57" s="81" t="n">
        <x:f>IF(K57="Yes",H57*L57,0)</x:f>
        <x:v>432</x:v>
      </x:c>
      <x:c r="Q57" s="80" t="str">
        <x:f>IF(N57="Yes","Maverick / non-preferred",IF(O57="Yes","Tail consolidation",IF(K57="Yes","Category sourcing","Non-addressable")))</x:f>
        <x:v>Maverick / non-preferred</x:v>
      </x:c>
      <x:c r="R57" s="83" t="str">
        <x:f>IF(P57&gt;=10000,"High",IF(P57&gt;=3000,"Medium","Low"))</x:f>
        <x:v>Low</x:v>
      </x:c>
    </x:row>
    <x:row r="58">
      <x:c r="A58" s="78" t="n">
        <x:v>54</x:v>
      </x:c>
      <x:c r="B58" s="79" t="n">
        <x:v>45843</x:v>
      </x:c>
      <x:c r="C58" s="80" t="str">
        <x:v>BrandNorth</x:v>
      </x:c>
      <x:c r="D58" s="80" t="str">
        <x:v>Professional Services</x:v>
      </x:c>
      <x:c r="E58" s="80" t="str">
        <x:v>Indirect</x:v>
      </x:c>
      <x:c r="F58" s="80" t="str">
        <x:v>Dallas</x:v>
      </x:c>
      <x:c r="G58" s="80" t="str">
        <x:v>Manufacturing</x:v>
      </x:c>
      <x:c r="H58" s="81" t="n">
        <x:v>129120</x:v>
      </x:c>
      <x:c r="I58" s="80" t="str">
        <x:v>No</x:v>
      </x:c>
      <x:c r="J58" s="80" t="str">
        <x:v>No</x:v>
      </x:c>
      <x:c r="K58" s="80" t="str">
        <x:v>No</x:v>
      </x:c>
      <x:c r="L58" s="82" t="n">
        <x:v>0.09</x:v>
      </x:c>
      <x:c r="M58" s="80" t="str">
        <x:v>CFO</x:v>
      </x:c>
      <x:c r="N58" s="80" t="str">
        <x:f>IF(OR(I58="No",J58="No"),"Yes","No")</x:f>
        <x:v>Yes</x:v>
      </x:c>
      <x:c r="O58" s="80" t="str">
        <x:f>IF(COUNTIFS($C:$C,C58)&lt;5,"Yes","No")</x:f>
        <x:v>No</x:v>
      </x:c>
      <x:c r="P58" s="81" t="n">
        <x:f>IF(K58="Yes",H58*L58,0)</x:f>
        <x:v>0</x:v>
      </x:c>
      <x:c r="Q58" s="80" t="str">
        <x:f>IF(N58="Yes","Maverick / non-preferred",IF(O58="Yes","Tail consolidation",IF(K58="Yes","Category sourcing","Non-addressable")))</x:f>
        <x:v>Maverick / non-preferred</x:v>
      </x:c>
      <x:c r="R58" s="83" t="str">
        <x:f>IF(P58&gt;=10000,"High",IF(P58&gt;=3000,"Medium","Low"))</x:f>
        <x:v>Low</x:v>
      </x:c>
    </x:row>
    <x:row r="59">
      <x:c r="A59" s="78" t="n">
        <x:v>55</x:v>
      </x:c>
      <x:c r="B59" s="79" t="n">
        <x:v>45817</x:v>
      </x:c>
      <x:c r="C59" s="80" t="str">
        <x:v>FastLane Carriers</x:v>
      </x:c>
      <x:c r="D59" s="80" t="str">
        <x:v>Freight &amp; Logistics</x:v>
      </x:c>
      <x:c r="E59" s="80" t="str">
        <x:v>Direct</x:v>
      </x:c>
      <x:c r="F59" s="80" t="str">
        <x:v>Columbus</x:v>
      </x:c>
      <x:c r="G59" s="80" t="str">
        <x:v>Field Operations</x:v>
      </x:c>
      <x:c r="H59" s="81" t="n">
        <x:v>16870</x:v>
      </x:c>
      <x:c r="I59" s="80" t="str">
        <x:v>Yes</x:v>
      </x:c>
      <x:c r="J59" s="80" t="str">
        <x:v>No</x:v>
      </x:c>
      <x:c r="K59" s="80" t="str">
        <x:v>Yes</x:v>
      </x:c>
      <x:c r="L59" s="82" t="n">
        <x:v>0.08</x:v>
      </x:c>
      <x:c r="M59" s="80" t="str">
        <x:v>COO</x:v>
      </x:c>
      <x:c r="N59" s="80" t="str">
        <x:f>IF(OR(I59="No",J59="No"),"Yes","No")</x:f>
        <x:v>Yes</x:v>
      </x:c>
      <x:c r="O59" s="80" t="str">
        <x:f>IF(COUNTIFS($C:$C,C59)&lt;5,"Yes","No")</x:f>
        <x:v>No</x:v>
      </x:c>
      <x:c r="P59" s="81" t="n">
        <x:f>IF(K59="Yes",H59*L59,0)</x:f>
        <x:v>1349.6000000000001</x:v>
      </x:c>
      <x:c r="Q59" s="80" t="str">
        <x:f>IF(N59="Yes","Maverick / non-preferred",IF(O59="Yes","Tail consolidation",IF(K59="Yes","Category sourcing","Non-addressable")))</x:f>
        <x:v>Maverick / non-preferred</x:v>
      </x:c>
      <x:c r="R59" s="83" t="str">
        <x:f>IF(P59&gt;=10000,"High",IF(P59&gt;=3000,"Medium","Low"))</x:f>
        <x:v>Low</x:v>
      </x:c>
    </x:row>
    <x:row r="60">
      <x:c r="A60" s="78" t="n">
        <x:v>56</x:v>
      </x:c>
      <x:c r="B60" s="79" t="n">
        <x:v>45838</x:v>
      </x:c>
      <x:c r="C60" s="80" t="str">
        <x:v>FastLane Carriers</x:v>
      </x:c>
      <x:c r="D60" s="80" t="str">
        <x:v>Freight &amp; Logistics</x:v>
      </x:c>
      <x:c r="E60" s="80" t="str">
        <x:v>Direct</x:v>
      </x:c>
      <x:c r="F60" s="80" t="str">
        <x:v>Chicago</x:v>
      </x:c>
      <x:c r="G60" s="80" t="str">
        <x:v>Corporate</x:v>
      </x:c>
      <x:c r="H60" s="81" t="n">
        <x:v>10430</x:v>
      </x:c>
      <x:c r="I60" s="80" t="str">
        <x:v>No</x:v>
      </x:c>
      <x:c r="J60" s="80" t="str">
        <x:v>No</x:v>
      </x:c>
      <x:c r="K60" s="80" t="str">
        <x:v>Yes</x:v>
      </x:c>
      <x:c r="L60" s="82" t="n">
        <x:v>0.08</x:v>
      </x:c>
      <x:c r="M60" s="80" t="str">
        <x:v>COO</x:v>
      </x:c>
      <x:c r="N60" s="80" t="str">
        <x:f>IF(OR(I60="No",J60="No"),"Yes","No")</x:f>
        <x:v>Yes</x:v>
      </x:c>
      <x:c r="O60" s="80" t="str">
        <x:f>IF(COUNTIFS($C:$C,C60)&lt;5,"Yes","No")</x:f>
        <x:v>No</x:v>
      </x:c>
      <x:c r="P60" s="81" t="n">
        <x:f>IF(K60="Yes",H60*L60,0)</x:f>
        <x:v>834.4</x:v>
      </x:c>
      <x:c r="Q60" s="80" t="str">
        <x:f>IF(N60="Yes","Maverick / non-preferred",IF(O60="Yes","Tail consolidation",IF(K60="Yes","Category sourcing","Non-addressable")))</x:f>
        <x:v>Maverick / non-preferred</x:v>
      </x:c>
      <x:c r="R60" s="83" t="str">
        <x:f>IF(P60&gt;=10000,"High",IF(P60&gt;=3000,"Medium","Low"))</x:f>
        <x:v>Low</x:v>
      </x:c>
    </x:row>
    <x:row r="61">
      <x:c r="A61" s="78" t="n">
        <x:v>57</x:v>
      </x:c>
      <x:c r="B61" s="79" t="n">
        <x:v>46009</x:v>
      </x:c>
      <x:c r="C61" s="80" t="str">
        <x:v>BoxWorks</x:v>
      </x:c>
      <x:c r="D61" s="80" t="str">
        <x:v>Packaging</x:v>
      </x:c>
      <x:c r="E61" s="80" t="str">
        <x:v>Direct</x:v>
      </x:c>
      <x:c r="F61" s="80" t="str">
        <x:v>Atlanta</x:v>
      </x:c>
      <x:c r="G61" s="80" t="str">
        <x:v>Distribution</x:v>
      </x:c>
      <x:c r="H61" s="81" t="n">
        <x:v>38460</x:v>
      </x:c>
      <x:c r="I61" s="80" t="str">
        <x:v>Yes</x:v>
      </x:c>
      <x:c r="J61" s="80" t="str">
        <x:v>Yes</x:v>
      </x:c>
      <x:c r="K61" s="80" t="str">
        <x:v>Yes</x:v>
      </x:c>
      <x:c r="L61" s="82" t="n">
        <x:v>0.06</x:v>
      </x:c>
      <x:c r="M61" s="80" t="str">
        <x:v>COO</x:v>
      </x:c>
      <x:c r="N61" s="80" t="str">
        <x:f>IF(OR(I61="No",J61="No"),"Yes","No")</x:f>
        <x:v>No</x:v>
      </x:c>
      <x:c r="O61" s="80" t="str">
        <x:f>IF(COUNTIFS($C:$C,C61)&lt;5,"Yes","No")</x:f>
        <x:v>No</x:v>
      </x:c>
      <x:c r="P61" s="81" t="n">
        <x:f>IF(K61="Yes",H61*L61,0)</x:f>
        <x:v>2307.6</x:v>
      </x:c>
      <x:c r="Q61" s="80" t="str">
        <x:f>IF(N61="Yes","Maverick / non-preferred",IF(O61="Yes","Tail consolidation",IF(K61="Yes","Category sourcing","Non-addressable")))</x:f>
        <x:v>Category sourcing</x:v>
      </x:c>
      <x:c r="R61" s="83" t="str">
        <x:f>IF(P61&gt;=10000,"High",IF(P61&gt;=3000,"Medium","Low"))</x:f>
        <x:v>Low</x:v>
      </x:c>
    </x:row>
    <x:row r="62">
      <x:c r="A62" s="78" t="n">
        <x:v>58</x:v>
      </x:c>
      <x:c r="B62" s="79" t="n">
        <x:v>45778</x:v>
      </x:c>
      <x:c r="C62" s="80" t="str">
        <x:v>SafeSite</x:v>
      </x:c>
      <x:c r="D62" s="80" t="str">
        <x:v>Facilities</x:v>
      </x:c>
      <x:c r="E62" s="80" t="str">
        <x:v>Indirect</x:v>
      </x:c>
      <x:c r="F62" s="80" t="str">
        <x:v>Atlanta</x:v>
      </x:c>
      <x:c r="G62" s="80" t="str">
        <x:v>Distribution</x:v>
      </x:c>
      <x:c r="H62" s="81" t="n">
        <x:v>4020</x:v>
      </x:c>
      <x:c r="I62" s="80" t="str">
        <x:v>No</x:v>
      </x:c>
      <x:c r="J62" s="80" t="str">
        <x:v>No</x:v>
      </x:c>
      <x:c r="K62" s="80" t="str">
        <x:v>Yes</x:v>
      </x:c>
      <x:c r="L62" s="82" t="n">
        <x:v>0.1</x:v>
      </x:c>
      <x:c r="M62" s="80" t="str">
        <x:v>COO</x:v>
      </x:c>
      <x:c r="N62" s="80" t="str">
        <x:f>IF(OR(I62="No",J62="No"),"Yes","No")</x:f>
        <x:v>Yes</x:v>
      </x:c>
      <x:c r="O62" s="80" t="str">
        <x:f>IF(COUNTIFS($C:$C,C62)&lt;5,"Yes","No")</x:f>
        <x:v>No</x:v>
      </x:c>
      <x:c r="P62" s="81" t="n">
        <x:f>IF(K62="Yes",H62*L62,0)</x:f>
        <x:v>402</x:v>
      </x:c>
      <x:c r="Q62" s="80" t="str">
        <x:f>IF(N62="Yes","Maverick / non-preferred",IF(O62="Yes","Tail consolidation",IF(K62="Yes","Category sourcing","Non-addressable")))</x:f>
        <x:v>Maverick / non-preferred</x:v>
      </x:c>
      <x:c r="R62" s="83" t="str">
        <x:f>IF(P62&gt;=10000,"High",IF(P62&gt;=3000,"Medium","Low"))</x:f>
        <x:v>Low</x:v>
      </x:c>
    </x:row>
    <x:row r="63">
      <x:c r="A63" s="78" t="n">
        <x:v>59</x:v>
      </x:c>
      <x:c r="B63" s="79" t="n">
        <x:v>45942</x:v>
      </x:c>
      <x:c r="C63" s="80" t="str">
        <x:v>PowerCare</x:v>
      </x:c>
      <x:c r="D63" s="80" t="str">
        <x:v>Facilities</x:v>
      </x:c>
      <x:c r="E63" s="80" t="str">
        <x:v>Indirect</x:v>
      </x:c>
      <x:c r="F63" s="80" t="str">
        <x:v>Atlanta</x:v>
      </x:c>
      <x:c r="G63" s="80" t="str">
        <x:v>Manufacturing</x:v>
      </x:c>
      <x:c r="H63" s="81" t="n">
        <x:v>15630</x:v>
      </x:c>
      <x:c r="I63" s="80" t="str">
        <x:v>No</x:v>
      </x:c>
      <x:c r="J63" s="80" t="str">
        <x:v>No</x:v>
      </x:c>
      <x:c r="K63" s="80" t="str">
        <x:v>Yes</x:v>
      </x:c>
      <x:c r="L63" s="82" t="n">
        <x:v>0.1</x:v>
      </x:c>
      <x:c r="M63" s="80" t="str">
        <x:v>COO</x:v>
      </x:c>
      <x:c r="N63" s="80" t="str">
        <x:f>IF(OR(I63="No",J63="No"),"Yes","No")</x:f>
        <x:v>Yes</x:v>
      </x:c>
      <x:c r="O63" s="80" t="str">
        <x:f>IF(COUNTIFS($C:$C,C63)&lt;5,"Yes","No")</x:f>
        <x:v>No</x:v>
      </x:c>
      <x:c r="P63" s="81" t="n">
        <x:f>IF(K63="Yes",H63*L63,0)</x:f>
        <x:v>1563</x:v>
      </x:c>
      <x:c r="Q63" s="80" t="str">
        <x:f>IF(N63="Yes","Maverick / non-preferred",IF(O63="Yes","Tail consolidation",IF(K63="Yes","Category sourcing","Non-addressable")))</x:f>
        <x:v>Maverick / non-preferred</x:v>
      </x:c>
      <x:c r="R63" s="83" t="str">
        <x:f>IF(P63&gt;=10000,"High",IF(P63&gt;=3000,"Medium","Low"))</x:f>
        <x:v>Low</x:v>
      </x:c>
    </x:row>
    <x:row r="64">
      <x:c r="A64" s="78" t="n">
        <x:v>60</x:v>
      </x:c>
      <x:c r="B64" s="79" t="n">
        <x:v>45693</x:v>
      </x:c>
      <x:c r="C64" s="80" t="str">
        <x:v>DataGrid</x:v>
      </x:c>
      <x:c r="D64" s="80" t="str">
        <x:v>IT Software</x:v>
      </x:c>
      <x:c r="E64" s="80" t="str">
        <x:v>Indirect</x:v>
      </x:c>
      <x:c r="F64" s="80" t="str">
        <x:v>Dallas</x:v>
      </x:c>
      <x:c r="G64" s="80" t="str">
        <x:v>Distribution</x:v>
      </x:c>
      <x:c r="H64" s="81" t="n">
        <x:v>9180</x:v>
      </x:c>
      <x:c r="I64" s="80" t="str">
        <x:v>No</x:v>
      </x:c>
      <x:c r="J64" s="80" t="str">
        <x:v>No</x:v>
      </x:c>
      <x:c r="K64" s="80" t="str">
        <x:v>Yes</x:v>
      </x:c>
      <x:c r="L64" s="82" t="n">
        <x:v>0.12</x:v>
      </x:c>
      <x:c r="M64" s="80" t="str">
        <x:v>CIO</x:v>
      </x:c>
      <x:c r="N64" s="80" t="str">
        <x:f>IF(OR(I64="No",J64="No"),"Yes","No")</x:f>
        <x:v>Yes</x:v>
      </x:c>
      <x:c r="O64" s="80" t="str">
        <x:f>IF(COUNTIFS($C:$C,C64)&lt;5,"Yes","No")</x:f>
        <x:v>No</x:v>
      </x:c>
      <x:c r="P64" s="81" t="n">
        <x:f>IF(K64="Yes",H64*L64,0)</x:f>
        <x:v>1101.6</x:v>
      </x:c>
      <x:c r="Q64" s="80" t="str">
        <x:f>IF(N64="Yes","Maverick / non-preferred",IF(O64="Yes","Tail consolidation",IF(K64="Yes","Category sourcing","Non-addressable")))</x:f>
        <x:v>Maverick / non-preferred</x:v>
      </x:c>
      <x:c r="R64" s="83" t="str">
        <x:f>IF(P64&gt;=10000,"High",IF(P64&gt;=3000,"Medium","Low"))</x:f>
        <x:v>Low</x:v>
      </x:c>
    </x:row>
    <x:row r="65">
      <x:c r="A65" s="78" t="n">
        <x:v>61</x:v>
      </x:c>
      <x:c r="B65" s="79" t="n">
        <x:v>45719</x:v>
      </x:c>
      <x:c r="C65" s="80" t="str">
        <x:v>CloudSuite</x:v>
      </x:c>
      <x:c r="D65" s="80" t="str">
        <x:v>IT Software</x:v>
      </x:c>
      <x:c r="E65" s="80" t="str">
        <x:v>Indirect</x:v>
      </x:c>
      <x:c r="F65" s="80" t="str">
        <x:v>Columbus</x:v>
      </x:c>
      <x:c r="G65" s="80" t="str">
        <x:v>Field Operations</x:v>
      </x:c>
      <x:c r="H65" s="81" t="n">
        <x:v>22060</x:v>
      </x:c>
      <x:c r="I65" s="80" t="str">
        <x:v>Yes</x:v>
      </x:c>
      <x:c r="J65" s="80" t="str">
        <x:v>Yes</x:v>
      </x:c>
      <x:c r="K65" s="80" t="str">
        <x:v>Yes</x:v>
      </x:c>
      <x:c r="L65" s="82" t="n">
        <x:v>0.12</x:v>
      </x:c>
      <x:c r="M65" s="80" t="str">
        <x:v>CIO</x:v>
      </x:c>
      <x:c r="N65" s="80" t="str">
        <x:f>IF(OR(I65="No",J65="No"),"Yes","No")</x:f>
        <x:v>No</x:v>
      </x:c>
      <x:c r="O65" s="80" t="str">
        <x:f>IF(COUNTIFS($C:$C,C65)&lt;5,"Yes","No")</x:f>
        <x:v>No</x:v>
      </x:c>
      <x:c r="P65" s="81" t="n">
        <x:f>IF(K65="Yes",H65*L65,0)</x:f>
        <x:v>2647.2</x:v>
      </x:c>
      <x:c r="Q65" s="80" t="str">
        <x:f>IF(N65="Yes","Maverick / non-preferred",IF(O65="Yes","Tail consolidation",IF(K65="Yes","Category sourcing","Non-addressable")))</x:f>
        <x:v>Category sourcing</x:v>
      </x:c>
      <x:c r="R65" s="83" t="str">
        <x:f>IF(P65&gt;=10000,"High",IF(P65&gt;=3000,"Medium","Low"))</x:f>
        <x:v>Low</x:v>
      </x:c>
    </x:row>
    <x:row r="66">
      <x:c r="A66" s="78" t="n">
        <x:v>62</x:v>
      </x:c>
      <x:c r="B66" s="79" t="n">
        <x:v>46004</x:v>
      </x:c>
      <x:c r="C66" s="80" t="str">
        <x:v>ShipMax</x:v>
      </x:c>
      <x:c r="D66" s="80" t="str">
        <x:v>Freight &amp; Logistics</x:v>
      </x:c>
      <x:c r="E66" s="80" t="str">
        <x:v>Direct</x:v>
      </x:c>
      <x:c r="F66" s="80" t="str">
        <x:v>Columbus</x:v>
      </x:c>
      <x:c r="G66" s="80" t="str">
        <x:v>Field Operations</x:v>
      </x:c>
      <x:c r="H66" s="81" t="n">
        <x:v>48420</x:v>
      </x:c>
      <x:c r="I66" s="80" t="str">
        <x:v>Yes</x:v>
      </x:c>
      <x:c r="J66" s="80" t="str">
        <x:v>Yes</x:v>
      </x:c>
      <x:c r="K66" s="80" t="str">
        <x:v>Yes</x:v>
      </x:c>
      <x:c r="L66" s="82" t="n">
        <x:v>0.08</x:v>
      </x:c>
      <x:c r="M66" s="80" t="str">
        <x:v>COO</x:v>
      </x:c>
      <x:c r="N66" s="80" t="str">
        <x:f>IF(OR(I66="No",J66="No"),"Yes","No")</x:f>
        <x:v>No</x:v>
      </x:c>
      <x:c r="O66" s="80" t="str">
        <x:f>IF(COUNTIFS($C:$C,C66)&lt;5,"Yes","No")</x:f>
        <x:v>No</x:v>
      </x:c>
      <x:c r="P66" s="81" t="n">
        <x:f>IF(K66="Yes",H66*L66,0)</x:f>
        <x:v>3873.6</x:v>
      </x:c>
      <x:c r="Q66" s="80" t="str">
        <x:f>IF(N66="Yes","Maverick / non-preferred",IF(O66="Yes","Tail consolidation",IF(K66="Yes","Category sourcing","Non-addressable")))</x:f>
        <x:v>Category sourcing</x:v>
      </x:c>
      <x:c r="R66" s="83" t="str">
        <x:f>IF(P66&gt;=10000,"High",IF(P66&gt;=3000,"Medium","Low"))</x:f>
        <x:v>Medium</x:v>
      </x:c>
    </x:row>
    <x:row r="67">
      <x:c r="A67" s="78" t="n">
        <x:v>63</x:v>
      </x:c>
      <x:c r="B67" s="79" t="n">
        <x:v>45701</x:v>
      </x:c>
      <x:c r="C67" s="80" t="str">
        <x:v>OfficeDirect</x:v>
      </x:c>
      <x:c r="D67" s="80" t="str">
        <x:v>Office Supplies</x:v>
      </x:c>
      <x:c r="E67" s="80" t="str">
        <x:v>Indirect</x:v>
      </x:c>
      <x:c r="F67" s="80" t="str">
        <x:v>Dallas</x:v>
      </x:c>
      <x:c r="G67" s="80" t="str">
        <x:v>Corporate</x:v>
      </x:c>
      <x:c r="H67" s="81" t="n">
        <x:v>2240</x:v>
      </x:c>
      <x:c r="I67" s="80" t="str">
        <x:v>Yes</x:v>
      </x:c>
      <x:c r="J67" s="80" t="str">
        <x:v>No</x:v>
      </x:c>
      <x:c r="K67" s="80" t="str">
        <x:v>Yes</x:v>
      </x:c>
      <x:c r="L67" s="82" t="n">
        <x:v>0.18</x:v>
      </x:c>
      <x:c r="M67" s="80" t="str">
        <x:v>CFO</x:v>
      </x:c>
      <x:c r="N67" s="80" t="str">
        <x:f>IF(OR(I67="No",J67="No"),"Yes","No")</x:f>
        <x:v>Yes</x:v>
      </x:c>
      <x:c r="O67" s="80" t="str">
        <x:f>IF(COUNTIFS($C:$C,C67)&lt;5,"Yes","No")</x:f>
        <x:v>Yes</x:v>
      </x:c>
      <x:c r="P67" s="81" t="n">
        <x:f>IF(K67="Yes",H67*L67,0)</x:f>
        <x:v>403.2</x:v>
      </x:c>
      <x:c r="Q67" s="80" t="str">
        <x:f>IF(N67="Yes","Maverick / non-preferred",IF(O67="Yes","Tail consolidation",IF(K67="Yes","Category sourcing","Non-addressable")))</x:f>
        <x:v>Maverick / non-preferred</x:v>
      </x:c>
      <x:c r="R67" s="83" t="str">
        <x:f>IF(P67&gt;=10000,"High",IF(P67&gt;=3000,"Medium","Low"))</x:f>
        <x:v>Low</x:v>
      </x:c>
    </x:row>
    <x:row r="68">
      <x:c r="A68" s="78" t="n">
        <x:v>64</x:v>
      </x:c>
      <x:c r="B68" s="79" t="n">
        <x:v>45963</x:v>
      </x:c>
      <x:c r="C68" s="80" t="str">
        <x:v>Workplace Mart</x:v>
      </x:c>
      <x:c r="D68" s="80" t="str">
        <x:v>Office Supplies</x:v>
      </x:c>
      <x:c r="E68" s="80" t="str">
        <x:v>Indirect</x:v>
      </x:c>
      <x:c r="F68" s="80" t="str">
        <x:v>Dallas</x:v>
      </x:c>
      <x:c r="G68" s="80" t="str">
        <x:v>Corporate</x:v>
      </x:c>
      <x:c r="H68" s="81" t="n">
        <x:v>2360</x:v>
      </x:c>
      <x:c r="I68" s="80" t="str">
        <x:v>No</x:v>
      </x:c>
      <x:c r="J68" s="80" t="str">
        <x:v>No</x:v>
      </x:c>
      <x:c r="K68" s="80" t="str">
        <x:v>Yes</x:v>
      </x:c>
      <x:c r="L68" s="82" t="n">
        <x:v>0.18</x:v>
      </x:c>
      <x:c r="M68" s="80" t="str">
        <x:v>CFO</x:v>
      </x:c>
      <x:c r="N68" s="80" t="str">
        <x:f>IF(OR(I68="No",J68="No"),"Yes","No")</x:f>
        <x:v>Yes</x:v>
      </x:c>
      <x:c r="O68" s="80" t="str">
        <x:f>IF(COUNTIFS($C:$C,C68)&lt;5,"Yes","No")</x:f>
        <x:v>No</x:v>
      </x:c>
      <x:c r="P68" s="81" t="n">
        <x:f>IF(K68="Yes",H68*L68,0)</x:f>
        <x:v>424.8</x:v>
      </x:c>
      <x:c r="Q68" s="80" t="str">
        <x:f>IF(N68="Yes","Maverick / non-preferred",IF(O68="Yes","Tail consolidation",IF(K68="Yes","Category sourcing","Non-addressable")))</x:f>
        <x:v>Maverick / non-preferred</x:v>
      </x:c>
      <x:c r="R68" s="83" t="str">
        <x:f>IF(P68&gt;=10000,"High",IF(P68&gt;=3000,"Medium","Low"))</x:f>
        <x:v>Low</x:v>
      </x:c>
    </x:row>
    <x:row r="69">
      <x:c r="A69" s="78" t="n">
        <x:v>65</x:v>
      </x:c>
      <x:c r="B69" s="79" t="n">
        <x:v>45839</x:v>
      </x:c>
      <x:c r="C69" s="80" t="str">
        <x:v>Regional LTL</x:v>
      </x:c>
      <x:c r="D69" s="80" t="str">
        <x:v>Freight &amp; Logistics</x:v>
      </x:c>
      <x:c r="E69" s="80" t="str">
        <x:v>Direct</x:v>
      </x:c>
      <x:c r="F69" s="80" t="str">
        <x:v>Chicago</x:v>
      </x:c>
      <x:c r="G69" s="80" t="str">
        <x:v>Manufacturing</x:v>
      </x:c>
      <x:c r="H69" s="81" t="n">
        <x:v>29240</x:v>
      </x:c>
      <x:c r="I69" s="80" t="str">
        <x:v>No</x:v>
      </x:c>
      <x:c r="J69" s="80" t="str">
        <x:v>No</x:v>
      </x:c>
      <x:c r="K69" s="80" t="str">
        <x:v>Yes</x:v>
      </x:c>
      <x:c r="L69" s="82" t="n">
        <x:v>0.08</x:v>
      </x:c>
      <x:c r="M69" s="80" t="str">
        <x:v>COO</x:v>
      </x:c>
      <x:c r="N69" s="80" t="str">
        <x:f>IF(OR(I69="No",J69="No"),"Yes","No")</x:f>
        <x:v>Yes</x:v>
      </x:c>
      <x:c r="O69" s="80" t="str">
        <x:f>IF(COUNTIFS($C:$C,C69)&lt;5,"Yes","No")</x:f>
        <x:v>No</x:v>
      </x:c>
      <x:c r="P69" s="81" t="n">
        <x:f>IF(K69="Yes",H69*L69,0)</x:f>
        <x:v>2339.2000000000003</x:v>
      </x:c>
      <x:c r="Q69" s="80" t="str">
        <x:f>IF(N69="Yes","Maverick / non-preferred",IF(O69="Yes","Tail consolidation",IF(K69="Yes","Category sourcing","Non-addressable")))</x:f>
        <x:v>Maverick / non-preferred</x:v>
      </x:c>
      <x:c r="R69" s="83" t="str">
        <x:f>IF(P69&gt;=10000,"High",IF(P69&gt;=3000,"Medium","Low"))</x:f>
        <x:v>Low</x:v>
      </x:c>
    </x:row>
    <x:row r="70">
      <x:c r="A70" s="78" t="n">
        <x:v>66</x:v>
      </x:c>
      <x:c r="B70" s="79" t="n">
        <x:v>45965</x:v>
      </x:c>
      <x:c r="C70" s="80" t="str">
        <x:v>SupplyHub</x:v>
      </x:c>
      <x:c r="D70" s="80" t="str">
        <x:v>Office Supplies</x:v>
      </x:c>
      <x:c r="E70" s="80" t="str">
        <x:v>Indirect</x:v>
      </x:c>
      <x:c r="F70" s="80" t="str">
        <x:v>Atlanta</x:v>
      </x:c>
      <x:c r="G70" s="80" t="str">
        <x:v>Manufacturing</x:v>
      </x:c>
      <x:c r="H70" s="81" t="n">
        <x:v>2770</x:v>
      </x:c>
      <x:c r="I70" s="80" t="str">
        <x:v>Yes</x:v>
      </x:c>
      <x:c r="J70" s="80" t="str">
        <x:v>Yes</x:v>
      </x:c>
      <x:c r="K70" s="80" t="str">
        <x:v>Yes</x:v>
      </x:c>
      <x:c r="L70" s="82" t="n">
        <x:v>0.18</x:v>
      </x:c>
      <x:c r="M70" s="80" t="str">
        <x:v>CFO</x:v>
      </x:c>
      <x:c r="N70" s="80" t="str">
        <x:f>IF(OR(I70="No",J70="No"),"Yes","No")</x:f>
        <x:v>No</x:v>
      </x:c>
      <x:c r="O70" s="80" t="str">
        <x:f>IF(COUNTIFS($C:$C,C70)&lt;5,"Yes","No")</x:f>
        <x:v>No</x:v>
      </x:c>
      <x:c r="P70" s="81" t="n">
        <x:f>IF(K70="Yes",H70*L70,0)</x:f>
        <x:v>498.59999999999997</x:v>
      </x:c>
      <x:c r="Q70" s="80" t="str">
        <x:f>IF(N70="Yes","Maverick / non-preferred",IF(O70="Yes","Tail consolidation",IF(K70="Yes","Category sourcing","Non-addressable")))</x:f>
        <x:v>Category sourcing</x:v>
      </x:c>
      <x:c r="R70" s="83" t="str">
        <x:f>IF(P70&gt;=10000,"High",IF(P70&gt;=3000,"Medium","Low"))</x:f>
        <x:v>Low</x:v>
      </x:c>
    </x:row>
    <x:row r="71">
      <x:c r="A71" s="78" t="n">
        <x:v>67</x:v>
      </x:c>
      <x:c r="B71" s="79" t="n">
        <x:v>45844</x:v>
      </x:c>
      <x:c r="C71" s="80" t="str">
        <x:v>Allied Inputs</x:v>
      </x:c>
      <x:c r="D71" s="80" t="str">
        <x:v>Raw Materials</x:v>
      </x:c>
      <x:c r="E71" s="80" t="str">
        <x:v>Direct</x:v>
      </x:c>
      <x:c r="F71" s="80" t="str">
        <x:v>Chicago</x:v>
      </x:c>
      <x:c r="G71" s="80" t="str">
        <x:v>Field Operations</x:v>
      </x:c>
      <x:c r="H71" s="81" t="n">
        <x:v>33150</x:v>
      </x:c>
      <x:c r="I71" s="80" t="str">
        <x:v>No</x:v>
      </x:c>
      <x:c r="J71" s="80" t="str">
        <x:v>No</x:v>
      </x:c>
      <x:c r="K71" s="80" t="str">
        <x:v>No</x:v>
      </x:c>
      <x:c r="L71" s="82" t="n">
        <x:v>0.05</x:v>
      </x:c>
      <x:c r="M71" s="80" t="str">
        <x:v>COO</x:v>
      </x:c>
      <x:c r="N71" s="80" t="str">
        <x:f>IF(OR(I71="No",J71="No"),"Yes","No")</x:f>
        <x:v>Yes</x:v>
      </x:c>
      <x:c r="O71" s="80" t="str">
        <x:f>IF(COUNTIFS($C:$C,C71)&lt;5,"Yes","No")</x:f>
        <x:v>Yes</x:v>
      </x:c>
      <x:c r="P71" s="81" t="n">
        <x:f>IF(K71="Yes",H71*L71,0)</x:f>
        <x:v>0</x:v>
      </x:c>
      <x:c r="Q71" s="80" t="str">
        <x:f>IF(N71="Yes","Maverick / non-preferred",IF(O71="Yes","Tail consolidation",IF(K71="Yes","Category sourcing","Non-addressable")))</x:f>
        <x:v>Maverick / non-preferred</x:v>
      </x:c>
      <x:c r="R71" s="83" t="str">
        <x:f>IF(P71&gt;=10000,"High",IF(P71&gt;=3000,"Medium","Low"))</x:f>
        <x:v>Low</x:v>
      </x:c>
    </x:row>
    <x:row r="72">
      <x:c r="A72" s="78" t="n">
        <x:v>68</x:v>
      </x:c>
      <x:c r="B72" s="79" t="n">
        <x:v>45818</x:v>
      </x:c>
      <x:c r="C72" s="80" t="str">
        <x:v>PowerCare</x:v>
      </x:c>
      <x:c r="D72" s="80" t="str">
        <x:v>Facilities</x:v>
      </x:c>
      <x:c r="E72" s="80" t="str">
        <x:v>Indirect</x:v>
      </x:c>
      <x:c r="F72" s="80" t="str">
        <x:v>Atlanta</x:v>
      </x:c>
      <x:c r="G72" s="80" t="str">
        <x:v>Manufacturing</x:v>
      </x:c>
      <x:c r="H72" s="81" t="n">
        <x:v>5200</x:v>
      </x:c>
      <x:c r="I72" s="80" t="str">
        <x:v>No</x:v>
      </x:c>
      <x:c r="J72" s="80" t="str">
        <x:v>No</x:v>
      </x:c>
      <x:c r="K72" s="80" t="str">
        <x:v>Yes</x:v>
      </x:c>
      <x:c r="L72" s="82" t="n">
        <x:v>0.1</x:v>
      </x:c>
      <x:c r="M72" s="80" t="str">
        <x:v>COO</x:v>
      </x:c>
      <x:c r="N72" s="80" t="str">
        <x:f>IF(OR(I72="No",J72="No"),"Yes","No")</x:f>
        <x:v>Yes</x:v>
      </x:c>
      <x:c r="O72" s="80" t="str">
        <x:f>IF(COUNTIFS($C:$C,C72)&lt;5,"Yes","No")</x:f>
        <x:v>No</x:v>
      </x:c>
      <x:c r="P72" s="81" t="n">
        <x:f>IF(K72="Yes",H72*L72,0)</x:f>
        <x:v>520</x:v>
      </x:c>
      <x:c r="Q72" s="80" t="str">
        <x:f>IF(N72="Yes","Maverick / non-preferred",IF(O72="Yes","Tail consolidation",IF(K72="Yes","Category sourcing","Non-addressable")))</x:f>
        <x:v>Maverick / non-preferred</x:v>
      </x:c>
      <x:c r="R72" s="83" t="str">
        <x:f>IF(P72&gt;=10000,"High",IF(P72&gt;=3000,"Medium","Low"))</x:f>
        <x:v>Low</x:v>
      </x:c>
    </x:row>
    <x:row r="73">
      <x:c r="A73" s="78" t="n">
        <x:v>69</x:v>
      </x:c>
      <x:c r="B73" s="79" t="n">
        <x:v>45878</x:v>
      </x:c>
      <x:c r="C73" s="80" t="str">
        <x:v>ContractConsult</x:v>
      </x:c>
      <x:c r="D73" s="80" t="str">
        <x:v>Professional Services</x:v>
      </x:c>
      <x:c r="E73" s="80" t="str">
        <x:v>Indirect</x:v>
      </x:c>
      <x:c r="F73" s="80" t="str">
        <x:v>Dallas</x:v>
      </x:c>
      <x:c r="G73" s="80" t="str">
        <x:v>Manufacturing</x:v>
      </x:c>
      <x:c r="H73" s="81" t="n">
        <x:v>35280</x:v>
      </x:c>
      <x:c r="I73" s="80" t="str">
        <x:v>No</x:v>
      </x:c>
      <x:c r="J73" s="80" t="str">
        <x:v>No</x:v>
      </x:c>
      <x:c r="K73" s="80" t="str">
        <x:v>No</x:v>
      </x:c>
      <x:c r="L73" s="82" t="n">
        <x:v>0.09</x:v>
      </x:c>
      <x:c r="M73" s="80" t="str">
        <x:v>CFO</x:v>
      </x:c>
      <x:c r="N73" s="80" t="str">
        <x:f>IF(OR(I73="No",J73="No"),"Yes","No")</x:f>
        <x:v>Yes</x:v>
      </x:c>
      <x:c r="O73" s="80" t="str">
        <x:f>IF(COUNTIFS($C:$C,C73)&lt;5,"Yes","No")</x:f>
        <x:v>Yes</x:v>
      </x:c>
      <x:c r="P73" s="81" t="n">
        <x:f>IF(K73="Yes",H73*L73,0)</x:f>
        <x:v>0</x:v>
      </x:c>
      <x:c r="Q73" s="80" t="str">
        <x:f>IF(N73="Yes","Maverick / non-preferred",IF(O73="Yes","Tail consolidation",IF(K73="Yes","Category sourcing","Non-addressable")))</x:f>
        <x:v>Maverick / non-preferred</x:v>
      </x:c>
      <x:c r="R73" s="83" t="str">
        <x:f>IF(P73&gt;=10000,"High",IF(P73&gt;=3000,"Medium","Low"))</x:f>
        <x:v>Low</x:v>
      </x:c>
    </x:row>
    <x:row r="74">
      <x:c r="A74" s="78" t="n">
        <x:v>70</x:v>
      </x:c>
      <x:c r="B74" s="79" t="n">
        <x:v>45702</x:v>
      </x:c>
      <x:c r="C74" s="80" t="str">
        <x:v>FacilityOne</x:v>
      </x:c>
      <x:c r="D74" s="80" t="str">
        <x:v>Facilities</x:v>
      </x:c>
      <x:c r="E74" s="80" t="str">
        <x:v>Indirect</x:v>
      </x:c>
      <x:c r="F74" s="80" t="str">
        <x:v>Phoenix</x:v>
      </x:c>
      <x:c r="G74" s="80" t="str">
        <x:v>Field Operations</x:v>
      </x:c>
      <x:c r="H74" s="81" t="n">
        <x:v>9210</x:v>
      </x:c>
      <x:c r="I74" s="80" t="str">
        <x:v>Yes</x:v>
      </x:c>
      <x:c r="J74" s="80" t="str">
        <x:v>Yes</x:v>
      </x:c>
      <x:c r="K74" s="80" t="str">
        <x:v>Yes</x:v>
      </x:c>
      <x:c r="L74" s="82" t="n">
        <x:v>0.1</x:v>
      </x:c>
      <x:c r="M74" s="80" t="str">
        <x:v>COO</x:v>
      </x:c>
      <x:c r="N74" s="80" t="str">
        <x:f>IF(OR(I74="No",J74="No"),"Yes","No")</x:f>
        <x:v>No</x:v>
      </x:c>
      <x:c r="O74" s="80" t="str">
        <x:f>IF(COUNTIFS($C:$C,C74)&lt;5,"Yes","No")</x:f>
        <x:v>No</x:v>
      </x:c>
      <x:c r="P74" s="81" t="n">
        <x:f>IF(K74="Yes",H74*L74,0)</x:f>
        <x:v>921</x:v>
      </x:c>
      <x:c r="Q74" s="80" t="str">
        <x:f>IF(N74="Yes","Maverick / non-preferred",IF(O74="Yes","Tail consolidation",IF(K74="Yes","Category sourcing","Non-addressable")))</x:f>
        <x:v>Category sourcing</x:v>
      </x:c>
      <x:c r="R74" s="83" t="str">
        <x:f>IF(P74&gt;=10000,"High",IF(P74&gt;=3000,"Medium","Low"))</x:f>
        <x:v>Low</x:v>
      </x:c>
    </x:row>
    <x:row r="75">
      <x:c r="A75" s="78" t="n">
        <x:v>71</x:v>
      </x:c>
      <x:c r="B75" s="79" t="n">
        <x:v>46008</x:v>
      </x:c>
      <x:c r="C75" s="80" t="str">
        <x:v>LaborFlex</x:v>
      </x:c>
      <x:c r="D75" s="80" t="str">
        <x:v>Temp Labor</x:v>
      </x:c>
      <x:c r="E75" s="80" t="str">
        <x:v>Indirect</x:v>
      </x:c>
      <x:c r="F75" s="80" t="str">
        <x:v>Phoenix</x:v>
      </x:c>
      <x:c r="G75" s="80" t="str">
        <x:v>Corporate</x:v>
      </x:c>
      <x:c r="H75" s="81" t="n">
        <x:v>42260</x:v>
      </x:c>
      <x:c r="I75" s="80" t="str">
        <x:v>Yes</x:v>
      </x:c>
      <x:c r="J75" s="80" t="str">
        <x:v>Yes</x:v>
      </x:c>
      <x:c r="K75" s="80" t="str">
        <x:v>No</x:v>
      </x:c>
      <x:c r="L75" s="82" t="n">
        <x:v>0.07</x:v>
      </x:c>
      <x:c r="M75" s="80" t="str">
        <x:v>CHRO</x:v>
      </x:c>
      <x:c r="N75" s="80" t="str">
        <x:f>IF(OR(I75="No",J75="No"),"Yes","No")</x:f>
        <x:v>No</x:v>
      </x:c>
      <x:c r="O75" s="80" t="str">
        <x:f>IF(COUNTIFS($C:$C,C75)&lt;5,"Yes","No")</x:f>
        <x:v>No</x:v>
      </x:c>
      <x:c r="P75" s="81" t="n">
        <x:f>IF(K75="Yes",H75*L75,0)</x:f>
        <x:v>0</x:v>
      </x:c>
      <x:c r="Q75" s="80" t="str">
        <x:f>IF(N75="Yes","Maverick / non-preferred",IF(O75="Yes","Tail consolidation",IF(K75="Yes","Category sourcing","Non-addressable")))</x:f>
        <x:v>Non-addressable</x:v>
      </x:c>
      <x:c r="R75" s="83" t="str">
        <x:f>IF(P75&gt;=10000,"High",IF(P75&gt;=3000,"Medium","Low"))</x:f>
        <x:v>Low</x:v>
      </x:c>
    </x:row>
    <x:row r="76">
      <x:c r="A76" s="78" t="n">
        <x:v>72</x:v>
      </x:c>
      <x:c r="B76" s="79" t="n">
        <x:v>45901</x:v>
      </x:c>
      <x:c r="C76" s="80" t="str">
        <x:v>VoiceNet</x:v>
      </x:c>
      <x:c r="D76" s="80" t="str">
        <x:v>Telecom</x:v>
      </x:c>
      <x:c r="E76" s="80" t="str">
        <x:v>Indirect</x:v>
      </x:c>
      <x:c r="F76" s="80" t="str">
        <x:v>Columbus</x:v>
      </x:c>
      <x:c r="G76" s="80" t="str">
        <x:v>Field Operations</x:v>
      </x:c>
      <x:c r="H76" s="81" t="n">
        <x:v>4260</x:v>
      </x:c>
      <x:c r="I76" s="80" t="str">
        <x:v>No</x:v>
      </x:c>
      <x:c r="J76" s="80" t="str">
        <x:v>No</x:v>
      </x:c>
      <x:c r="K76" s="80" t="str">
        <x:v>Yes</x:v>
      </x:c>
      <x:c r="L76" s="82" t="n">
        <x:v>0.15</x:v>
      </x:c>
      <x:c r="M76" s="80" t="str">
        <x:v>CIO</x:v>
      </x:c>
      <x:c r="N76" s="80" t="str">
        <x:f>IF(OR(I76="No",J76="No"),"Yes","No")</x:f>
        <x:v>Yes</x:v>
      </x:c>
      <x:c r="O76" s="80" t="str">
        <x:f>IF(COUNTIFS($C:$C,C76)&lt;5,"Yes","No")</x:f>
        <x:v>Yes</x:v>
      </x:c>
      <x:c r="P76" s="81" t="n">
        <x:f>IF(K76="Yes",H76*L76,0)</x:f>
        <x:v>639</x:v>
      </x:c>
      <x:c r="Q76" s="80" t="str">
        <x:f>IF(N76="Yes","Maverick / non-preferred",IF(O76="Yes","Tail consolidation",IF(K76="Yes","Category sourcing","Non-addressable")))</x:f>
        <x:v>Maverick / non-preferred</x:v>
      </x:c>
      <x:c r="R76" s="83" t="str">
        <x:f>IF(P76&gt;=10000,"High",IF(P76&gt;=3000,"Medium","Low"))</x:f>
        <x:v>Low</x:v>
      </x:c>
    </x:row>
    <x:row r="77">
      <x:c r="A77" s="78" t="n">
        <x:v>73</x:v>
      </x:c>
      <x:c r="B77" s="79" t="n">
        <x:v>45996</x:v>
      </x:c>
      <x:c r="C77" s="80" t="str">
        <x:v>United Materials</x:v>
      </x:c>
      <x:c r="D77" s="80" t="str">
        <x:v>Raw Materials</x:v>
      </x:c>
      <x:c r="E77" s="80" t="str">
        <x:v>Direct</x:v>
      </x:c>
      <x:c r="F77" s="80" t="str">
        <x:v>Atlanta</x:v>
      </x:c>
      <x:c r="G77" s="80" t="str">
        <x:v>Manufacturing</x:v>
      </x:c>
      <x:c r="H77" s="81" t="n">
        <x:v>37800</x:v>
      </x:c>
      <x:c r="I77" s="80" t="str">
        <x:v>No</x:v>
      </x:c>
      <x:c r="J77" s="80" t="str">
        <x:v>No</x:v>
      </x:c>
      <x:c r="K77" s="80" t="str">
        <x:v>No</x:v>
      </x:c>
      <x:c r="L77" s="82" t="n">
        <x:v>0.05</x:v>
      </x:c>
      <x:c r="M77" s="80" t="str">
        <x:v>COO</x:v>
      </x:c>
      <x:c r="N77" s="80" t="str">
        <x:f>IF(OR(I77="No",J77="No"),"Yes","No")</x:f>
        <x:v>Yes</x:v>
      </x:c>
      <x:c r="O77" s="80" t="str">
        <x:f>IF(COUNTIFS($C:$C,C77)&lt;5,"Yes","No")</x:f>
        <x:v>Yes</x:v>
      </x:c>
      <x:c r="P77" s="81" t="n">
        <x:f>IF(K77="Yes",H77*L77,0)</x:f>
        <x:v>0</x:v>
      </x:c>
      <x:c r="Q77" s="80" t="str">
        <x:f>IF(N77="Yes","Maverick / non-preferred",IF(O77="Yes","Tail consolidation",IF(K77="Yes","Category sourcing","Non-addressable")))</x:f>
        <x:v>Maverick / non-preferred</x:v>
      </x:c>
      <x:c r="R77" s="83" t="str">
        <x:f>IF(P77&gt;=10000,"High",IF(P77&gt;=3000,"Medium","Low"))</x:f>
        <x:v>Low</x:v>
      </x:c>
    </x:row>
    <x:row r="78">
      <x:c r="A78" s="78" t="n">
        <x:v>74</x:v>
      </x:c>
      <x:c r="B78" s="79" t="n">
        <x:v>45853</x:v>
      </x:c>
      <x:c r="C78" s="80" t="str">
        <x:v>FastLane Carriers</x:v>
      </x:c>
      <x:c r="D78" s="80" t="str">
        <x:v>Freight &amp; Logistics</x:v>
      </x:c>
      <x:c r="E78" s="80" t="str">
        <x:v>Direct</x:v>
      </x:c>
      <x:c r="F78" s="80" t="str">
        <x:v>Atlanta</x:v>
      </x:c>
      <x:c r="G78" s="80" t="str">
        <x:v>Field Operations</x:v>
      </x:c>
      <x:c r="H78" s="81" t="n">
        <x:v>21810</x:v>
      </x:c>
      <x:c r="I78" s="80" t="str">
        <x:v>Yes</x:v>
      </x:c>
      <x:c r="J78" s="80" t="str">
        <x:v>No</x:v>
      </x:c>
      <x:c r="K78" s="80" t="str">
        <x:v>Yes</x:v>
      </x:c>
      <x:c r="L78" s="82" t="n">
        <x:v>0.08</x:v>
      </x:c>
      <x:c r="M78" s="80" t="str">
        <x:v>COO</x:v>
      </x:c>
      <x:c r="N78" s="80" t="str">
        <x:f>IF(OR(I78="No",J78="No"),"Yes","No")</x:f>
        <x:v>Yes</x:v>
      </x:c>
      <x:c r="O78" s="80" t="str">
        <x:f>IF(COUNTIFS($C:$C,C78)&lt;5,"Yes","No")</x:f>
        <x:v>No</x:v>
      </x:c>
      <x:c r="P78" s="81" t="n">
        <x:f>IF(K78="Yes",H78*L78,0)</x:f>
        <x:v>1744.8</x:v>
      </x:c>
      <x:c r="Q78" s="80" t="str">
        <x:f>IF(N78="Yes","Maverick / non-preferred",IF(O78="Yes","Tail consolidation",IF(K78="Yes","Category sourcing","Non-addressable")))</x:f>
        <x:v>Maverick / non-preferred</x:v>
      </x:c>
      <x:c r="R78" s="83" t="str">
        <x:f>IF(P78&gt;=10000,"High",IF(P78&gt;=3000,"Medium","Low"))</x:f>
        <x:v>Low</x:v>
      </x:c>
    </x:row>
    <x:row r="79">
      <x:c r="A79" s="78" t="n">
        <x:v>75</x:v>
      </x:c>
      <x:c r="B79" s="79" t="n">
        <x:v>45703</x:v>
      </x:c>
      <x:c r="C79" s="80" t="str">
        <x:v>SecureID</x:v>
      </x:c>
      <x:c r="D79" s="80" t="str">
        <x:v>IT Software</x:v>
      </x:c>
      <x:c r="E79" s="80" t="str">
        <x:v>Indirect</x:v>
      </x:c>
      <x:c r="F79" s="80" t="str">
        <x:v>Dallas</x:v>
      </x:c>
      <x:c r="G79" s="80" t="str">
        <x:v>Manufacturing</x:v>
      </x:c>
      <x:c r="H79" s="81" t="n">
        <x:v>12370</x:v>
      </x:c>
      <x:c r="I79" s="80" t="str">
        <x:v>Yes</x:v>
      </x:c>
      <x:c r="J79" s="80" t="str">
        <x:v>Yes</x:v>
      </x:c>
      <x:c r="K79" s="80" t="str">
        <x:v>Yes</x:v>
      </x:c>
      <x:c r="L79" s="82" t="n">
        <x:v>0.12</x:v>
      </x:c>
      <x:c r="M79" s="80" t="str">
        <x:v>CIO</x:v>
      </x:c>
      <x:c r="N79" s="80" t="str">
        <x:f>IF(OR(I79="No",J79="No"),"Yes","No")</x:f>
        <x:v>No</x:v>
      </x:c>
      <x:c r="O79" s="80" t="str">
        <x:f>IF(COUNTIFS($C:$C,C79)&lt;5,"Yes","No")</x:f>
        <x:v>No</x:v>
      </x:c>
      <x:c r="P79" s="81" t="n">
        <x:f>IF(K79="Yes",H79*L79,0)</x:f>
        <x:v>1484.3999999999999</x:v>
      </x:c>
      <x:c r="Q79" s="80" t="str">
        <x:f>IF(N79="Yes","Maverick / non-preferred",IF(O79="Yes","Tail consolidation",IF(K79="Yes","Category sourcing","Non-addressable")))</x:f>
        <x:v>Category sourcing</x:v>
      </x:c>
      <x:c r="R79" s="83" t="str">
        <x:f>IF(P79&gt;=10000,"High",IF(P79&gt;=3000,"Medium","Low"))</x:f>
        <x:v>Low</x:v>
      </x:c>
    </x:row>
    <x:row r="80">
      <x:c r="A80" s="78" t="n">
        <x:v>76</x:v>
      </x:c>
      <x:c r="B80" s="79" t="n">
        <x:v>45919</x:v>
      </x:c>
      <x:c r="C80" s="80" t="str">
        <x:v>ContractConsult</x:v>
      </x:c>
      <x:c r="D80" s="80" t="str">
        <x:v>Professional Services</x:v>
      </x:c>
      <x:c r="E80" s="80" t="str">
        <x:v>Indirect</x:v>
      </x:c>
      <x:c r="F80" s="80" t="str">
        <x:v>Columbus</x:v>
      </x:c>
      <x:c r="G80" s="80" t="str">
        <x:v>Distribution</x:v>
      </x:c>
      <x:c r="H80" s="81" t="n">
        <x:v>34930</x:v>
      </x:c>
      <x:c r="I80" s="80" t="str">
        <x:v>Yes</x:v>
      </x:c>
      <x:c r="J80" s="80" t="str">
        <x:v>No</x:v>
      </x:c>
      <x:c r="K80" s="80" t="str">
        <x:v>No</x:v>
      </x:c>
      <x:c r="L80" s="82" t="n">
        <x:v>0.09</x:v>
      </x:c>
      <x:c r="M80" s="80" t="str">
        <x:v>CFO</x:v>
      </x:c>
      <x:c r="N80" s="80" t="str">
        <x:f>IF(OR(I80="No",J80="No"),"Yes","No")</x:f>
        <x:v>Yes</x:v>
      </x:c>
      <x:c r="O80" s="80" t="str">
        <x:f>IF(COUNTIFS($C:$C,C80)&lt;5,"Yes","No")</x:f>
        <x:v>Yes</x:v>
      </x:c>
      <x:c r="P80" s="81" t="n">
        <x:f>IF(K80="Yes",H80*L80,0)</x:f>
        <x:v>0</x:v>
      </x:c>
      <x:c r="Q80" s="80" t="str">
        <x:f>IF(N80="Yes","Maverick / non-preferred",IF(O80="Yes","Tail consolidation",IF(K80="Yes","Category sourcing","Non-addressable")))</x:f>
        <x:v>Maverick / non-preferred</x:v>
      </x:c>
      <x:c r="R80" s="83" t="str">
        <x:f>IF(P80&gt;=10000,"High",IF(P80&gt;=3000,"Medium","Low"))</x:f>
        <x:v>Low</x:v>
      </x:c>
    </x:row>
    <x:row r="81">
      <x:c r="A81" s="78" t="n">
        <x:v>77</x:v>
      </x:c>
      <x:c r="B81" s="79" t="n">
        <x:v>45755</x:v>
      </x:c>
      <x:c r="C81" s="80" t="str">
        <x:v>SupplyHub</x:v>
      </x:c>
      <x:c r="D81" s="80" t="str">
        <x:v>Office Supplies</x:v>
      </x:c>
      <x:c r="E81" s="80" t="str">
        <x:v>Indirect</x:v>
      </x:c>
      <x:c r="F81" s="80" t="str">
        <x:v>Columbus</x:v>
      </x:c>
      <x:c r="G81" s="80" t="str">
        <x:v>Corporate</x:v>
      </x:c>
      <x:c r="H81" s="81" t="n">
        <x:v>1320</x:v>
      </x:c>
      <x:c r="I81" s="80" t="str">
        <x:v>No</x:v>
      </x:c>
      <x:c r="J81" s="80" t="str">
        <x:v>Yes</x:v>
      </x:c>
      <x:c r="K81" s="80" t="str">
        <x:v>Yes</x:v>
      </x:c>
      <x:c r="L81" s="82" t="n">
        <x:v>0.18</x:v>
      </x:c>
      <x:c r="M81" s="80" t="str">
        <x:v>CFO</x:v>
      </x:c>
      <x:c r="N81" s="80" t="str">
        <x:f>IF(OR(I81="No",J81="No"),"Yes","No")</x:f>
        <x:v>Yes</x:v>
      </x:c>
      <x:c r="O81" s="80" t="str">
        <x:f>IF(COUNTIFS($C:$C,C81)&lt;5,"Yes","No")</x:f>
        <x:v>No</x:v>
      </x:c>
      <x:c r="P81" s="81" t="n">
        <x:f>IF(K81="Yes",H81*L81,0)</x:f>
        <x:v>237.6</x:v>
      </x:c>
      <x:c r="Q81" s="80" t="str">
        <x:f>IF(N81="Yes","Maverick / non-preferred",IF(O81="Yes","Tail consolidation",IF(K81="Yes","Category sourcing","Non-addressable")))</x:f>
        <x:v>Maverick / non-preferred</x:v>
      </x:c>
      <x:c r="R81" s="83" t="str">
        <x:f>IF(P81&gt;=10000,"High",IF(P81&gt;=3000,"Medium","Low"))</x:f>
        <x:v>Low</x:v>
      </x:c>
    </x:row>
    <x:row r="82">
      <x:c r="A82" s="78" t="n">
        <x:v>78</x:v>
      </x:c>
      <x:c r="B82" s="79" t="n">
        <x:v>45775</x:v>
      </x:c>
      <x:c r="C82" s="80" t="str">
        <x:v>Summit Polymers</x:v>
      </x:c>
      <x:c r="D82" s="80" t="str">
        <x:v>Raw Materials</x:v>
      </x:c>
      <x:c r="E82" s="80" t="str">
        <x:v>Direct</x:v>
      </x:c>
      <x:c r="F82" s="80" t="str">
        <x:v>Columbus</x:v>
      </x:c>
      <x:c r="G82" s="80" t="str">
        <x:v>Distribution</x:v>
      </x:c>
      <x:c r="H82" s="81" t="n">
        <x:v>55360</x:v>
      </x:c>
      <x:c r="I82" s="80" t="str">
        <x:v>Yes</x:v>
      </x:c>
      <x:c r="J82" s="80" t="str">
        <x:v>Yes</x:v>
      </x:c>
      <x:c r="K82" s="80" t="str">
        <x:v>Yes</x:v>
      </x:c>
      <x:c r="L82" s="82" t="n">
        <x:v>0.05</x:v>
      </x:c>
      <x:c r="M82" s="80" t="str">
        <x:v>COO</x:v>
      </x:c>
      <x:c r="N82" s="80" t="str">
        <x:f>IF(OR(I82="No",J82="No"),"Yes","No")</x:f>
        <x:v>No</x:v>
      </x:c>
      <x:c r="O82" s="80" t="str">
        <x:f>IF(COUNTIFS($C:$C,C82)&lt;5,"Yes","No")</x:f>
        <x:v>No</x:v>
      </x:c>
      <x:c r="P82" s="81" t="n">
        <x:f>IF(K82="Yes",H82*L82,0)</x:f>
        <x:v>2768</x:v>
      </x:c>
      <x:c r="Q82" s="80" t="str">
        <x:f>IF(N82="Yes","Maverick / non-preferred",IF(O82="Yes","Tail consolidation",IF(K82="Yes","Category sourcing","Non-addressable")))</x:f>
        <x:v>Category sourcing</x:v>
      </x:c>
      <x:c r="R82" s="83" t="str">
        <x:f>IF(P82&gt;=10000,"High",IF(P82&gt;=3000,"Medium","Low"))</x:f>
        <x:v>Low</x:v>
      </x:c>
    </x:row>
    <x:row r="83">
      <x:c r="A83" s="78" t="n">
        <x:v>79</x:v>
      </x:c>
      <x:c r="B83" s="79" t="n">
        <x:v>45867</x:v>
      </x:c>
      <x:c r="C83" s="80" t="str">
        <x:v>FiberOne</x:v>
      </x:c>
      <x:c r="D83" s="80" t="str">
        <x:v>Telecom</x:v>
      </x:c>
      <x:c r="E83" s="80" t="str">
        <x:v>Indirect</x:v>
      </x:c>
      <x:c r="F83" s="80" t="str">
        <x:v>Atlanta</x:v>
      </x:c>
      <x:c r="G83" s="80" t="str">
        <x:v>Field Operations</x:v>
      </x:c>
      <x:c r="H83" s="81" t="n">
        <x:v>4000</x:v>
      </x:c>
      <x:c r="I83" s="80" t="str">
        <x:v>No</x:v>
      </x:c>
      <x:c r="J83" s="80" t="str">
        <x:v>No</x:v>
      </x:c>
      <x:c r="K83" s="80" t="str">
        <x:v>Yes</x:v>
      </x:c>
      <x:c r="L83" s="82" t="n">
        <x:v>0.15</x:v>
      </x:c>
      <x:c r="M83" s="80" t="str">
        <x:v>CIO</x:v>
      </x:c>
      <x:c r="N83" s="80" t="str">
        <x:f>IF(OR(I83="No",J83="No"),"Yes","No")</x:f>
        <x:v>Yes</x:v>
      </x:c>
      <x:c r="O83" s="80" t="str">
        <x:f>IF(COUNTIFS($C:$C,C83)&lt;5,"Yes","No")</x:f>
        <x:v>No</x:v>
      </x:c>
      <x:c r="P83" s="81" t="n">
        <x:f>IF(K83="Yes",H83*L83,0)</x:f>
        <x:v>600</x:v>
      </x:c>
      <x:c r="Q83" s="80" t="str">
        <x:f>IF(N83="Yes","Maverick / non-preferred",IF(O83="Yes","Tail consolidation",IF(K83="Yes","Category sourcing","Non-addressable")))</x:f>
        <x:v>Maverick / non-preferred</x:v>
      </x:c>
      <x:c r="R83" s="83" t="str">
        <x:f>IF(P83&gt;=10000,"High",IF(P83&gt;=3000,"Medium","Low"))</x:f>
        <x:v>Low</x:v>
      </x:c>
    </x:row>
    <x:row r="84">
      <x:c r="A84" s="78" t="n">
        <x:v>80</x:v>
      </x:c>
      <x:c r="B84" s="79" t="n">
        <x:v>45774</x:v>
      </x:c>
      <x:c r="C84" s="80" t="str">
        <x:v>SecureID</x:v>
      </x:c>
      <x:c r="D84" s="80" t="str">
        <x:v>IT Software</x:v>
      </x:c>
      <x:c r="E84" s="80" t="str">
        <x:v>Indirect</x:v>
      </x:c>
      <x:c r="F84" s="80" t="str">
        <x:v>Atlanta</x:v>
      </x:c>
      <x:c r="G84" s="80" t="str">
        <x:v>Field Operations</x:v>
      </x:c>
      <x:c r="H84" s="81" t="n">
        <x:v>16130</x:v>
      </x:c>
      <x:c r="I84" s="80" t="str">
        <x:v>Yes</x:v>
      </x:c>
      <x:c r="J84" s="80" t="str">
        <x:v>Yes</x:v>
      </x:c>
      <x:c r="K84" s="80" t="str">
        <x:v>Yes</x:v>
      </x:c>
      <x:c r="L84" s="82" t="n">
        <x:v>0.12</x:v>
      </x:c>
      <x:c r="M84" s="80" t="str">
        <x:v>CIO</x:v>
      </x:c>
      <x:c r="N84" s="80" t="str">
        <x:f>IF(OR(I84="No",J84="No"),"Yes","No")</x:f>
        <x:v>No</x:v>
      </x:c>
      <x:c r="O84" s="80" t="str">
        <x:f>IF(COUNTIFS($C:$C,C84)&lt;5,"Yes","No")</x:f>
        <x:v>No</x:v>
      </x:c>
      <x:c r="P84" s="81" t="n">
        <x:f>IF(K84="Yes",H84*L84,0)</x:f>
        <x:v>1935.6</x:v>
      </x:c>
      <x:c r="Q84" s="80" t="str">
        <x:f>IF(N84="Yes","Maverick / non-preferred",IF(O84="Yes","Tail consolidation",IF(K84="Yes","Category sourcing","Non-addressable")))</x:f>
        <x:v>Category sourcing</x:v>
      </x:c>
      <x:c r="R84" s="83" t="str">
        <x:f>IF(P84&gt;=10000,"High",IF(P84&gt;=3000,"Medium","Low"))</x:f>
        <x:v>Low</x:v>
      </x:c>
    </x:row>
    <x:row r="85">
      <x:c r="A85" s="78" t="n">
        <x:v>81</x:v>
      </x:c>
      <x:c r="B85" s="79" t="n">
        <x:v>45920</x:v>
      </x:c>
      <x:c r="C85" s="80" t="str">
        <x:v>ConnectTel</x:v>
      </x:c>
      <x:c r="D85" s="80" t="str">
        <x:v>Telecom</x:v>
      </x:c>
      <x:c r="E85" s="80" t="str">
        <x:v>Indirect</x:v>
      </x:c>
      <x:c r="F85" s="80" t="str">
        <x:v>Dallas</x:v>
      </x:c>
      <x:c r="G85" s="80" t="str">
        <x:v>Distribution</x:v>
      </x:c>
      <x:c r="H85" s="81" t="n">
        <x:v>6400</x:v>
      </x:c>
      <x:c r="I85" s="80" t="str">
        <x:v>Yes</x:v>
      </x:c>
      <x:c r="J85" s="80" t="str">
        <x:v>Yes</x:v>
      </x:c>
      <x:c r="K85" s="80" t="str">
        <x:v>Yes</x:v>
      </x:c>
      <x:c r="L85" s="82" t="n">
        <x:v>0.15</x:v>
      </x:c>
      <x:c r="M85" s="80" t="str">
        <x:v>CIO</x:v>
      </x:c>
      <x:c r="N85" s="80" t="str">
        <x:f>IF(OR(I85="No",J85="No"),"Yes","No")</x:f>
        <x:v>No</x:v>
      </x:c>
      <x:c r="O85" s="80" t="str">
        <x:f>IF(COUNTIFS($C:$C,C85)&lt;5,"Yes","No")</x:f>
        <x:v>No</x:v>
      </x:c>
      <x:c r="P85" s="81" t="n">
        <x:f>IF(K85="Yes",H85*L85,0)</x:f>
        <x:v>960</x:v>
      </x:c>
      <x:c r="Q85" s="80" t="str">
        <x:f>IF(N85="Yes","Maverick / non-preferred",IF(O85="Yes","Tail consolidation",IF(K85="Yes","Category sourcing","Non-addressable")))</x:f>
        <x:v>Category sourcing</x:v>
      </x:c>
      <x:c r="R85" s="83" t="str">
        <x:f>IF(P85&gt;=10000,"High",IF(P85&gt;=3000,"Medium","Low"))</x:f>
        <x:v>Low</x:v>
      </x:c>
    </x:row>
    <x:row r="86">
      <x:c r="A86" s="78" t="n">
        <x:v>82</x:v>
      </x:c>
      <x:c r="B86" s="79" t="n">
        <x:v>45739</x:v>
      </x:c>
      <x:c r="C86" s="80" t="str">
        <x:v>ShiftPro</x:v>
      </x:c>
      <x:c r="D86" s="80" t="str">
        <x:v>Temp Labor</x:v>
      </x:c>
      <x:c r="E86" s="80" t="str">
        <x:v>Indirect</x:v>
      </x:c>
      <x:c r="F86" s="80" t="str">
        <x:v>Columbus</x:v>
      </x:c>
      <x:c r="G86" s="80" t="str">
        <x:v>Field Operations</x:v>
      </x:c>
      <x:c r="H86" s="81" t="n">
        <x:v>39350</x:v>
      </x:c>
      <x:c r="I86" s="80" t="str">
        <x:v>No</x:v>
      </x:c>
      <x:c r="J86" s="80" t="str">
        <x:v>No</x:v>
      </x:c>
      <x:c r="K86" s="80" t="str">
        <x:v>No</x:v>
      </x:c>
      <x:c r="L86" s="82" t="n">
        <x:v>0.07</x:v>
      </x:c>
      <x:c r="M86" s="80" t="str">
        <x:v>CHRO</x:v>
      </x:c>
      <x:c r="N86" s="80" t="str">
        <x:f>IF(OR(I86="No",J86="No"),"Yes","No")</x:f>
        <x:v>Yes</x:v>
      </x:c>
      <x:c r="O86" s="80" t="str">
        <x:f>IF(COUNTIFS($C:$C,C86)&lt;5,"Yes","No")</x:f>
        <x:v>No</x:v>
      </x:c>
      <x:c r="P86" s="81" t="n">
        <x:f>IF(K86="Yes",H86*L86,0)</x:f>
        <x:v>0</x:v>
      </x:c>
      <x:c r="Q86" s="80" t="str">
        <x:f>IF(N86="Yes","Maverick / non-preferred",IF(O86="Yes","Tail consolidation",IF(K86="Yes","Category sourcing","Non-addressable")))</x:f>
        <x:v>Maverick / non-preferred</x:v>
      </x:c>
      <x:c r="R86" s="83" t="str">
        <x:f>IF(P86&gt;=10000,"High",IF(P86&gt;=3000,"Medium","Low"))</x:f>
        <x:v>Low</x:v>
      </x:c>
    </x:row>
    <x:row r="87">
      <x:c r="A87" s="78" t="n">
        <x:v>83</x:v>
      </x:c>
      <x:c r="B87" s="79" t="n">
        <x:v>45858</x:v>
      </x:c>
      <x:c r="C87" s="80" t="str">
        <x:v>ShipMax</x:v>
      </x:c>
      <x:c r="D87" s="80" t="str">
        <x:v>Freight &amp; Logistics</x:v>
      </x:c>
      <x:c r="E87" s="80" t="str">
        <x:v>Direct</x:v>
      </x:c>
      <x:c r="F87" s="80" t="str">
        <x:v>Columbus</x:v>
      </x:c>
      <x:c r="G87" s="80" t="str">
        <x:v>Distribution</x:v>
      </x:c>
      <x:c r="H87" s="81" t="n">
        <x:v>7780</x:v>
      </x:c>
      <x:c r="I87" s="80" t="str">
        <x:v>Yes</x:v>
      </x:c>
      <x:c r="J87" s="80" t="str">
        <x:v>Yes</x:v>
      </x:c>
      <x:c r="K87" s="80" t="str">
        <x:v>Yes</x:v>
      </x:c>
      <x:c r="L87" s="82" t="n">
        <x:v>0.08</x:v>
      </x:c>
      <x:c r="M87" s="80" t="str">
        <x:v>COO</x:v>
      </x:c>
      <x:c r="N87" s="80" t="str">
        <x:f>IF(OR(I87="No",J87="No"),"Yes","No")</x:f>
        <x:v>No</x:v>
      </x:c>
      <x:c r="O87" s="80" t="str">
        <x:f>IF(COUNTIFS($C:$C,C87)&lt;5,"Yes","No")</x:f>
        <x:v>No</x:v>
      </x:c>
      <x:c r="P87" s="81" t="n">
        <x:f>IF(K87="Yes",H87*L87,0)</x:f>
        <x:v>622.4</x:v>
      </x:c>
      <x:c r="Q87" s="80" t="str">
        <x:f>IF(N87="Yes","Maverick / non-preferred",IF(O87="Yes","Tail consolidation",IF(K87="Yes","Category sourcing","Non-addressable")))</x:f>
        <x:v>Category sourcing</x:v>
      </x:c>
      <x:c r="R87" s="83" t="str">
        <x:f>IF(P87&gt;=10000,"High",IF(P87&gt;=3000,"Medium","Low"))</x:f>
        <x:v>Low</x:v>
      </x:c>
    </x:row>
    <x:row r="88">
      <x:c r="A88" s="78" t="n">
        <x:v>84</x:v>
      </x:c>
      <x:c r="B88" s="79" t="n">
        <x:v>45883</x:v>
      </x:c>
      <x:c r="C88" s="80" t="str">
        <x:v>VoiceNet</x:v>
      </x:c>
      <x:c r="D88" s="80" t="str">
        <x:v>Telecom</x:v>
      </x:c>
      <x:c r="E88" s="80" t="str">
        <x:v>Indirect</x:v>
      </x:c>
      <x:c r="F88" s="80" t="str">
        <x:v>Chicago</x:v>
      </x:c>
      <x:c r="G88" s="80" t="str">
        <x:v>Distribution</x:v>
      </x:c>
      <x:c r="H88" s="81" t="n">
        <x:v>13640</x:v>
      </x:c>
      <x:c r="I88" s="80" t="str">
        <x:v>No</x:v>
      </x:c>
      <x:c r="J88" s="80" t="str">
        <x:v>No</x:v>
      </x:c>
      <x:c r="K88" s="80" t="str">
        <x:v>Yes</x:v>
      </x:c>
      <x:c r="L88" s="82" t="n">
        <x:v>0.15</x:v>
      </x:c>
      <x:c r="M88" s="80" t="str">
        <x:v>CIO</x:v>
      </x:c>
      <x:c r="N88" s="80" t="str">
        <x:f>IF(OR(I88="No",J88="No"),"Yes","No")</x:f>
        <x:v>Yes</x:v>
      </x:c>
      <x:c r="O88" s="80" t="str">
        <x:f>IF(COUNTIFS($C:$C,C88)&lt;5,"Yes","No")</x:f>
        <x:v>Yes</x:v>
      </x:c>
      <x:c r="P88" s="81" t="n">
        <x:f>IF(K88="Yes",H88*L88,0)</x:f>
        <x:v>2046</x:v>
      </x:c>
      <x:c r="Q88" s="80" t="str">
        <x:f>IF(N88="Yes","Maverick / non-preferred",IF(O88="Yes","Tail consolidation",IF(K88="Yes","Category sourcing","Non-addressable")))</x:f>
        <x:v>Maverick / non-preferred</x:v>
      </x:c>
      <x:c r="R88" s="83" t="str">
        <x:f>IF(P88&gt;=10000,"High",IF(P88&gt;=3000,"Medium","Low"))</x:f>
        <x:v>Low</x:v>
      </x:c>
    </x:row>
    <x:row r="89">
      <x:c r="A89" s="78" t="n">
        <x:v>85</x:v>
      </x:c>
      <x:c r="B89" s="79" t="n">
        <x:v>45678</x:v>
      </x:c>
      <x:c r="C89" s="80" t="str">
        <x:v>PartsPlus</x:v>
      </x:c>
      <x:c r="D89" s="80" t="str">
        <x:v>MRO</x:v>
      </x:c>
      <x:c r="E89" s="80" t="str">
        <x:v>Direct</x:v>
      </x:c>
      <x:c r="F89" s="80" t="str">
        <x:v>Atlanta</x:v>
      </x:c>
      <x:c r="G89" s="80" t="str">
        <x:v>Distribution</x:v>
      </x:c>
      <x:c r="H89" s="81" t="n">
        <x:v>16440</x:v>
      </x:c>
      <x:c r="I89" s="80" t="str">
        <x:v>Yes</x:v>
      </x:c>
      <x:c r="J89" s="80" t="str">
        <x:v>Yes</x:v>
      </x:c>
      <x:c r="K89" s="80" t="str">
        <x:v>No</x:v>
      </x:c>
      <x:c r="L89" s="82" t="n">
        <x:v>0.06</x:v>
      </x:c>
      <x:c r="M89" s="80" t="str">
        <x:v>COO</x:v>
      </x:c>
      <x:c r="N89" s="80" t="str">
        <x:f>IF(OR(I89="No",J89="No"),"Yes","No")</x:f>
        <x:v>No</x:v>
      </x:c>
      <x:c r="O89" s="80" t="str">
        <x:f>IF(COUNTIFS($C:$C,C89)&lt;5,"Yes","No")</x:f>
        <x:v>No</x:v>
      </x:c>
      <x:c r="P89" s="81" t="n">
        <x:f>IF(K89="Yes",H89*L89,0)</x:f>
        <x:v>0</x:v>
      </x:c>
      <x:c r="Q89" s="80" t="str">
        <x:f>IF(N89="Yes","Maverick / non-preferred",IF(O89="Yes","Tail consolidation",IF(K89="Yes","Category sourcing","Non-addressable")))</x:f>
        <x:v>Non-addressable</x:v>
      </x:c>
      <x:c r="R89" s="83" t="str">
        <x:f>IF(P89&gt;=10000,"High",IF(P89&gt;=3000,"Medium","Low"))</x:f>
        <x:v>Low</x:v>
      </x:c>
    </x:row>
    <x:row r="90">
      <x:c r="A90" s="78" t="n">
        <x:v>86</x:v>
      </x:c>
      <x:c r="B90" s="79" t="n">
        <x:v>45827</x:v>
      </x:c>
      <x:c r="C90" s="80" t="str">
        <x:v>AdvisoryCo</x:v>
      </x:c>
      <x:c r="D90" s="80" t="str">
        <x:v>Professional Services</x:v>
      </x:c>
      <x:c r="E90" s="80" t="str">
        <x:v>Indirect</x:v>
      </x:c>
      <x:c r="F90" s="80" t="str">
        <x:v>Chicago</x:v>
      </x:c>
      <x:c r="G90" s="80" t="str">
        <x:v>Field Operations</x:v>
      </x:c>
      <x:c r="H90" s="81" t="n">
        <x:v>30640</x:v>
      </x:c>
      <x:c r="I90" s="80" t="str">
        <x:v>Yes</x:v>
      </x:c>
      <x:c r="J90" s="80" t="str">
        <x:v>Yes</x:v>
      </x:c>
      <x:c r="K90" s="80" t="str">
        <x:v>No</x:v>
      </x:c>
      <x:c r="L90" s="82" t="n">
        <x:v>0.09</x:v>
      </x:c>
      <x:c r="M90" s="80" t="str">
        <x:v>CFO</x:v>
      </x:c>
      <x:c r="N90" s="80" t="str">
        <x:f>IF(OR(I90="No",J90="No"),"Yes","No")</x:f>
        <x:v>No</x:v>
      </x:c>
      <x:c r="O90" s="80" t="str">
        <x:f>IF(COUNTIFS($C:$C,C90)&lt;5,"Yes","No")</x:f>
        <x:v>No</x:v>
      </x:c>
      <x:c r="P90" s="81" t="n">
        <x:f>IF(K90="Yes",H90*L90,0)</x:f>
        <x:v>0</x:v>
      </x:c>
      <x:c r="Q90" s="80" t="str">
        <x:f>IF(N90="Yes","Maverick / non-preferred",IF(O90="Yes","Tail consolidation",IF(K90="Yes","Category sourcing","Non-addressable")))</x:f>
        <x:v>Non-addressable</x:v>
      </x:c>
      <x:c r="R90" s="83" t="str">
        <x:f>IF(P90&gt;=10000,"High",IF(P90&gt;=3000,"Medium","Low"))</x:f>
        <x:v>Low</x:v>
      </x:c>
    </x:row>
    <x:row r="91">
      <x:c r="A91" s="78" t="n">
        <x:v>87</x:v>
      </x:c>
      <x:c r="B91" s="79" t="n">
        <x:v>45969</x:v>
      </x:c>
      <x:c r="C91" s="80" t="str">
        <x:v>FiberOne</x:v>
      </x:c>
      <x:c r="D91" s="80" t="str">
        <x:v>Telecom</x:v>
      </x:c>
      <x:c r="E91" s="80" t="str">
        <x:v>Indirect</x:v>
      </x:c>
      <x:c r="F91" s="80" t="str">
        <x:v>Dallas</x:v>
      </x:c>
      <x:c r="G91" s="80" t="str">
        <x:v>Distribution</x:v>
      </x:c>
      <x:c r="H91" s="81" t="n">
        <x:v>16430</x:v>
      </x:c>
      <x:c r="I91" s="80" t="str">
        <x:v>Yes</x:v>
      </x:c>
      <x:c r="J91" s="80" t="str">
        <x:v>No</x:v>
      </x:c>
      <x:c r="K91" s="80" t="str">
        <x:v>Yes</x:v>
      </x:c>
      <x:c r="L91" s="82" t="n">
        <x:v>0.15</x:v>
      </x:c>
      <x:c r="M91" s="80" t="str">
        <x:v>CIO</x:v>
      </x:c>
      <x:c r="N91" s="80" t="str">
        <x:f>IF(OR(I91="No",J91="No"),"Yes","No")</x:f>
        <x:v>Yes</x:v>
      </x:c>
      <x:c r="O91" s="80" t="str">
        <x:f>IF(COUNTIFS($C:$C,C91)&lt;5,"Yes","No")</x:f>
        <x:v>No</x:v>
      </x:c>
      <x:c r="P91" s="81" t="n">
        <x:f>IF(K91="Yes",H91*L91,0)</x:f>
        <x:v>2464.5</x:v>
      </x:c>
      <x:c r="Q91" s="80" t="str">
        <x:f>IF(N91="Yes","Maverick / non-preferred",IF(O91="Yes","Tail consolidation",IF(K91="Yes","Category sourcing","Non-addressable")))</x:f>
        <x:v>Maverick / non-preferred</x:v>
      </x:c>
      <x:c r="R91" s="83" t="str">
        <x:f>IF(P91&gt;=10000,"High",IF(P91&gt;=3000,"Medium","Low"))</x:f>
        <x:v>Low</x:v>
      </x:c>
    </x:row>
    <x:row r="92">
      <x:c r="A92" s="78" t="n">
        <x:v>88</x:v>
      </x:c>
      <x:c r="B92" s="79" t="n">
        <x:v>45973</x:v>
      </x:c>
      <x:c r="C92" s="80" t="str">
        <x:v>LaborFlex</x:v>
      </x:c>
      <x:c r="D92" s="80" t="str">
        <x:v>Temp Labor</x:v>
      </x:c>
      <x:c r="E92" s="80" t="str">
        <x:v>Indirect</x:v>
      </x:c>
      <x:c r="F92" s="80" t="str">
        <x:v>Phoenix</x:v>
      </x:c>
      <x:c r="G92" s="80" t="str">
        <x:v>Field Operations</x:v>
      </x:c>
      <x:c r="H92" s="81" t="n">
        <x:v>7450</x:v>
      </x:c>
      <x:c r="I92" s="80" t="str">
        <x:v>Yes</x:v>
      </x:c>
      <x:c r="J92" s="80" t="str">
        <x:v>Yes</x:v>
      </x:c>
      <x:c r="K92" s="80" t="str">
        <x:v>No</x:v>
      </x:c>
      <x:c r="L92" s="82" t="n">
        <x:v>0.07</x:v>
      </x:c>
      <x:c r="M92" s="80" t="str">
        <x:v>CHRO</x:v>
      </x:c>
      <x:c r="N92" s="80" t="str">
        <x:f>IF(OR(I92="No",J92="No"),"Yes","No")</x:f>
        <x:v>No</x:v>
      </x:c>
      <x:c r="O92" s="80" t="str">
        <x:f>IF(COUNTIFS($C:$C,C92)&lt;5,"Yes","No")</x:f>
        <x:v>No</x:v>
      </x:c>
      <x:c r="P92" s="81" t="n">
        <x:f>IF(K92="Yes",H92*L92,0)</x:f>
        <x:v>0</x:v>
      </x:c>
      <x:c r="Q92" s="80" t="str">
        <x:f>IF(N92="Yes","Maverick / non-preferred",IF(O92="Yes","Tail consolidation",IF(K92="Yes","Category sourcing","Non-addressable")))</x:f>
        <x:v>Non-addressable</x:v>
      </x:c>
      <x:c r="R92" s="83" t="str">
        <x:f>IF(P92&gt;=10000,"High",IF(P92&gt;=3000,"Medium","Low"))</x:f>
        <x:v>Low</x:v>
      </x:c>
    </x:row>
    <x:row r="93">
      <x:c r="A93" s="78" t="n">
        <x:v>89</x:v>
      </x:c>
      <x:c r="B93" s="79" t="n">
        <x:v>45863</x:v>
      </x:c>
      <x:c r="C93" s="80" t="str">
        <x:v>SecureWrap</x:v>
      </x:c>
      <x:c r="D93" s="80" t="str">
        <x:v>Packaging</x:v>
      </x:c>
      <x:c r="E93" s="80" t="str">
        <x:v>Direct</x:v>
      </x:c>
      <x:c r="F93" s="80" t="str">
        <x:v>Columbus</x:v>
      </x:c>
      <x:c r="G93" s="80" t="str">
        <x:v>Manufacturing</x:v>
      </x:c>
      <x:c r="H93" s="81" t="n">
        <x:v>7460</x:v>
      </x:c>
      <x:c r="I93" s="80" t="str">
        <x:v>No</x:v>
      </x:c>
      <x:c r="J93" s="80" t="str">
        <x:v>No</x:v>
      </x:c>
      <x:c r="K93" s="80" t="str">
        <x:v>Yes</x:v>
      </x:c>
      <x:c r="L93" s="82" t="n">
        <x:v>0.06</x:v>
      </x:c>
      <x:c r="M93" s="80" t="str">
        <x:v>COO</x:v>
      </x:c>
      <x:c r="N93" s="80" t="str">
        <x:f>IF(OR(I93="No",J93="No"),"Yes","No")</x:f>
        <x:v>Yes</x:v>
      </x:c>
      <x:c r="O93" s="80" t="str">
        <x:f>IF(COUNTIFS($C:$C,C93)&lt;5,"Yes","No")</x:f>
        <x:v>No</x:v>
      </x:c>
      <x:c r="P93" s="81" t="n">
        <x:f>IF(K93="Yes",H93*L93,0)</x:f>
        <x:v>447.59999999999997</x:v>
      </x:c>
      <x:c r="Q93" s="80" t="str">
        <x:f>IF(N93="Yes","Maverick / non-preferred",IF(O93="Yes","Tail consolidation",IF(K93="Yes","Category sourcing","Non-addressable")))</x:f>
        <x:v>Maverick / non-preferred</x:v>
      </x:c>
      <x:c r="R93" s="83" t="str">
        <x:f>IF(P93&gt;=10000,"High",IF(P93&gt;=3000,"Medium","Low"))</x:f>
        <x:v>Low</x:v>
      </x:c>
    </x:row>
    <x:row r="94">
      <x:c r="A94" s="78" t="n">
        <x:v>90</x:v>
      </x:c>
      <x:c r="B94" s="79" t="n">
        <x:v>46015</x:v>
      </x:c>
      <x:c r="C94" s="80" t="str">
        <x:v>ShiftPro</x:v>
      </x:c>
      <x:c r="D94" s="80" t="str">
        <x:v>Temp Labor</x:v>
      </x:c>
      <x:c r="E94" s="80" t="str">
        <x:v>Indirect</x:v>
      </x:c>
      <x:c r="F94" s="80" t="str">
        <x:v>Atlanta</x:v>
      </x:c>
      <x:c r="G94" s="80" t="str">
        <x:v>Distribution</x:v>
      </x:c>
      <x:c r="H94" s="81" t="n">
        <x:v>17550</x:v>
      </x:c>
      <x:c r="I94" s="80" t="str">
        <x:v>No</x:v>
      </x:c>
      <x:c r="J94" s="80" t="str">
        <x:v>No</x:v>
      </x:c>
      <x:c r="K94" s="80" t="str">
        <x:v>No</x:v>
      </x:c>
      <x:c r="L94" s="82" t="n">
        <x:v>0.07</x:v>
      </x:c>
      <x:c r="M94" s="80" t="str">
        <x:v>CHRO</x:v>
      </x:c>
      <x:c r="N94" s="80" t="str">
        <x:f>IF(OR(I94="No",J94="No"),"Yes","No")</x:f>
        <x:v>Yes</x:v>
      </x:c>
      <x:c r="O94" s="80" t="str">
        <x:f>IF(COUNTIFS($C:$C,C94)&lt;5,"Yes","No")</x:f>
        <x:v>No</x:v>
      </x:c>
      <x:c r="P94" s="81" t="n">
        <x:f>IF(K94="Yes",H94*L94,0)</x:f>
        <x:v>0</x:v>
      </x:c>
      <x:c r="Q94" s="80" t="str">
        <x:f>IF(N94="Yes","Maverick / non-preferred",IF(O94="Yes","Tail consolidation",IF(K94="Yes","Category sourcing","Non-addressable")))</x:f>
        <x:v>Maverick / non-preferred</x:v>
      </x:c>
      <x:c r="R94" s="83" t="str">
        <x:f>IF(P94&gt;=10000,"High",IF(P94&gt;=3000,"Medium","Low"))</x:f>
        <x:v>Low</x:v>
      </x:c>
    </x:row>
    <x:row r="95">
      <x:c r="A95" s="78" t="n">
        <x:v>91</x:v>
      </x:c>
      <x:c r="B95" s="79" t="n">
        <x:v>45961</x:v>
      </x:c>
      <x:c r="C95" s="80" t="str">
        <x:v>OfficeCloud</x:v>
      </x:c>
      <x:c r="D95" s="80" t="str">
        <x:v>IT Software</x:v>
      </x:c>
      <x:c r="E95" s="80" t="str">
        <x:v>Indirect</x:v>
      </x:c>
      <x:c r="F95" s="80" t="str">
        <x:v>Phoenix</x:v>
      </x:c>
      <x:c r="G95" s="80" t="str">
        <x:v>Manufacturing</x:v>
      </x:c>
      <x:c r="H95" s="81" t="n">
        <x:v>25240</x:v>
      </x:c>
      <x:c r="I95" s="80" t="str">
        <x:v>No</x:v>
      </x:c>
      <x:c r="J95" s="80" t="str">
        <x:v>No</x:v>
      </x:c>
      <x:c r="K95" s="80" t="str">
        <x:v>Yes</x:v>
      </x:c>
      <x:c r="L95" s="82" t="n">
        <x:v>0.12</x:v>
      </x:c>
      <x:c r="M95" s="80" t="str">
        <x:v>CIO</x:v>
      </x:c>
      <x:c r="N95" s="80" t="str">
        <x:f>IF(OR(I95="No",J95="No"),"Yes","No")</x:f>
        <x:v>Yes</x:v>
      </x:c>
      <x:c r="O95" s="80" t="str">
        <x:f>IF(COUNTIFS($C:$C,C95)&lt;5,"Yes","No")</x:f>
        <x:v>No</x:v>
      </x:c>
      <x:c r="P95" s="81" t="n">
        <x:f>IF(K95="Yes",H95*L95,0)</x:f>
        <x:v>3028.7999999999997</x:v>
      </x:c>
      <x:c r="Q95" s="80" t="str">
        <x:f>IF(N95="Yes","Maverick / non-preferred",IF(O95="Yes","Tail consolidation",IF(K95="Yes","Category sourcing","Non-addressable")))</x:f>
        <x:v>Maverick / non-preferred</x:v>
      </x:c>
      <x:c r="R95" s="83" t="str">
        <x:f>IF(P95&gt;=10000,"High",IF(P95&gt;=3000,"Medium","Low"))</x:f>
        <x:v>Medium</x:v>
      </x:c>
    </x:row>
    <x:row r="96">
      <x:c r="A96" s="78" t="n">
        <x:v>92</x:v>
      </x:c>
      <x:c r="B96" s="79" t="n">
        <x:v>45864</x:v>
      </x:c>
      <x:c r="C96" s="80" t="str">
        <x:v>Summit Polymers</x:v>
      </x:c>
      <x:c r="D96" s="80" t="str">
        <x:v>Raw Materials</x:v>
      </x:c>
      <x:c r="E96" s="80" t="str">
        <x:v>Direct</x:v>
      </x:c>
      <x:c r="F96" s="80" t="str">
        <x:v>Chicago</x:v>
      </x:c>
      <x:c r="G96" s="80" t="str">
        <x:v>Distribution</x:v>
      </x:c>
      <x:c r="H96" s="81" t="n">
        <x:v>30300</x:v>
      </x:c>
      <x:c r="I96" s="80" t="str">
        <x:v>Yes</x:v>
      </x:c>
      <x:c r="J96" s="80" t="str">
        <x:v>Yes</x:v>
      </x:c>
      <x:c r="K96" s="80" t="str">
        <x:v>No</x:v>
      </x:c>
      <x:c r="L96" s="82" t="n">
        <x:v>0.05</x:v>
      </x:c>
      <x:c r="M96" s="80" t="str">
        <x:v>COO</x:v>
      </x:c>
      <x:c r="N96" s="80" t="str">
        <x:f>IF(OR(I96="No",J96="No"),"Yes","No")</x:f>
        <x:v>No</x:v>
      </x:c>
      <x:c r="O96" s="80" t="str">
        <x:f>IF(COUNTIFS($C:$C,C96)&lt;5,"Yes","No")</x:f>
        <x:v>No</x:v>
      </x:c>
      <x:c r="P96" s="81" t="n">
        <x:f>IF(K96="Yes",H96*L96,0)</x:f>
        <x:v>0</x:v>
      </x:c>
      <x:c r="Q96" s="80" t="str">
        <x:f>IF(N96="Yes","Maverick / non-preferred",IF(O96="Yes","Tail consolidation",IF(K96="Yes","Category sourcing","Non-addressable")))</x:f>
        <x:v>Non-addressable</x:v>
      </x:c>
      <x:c r="R96" s="83" t="str">
        <x:f>IF(P96&gt;=10000,"High",IF(P96&gt;=3000,"Medium","Low"))</x:f>
        <x:v>Low</x:v>
      </x:c>
    </x:row>
    <x:row r="97">
      <x:c r="A97" s="78" t="n">
        <x:v>93</x:v>
      </x:c>
      <x:c r="B97" s="79" t="n">
        <x:v>45921</x:v>
      </x:c>
      <x:c r="C97" s="80" t="str">
        <x:v>ContractConsult</x:v>
      </x:c>
      <x:c r="D97" s="80" t="str">
        <x:v>Professional Services</x:v>
      </x:c>
      <x:c r="E97" s="80" t="str">
        <x:v>Indirect</x:v>
      </x:c>
      <x:c r="F97" s="80" t="str">
        <x:v>Dallas</x:v>
      </x:c>
      <x:c r="G97" s="80" t="str">
        <x:v>Corporate</x:v>
      </x:c>
      <x:c r="H97" s="81" t="n">
        <x:v>19990</x:v>
      </x:c>
      <x:c r="I97" s="80" t="str">
        <x:v>No</x:v>
      </x:c>
      <x:c r="J97" s="80" t="str">
        <x:v>No</x:v>
      </x:c>
      <x:c r="K97" s="80" t="str">
        <x:v>No</x:v>
      </x:c>
      <x:c r="L97" s="82" t="n">
        <x:v>0.09</x:v>
      </x:c>
      <x:c r="M97" s="80" t="str">
        <x:v>CFO</x:v>
      </x:c>
      <x:c r="N97" s="80" t="str">
        <x:f>IF(OR(I97="No",J97="No"),"Yes","No")</x:f>
        <x:v>Yes</x:v>
      </x:c>
      <x:c r="O97" s="80" t="str">
        <x:f>IF(COUNTIFS($C:$C,C97)&lt;5,"Yes","No")</x:f>
        <x:v>Yes</x:v>
      </x:c>
      <x:c r="P97" s="81" t="n">
        <x:f>IF(K97="Yes",H97*L97,0)</x:f>
        <x:v>0</x:v>
      </x:c>
      <x:c r="Q97" s="80" t="str">
        <x:f>IF(N97="Yes","Maverick / non-preferred",IF(O97="Yes","Tail consolidation",IF(K97="Yes","Category sourcing","Non-addressable")))</x:f>
        <x:v>Maverick / non-preferred</x:v>
      </x:c>
      <x:c r="R97" s="83" t="str">
        <x:f>IF(P97&gt;=10000,"High",IF(P97&gt;=3000,"Medium","Low"))</x:f>
        <x:v>Low</x:v>
      </x:c>
    </x:row>
    <x:row r="98">
      <x:c r="A98" s="78" t="n">
        <x:v>94</x:v>
      </x:c>
      <x:c r="B98" s="79" t="n">
        <x:v>45917</x:v>
      </x:c>
      <x:c r="C98" s="80" t="str">
        <x:v>OfficeCloud</x:v>
      </x:c>
      <x:c r="D98" s="80" t="str">
        <x:v>IT Software</x:v>
      </x:c>
      <x:c r="E98" s="80" t="str">
        <x:v>Indirect</x:v>
      </x:c>
      <x:c r="F98" s="80" t="str">
        <x:v>Dallas</x:v>
      </x:c>
      <x:c r="G98" s="80" t="str">
        <x:v>Corporate</x:v>
      </x:c>
      <x:c r="H98" s="81" t="n">
        <x:v>7690</x:v>
      </x:c>
      <x:c r="I98" s="80" t="str">
        <x:v>Yes</x:v>
      </x:c>
      <x:c r="J98" s="80" t="str">
        <x:v>No</x:v>
      </x:c>
      <x:c r="K98" s="80" t="str">
        <x:v>Yes</x:v>
      </x:c>
      <x:c r="L98" s="82" t="n">
        <x:v>0.12</x:v>
      </x:c>
      <x:c r="M98" s="80" t="str">
        <x:v>CIO</x:v>
      </x:c>
      <x:c r="N98" s="80" t="str">
        <x:f>IF(OR(I98="No",J98="No"),"Yes","No")</x:f>
        <x:v>Yes</x:v>
      </x:c>
      <x:c r="O98" s="80" t="str">
        <x:f>IF(COUNTIFS($C:$C,C98)&lt;5,"Yes","No")</x:f>
        <x:v>No</x:v>
      </x:c>
      <x:c r="P98" s="81" t="n">
        <x:f>IF(K98="Yes",H98*L98,0)</x:f>
        <x:v>922.8</x:v>
      </x:c>
      <x:c r="Q98" s="80" t="str">
        <x:f>IF(N98="Yes","Maverick / non-preferred",IF(O98="Yes","Tail consolidation",IF(K98="Yes","Category sourcing","Non-addressable")))</x:f>
        <x:v>Maverick / non-preferred</x:v>
      </x:c>
      <x:c r="R98" s="83" t="str">
        <x:f>IF(P98&gt;=10000,"High",IF(P98&gt;=3000,"Medium","Low"))</x:f>
        <x:v>Low</x:v>
      </x:c>
    </x:row>
    <x:row r="99">
      <x:c r="A99" s="78" t="n">
        <x:v>95</x:v>
      </x:c>
      <x:c r="B99" s="79" t="n">
        <x:v>45903</x:v>
      </x:c>
      <x:c r="C99" s="80" t="str">
        <x:v>United Materials</x:v>
      </x:c>
      <x:c r="D99" s="80" t="str">
        <x:v>Raw Materials</x:v>
      </x:c>
      <x:c r="E99" s="80" t="str">
        <x:v>Direct</x:v>
      </x:c>
      <x:c r="F99" s="80" t="str">
        <x:v>Atlanta</x:v>
      </x:c>
      <x:c r="G99" s="80" t="str">
        <x:v>Manufacturing</x:v>
      </x:c>
      <x:c r="H99" s="81" t="n">
        <x:v>93280</x:v>
      </x:c>
      <x:c r="I99" s="80" t="str">
        <x:v>No</x:v>
      </x:c>
      <x:c r="J99" s="80" t="str">
        <x:v>No</x:v>
      </x:c>
      <x:c r="K99" s="80" t="str">
        <x:v>Yes</x:v>
      </x:c>
      <x:c r="L99" s="82" t="n">
        <x:v>0.05</x:v>
      </x:c>
      <x:c r="M99" s="80" t="str">
        <x:v>COO</x:v>
      </x:c>
      <x:c r="N99" s="80" t="str">
        <x:f>IF(OR(I99="No",J99="No"),"Yes","No")</x:f>
        <x:v>Yes</x:v>
      </x:c>
      <x:c r="O99" s="80" t="str">
        <x:f>IF(COUNTIFS($C:$C,C99)&lt;5,"Yes","No")</x:f>
        <x:v>Yes</x:v>
      </x:c>
      <x:c r="P99" s="81" t="n">
        <x:f>IF(K99="Yes",H99*L99,0)</x:f>
        <x:v>4664</x:v>
      </x:c>
      <x:c r="Q99" s="80" t="str">
        <x:f>IF(N99="Yes","Maverick / non-preferred",IF(O99="Yes","Tail consolidation",IF(K99="Yes","Category sourcing","Non-addressable")))</x:f>
        <x:v>Maverick / non-preferred</x:v>
      </x:c>
      <x:c r="R99" s="83" t="str">
        <x:f>IF(P99&gt;=10000,"High",IF(P99&gt;=3000,"Medium","Low"))</x:f>
        <x:v>Medium</x:v>
      </x:c>
    </x:row>
    <x:row r="100">
      <x:c r="A100" s="78" t="n">
        <x:v>96</x:v>
      </x:c>
      <x:c r="B100" s="79" t="n">
        <x:v>45915</x:v>
      </x:c>
      <x:c r="C100" s="80" t="str">
        <x:v>FastLane Carriers</x:v>
      </x:c>
      <x:c r="D100" s="80" t="str">
        <x:v>Freight &amp; Logistics</x:v>
      </x:c>
      <x:c r="E100" s="80" t="str">
        <x:v>Direct</x:v>
      </x:c>
      <x:c r="F100" s="80" t="str">
        <x:v>Columbus</x:v>
      </x:c>
      <x:c r="G100" s="80" t="str">
        <x:v>Distribution</x:v>
      </x:c>
      <x:c r="H100" s="81" t="n">
        <x:v>47820</x:v>
      </x:c>
      <x:c r="I100" s="80" t="str">
        <x:v>No</x:v>
      </x:c>
      <x:c r="J100" s="80" t="str">
        <x:v>No</x:v>
      </x:c>
      <x:c r="K100" s="80" t="str">
        <x:v>Yes</x:v>
      </x:c>
      <x:c r="L100" s="82" t="n">
        <x:v>0.08</x:v>
      </x:c>
      <x:c r="M100" s="80" t="str">
        <x:v>COO</x:v>
      </x:c>
      <x:c r="N100" s="80" t="str">
        <x:f>IF(OR(I100="No",J100="No"),"Yes","No")</x:f>
        <x:v>Yes</x:v>
      </x:c>
      <x:c r="O100" s="80" t="str">
        <x:f>IF(COUNTIFS($C:$C,C100)&lt;5,"Yes","No")</x:f>
        <x:v>No</x:v>
      </x:c>
      <x:c r="P100" s="81" t="n">
        <x:f>IF(K100="Yes",H100*L100,0)</x:f>
        <x:v>3825.6</x:v>
      </x:c>
      <x:c r="Q100" s="80" t="str">
        <x:f>IF(N100="Yes","Maverick / non-preferred",IF(O100="Yes","Tail consolidation",IF(K100="Yes","Category sourcing","Non-addressable")))</x:f>
        <x:v>Maverick / non-preferred</x:v>
      </x:c>
      <x:c r="R100" s="83" t="str">
        <x:f>IF(P100&gt;=10000,"High",IF(P100&gt;=3000,"Medium","Low"))</x:f>
        <x:v>Medium</x:v>
      </x:c>
    </x:row>
    <x:row r="101">
      <x:c r="A101" s="78" t="n">
        <x:v>97</x:v>
      </x:c>
      <x:c r="B101" s="79" t="n">
        <x:v>45662</x:v>
      </x:c>
      <x:c r="C101" s="80" t="str">
        <x:v>PaperTrail</x:v>
      </x:c>
      <x:c r="D101" s="80" t="str">
        <x:v>Office Supplies</x:v>
      </x:c>
      <x:c r="E101" s="80" t="str">
        <x:v>Indirect</x:v>
      </x:c>
      <x:c r="F101" s="80" t="str">
        <x:v>Atlanta</x:v>
      </x:c>
      <x:c r="G101" s="80" t="str">
        <x:v>Distribution</x:v>
      </x:c>
      <x:c r="H101" s="81" t="n">
        <x:v>26450</x:v>
      </x:c>
      <x:c r="I101" s="80" t="str">
        <x:v>Yes</x:v>
      </x:c>
      <x:c r="J101" s="80" t="str">
        <x:v>No</x:v>
      </x:c>
      <x:c r="K101" s="80" t="str">
        <x:v>Yes</x:v>
      </x:c>
      <x:c r="L101" s="82" t="n">
        <x:v>0.18</x:v>
      </x:c>
      <x:c r="M101" s="80" t="str">
        <x:v>CFO</x:v>
      </x:c>
      <x:c r="N101" s="80" t="str">
        <x:f>IF(OR(I101="No",J101="No"),"Yes","No")</x:f>
        <x:v>Yes</x:v>
      </x:c>
      <x:c r="O101" s="80" t="str">
        <x:f>IF(COUNTIFS($C:$C,C101)&lt;5,"Yes","No")</x:f>
        <x:v>No</x:v>
      </x:c>
      <x:c r="P101" s="81" t="n">
        <x:f>IF(K101="Yes",H101*L101,0)</x:f>
        <x:v>4761</x:v>
      </x:c>
      <x:c r="Q101" s="80" t="str">
        <x:f>IF(N101="Yes","Maverick / non-preferred",IF(O101="Yes","Tail consolidation",IF(K101="Yes","Category sourcing","Non-addressable")))</x:f>
        <x:v>Maverick / non-preferred</x:v>
      </x:c>
      <x:c r="R101" s="83" t="str">
        <x:f>IF(P101&gt;=10000,"High",IF(P101&gt;=3000,"Medium","Low"))</x:f>
        <x:v>Medium</x:v>
      </x:c>
    </x:row>
    <x:row r="102">
      <x:c r="A102" s="78" t="n">
        <x:v>98</x:v>
      </x:c>
      <x:c r="B102" s="79" t="n">
        <x:v>45724</x:v>
      </x:c>
      <x:c r="C102" s="80" t="str">
        <x:v>TaxBridge</x:v>
      </x:c>
      <x:c r="D102" s="80" t="str">
        <x:v>Professional Services</x:v>
      </x:c>
      <x:c r="E102" s="80" t="str">
        <x:v>Indirect</x:v>
      </x:c>
      <x:c r="F102" s="80" t="str">
        <x:v>Phoenix</x:v>
      </x:c>
      <x:c r="G102" s="80" t="str">
        <x:v>Manufacturing</x:v>
      </x:c>
      <x:c r="H102" s="81" t="n">
        <x:v>22290</x:v>
      </x:c>
      <x:c r="I102" s="80" t="str">
        <x:v>Yes</x:v>
      </x:c>
      <x:c r="J102" s="80" t="str">
        <x:v>No</x:v>
      </x:c>
      <x:c r="K102" s="80" t="str">
        <x:v>No</x:v>
      </x:c>
      <x:c r="L102" s="82" t="n">
        <x:v>0.09</x:v>
      </x:c>
      <x:c r="M102" s="80" t="str">
        <x:v>CFO</x:v>
      </x:c>
      <x:c r="N102" s="80" t="str">
        <x:f>IF(OR(I102="No",J102="No"),"Yes","No")</x:f>
        <x:v>Yes</x:v>
      </x:c>
      <x:c r="O102" s="80" t="str">
        <x:f>IF(COUNTIFS($C:$C,C102)&lt;5,"Yes","No")</x:f>
        <x:v>No</x:v>
      </x:c>
      <x:c r="P102" s="81" t="n">
        <x:f>IF(K102="Yes",H102*L102,0)</x:f>
        <x:v>0</x:v>
      </x:c>
      <x:c r="Q102" s="80" t="str">
        <x:f>IF(N102="Yes","Maverick / non-preferred",IF(O102="Yes","Tail consolidation",IF(K102="Yes","Category sourcing","Non-addressable")))</x:f>
        <x:v>Maverick / non-preferred</x:v>
      </x:c>
      <x:c r="R102" s="83" t="str">
        <x:f>IF(P102&gt;=10000,"High",IF(P102&gt;=3000,"Medium","Low"))</x:f>
        <x:v>Low</x:v>
      </x:c>
    </x:row>
    <x:row r="103">
      <x:c r="A103" s="78" t="n">
        <x:v>99</x:v>
      </x:c>
      <x:c r="B103" s="79" t="n">
        <x:v>46006</x:v>
      </x:c>
      <x:c r="C103" s="80" t="str">
        <x:v>MaintainCo</x:v>
      </x:c>
      <x:c r="D103" s="80" t="str">
        <x:v>MRO</x:v>
      </x:c>
      <x:c r="E103" s="80" t="str">
        <x:v>Direct</x:v>
      </x:c>
      <x:c r="F103" s="80" t="str">
        <x:v>Chicago</x:v>
      </x:c>
      <x:c r="G103" s="80" t="str">
        <x:v>Corporate</x:v>
      </x:c>
      <x:c r="H103" s="81" t="n">
        <x:v>13360</x:v>
      </x:c>
      <x:c r="I103" s="80" t="str">
        <x:v>No</x:v>
      </x:c>
      <x:c r="J103" s="80" t="str">
        <x:v>No</x:v>
      </x:c>
      <x:c r="K103" s="80" t="str">
        <x:v>No</x:v>
      </x:c>
      <x:c r="L103" s="82" t="n">
        <x:v>0.06</x:v>
      </x:c>
      <x:c r="M103" s="80" t="str">
        <x:v>COO</x:v>
      </x:c>
      <x:c r="N103" s="80" t="str">
        <x:f>IF(OR(I103="No",J103="No"),"Yes","No")</x:f>
        <x:v>Yes</x:v>
      </x:c>
      <x:c r="O103" s="80" t="str">
        <x:f>IF(COUNTIFS($C:$C,C103)&lt;5,"Yes","No")</x:f>
        <x:v>No</x:v>
      </x:c>
      <x:c r="P103" s="81" t="n">
        <x:f>IF(K103="Yes",H103*L103,0)</x:f>
        <x:v>0</x:v>
      </x:c>
      <x:c r="Q103" s="80" t="str">
        <x:f>IF(N103="Yes","Maverick / non-preferred",IF(O103="Yes","Tail consolidation",IF(K103="Yes","Category sourcing","Non-addressable")))</x:f>
        <x:v>Maverick / non-preferred</x:v>
      </x:c>
      <x:c r="R103" s="83" t="str">
        <x:f>IF(P103&gt;=10000,"High",IF(P103&gt;=3000,"Medium","Low"))</x:f>
        <x:v>Low</x:v>
      </x:c>
    </x:row>
    <x:row r="104">
      <x:c r="A104" s="78" t="n">
        <x:v>100</x:v>
      </x:c>
      <x:c r="B104" s="79" t="n">
        <x:v>45658</x:v>
      </x:c>
      <x:c r="C104" s="80" t="str">
        <x:v>WorkflowPro</x:v>
      </x:c>
      <x:c r="D104" s="80" t="str">
        <x:v>IT Software</x:v>
      </x:c>
      <x:c r="E104" s="80" t="str">
        <x:v>Indirect</x:v>
      </x:c>
      <x:c r="F104" s="80" t="str">
        <x:v>Phoenix</x:v>
      </x:c>
      <x:c r="G104" s="80" t="str">
        <x:v>Manufacturing</x:v>
      </x:c>
      <x:c r="H104" s="81" t="n">
        <x:v>19760</x:v>
      </x:c>
      <x:c r="I104" s="80" t="str">
        <x:v>No</x:v>
      </x:c>
      <x:c r="J104" s="80" t="str">
        <x:v>No</x:v>
      </x:c>
      <x:c r="K104" s="80" t="str">
        <x:v>Yes</x:v>
      </x:c>
      <x:c r="L104" s="82" t="n">
        <x:v>0.12</x:v>
      </x:c>
      <x:c r="M104" s="80" t="str">
        <x:v>CIO</x:v>
      </x:c>
      <x:c r="N104" s="80" t="str">
        <x:f>IF(OR(I104="No",J104="No"),"Yes","No")</x:f>
        <x:v>Yes</x:v>
      </x:c>
      <x:c r="O104" s="80" t="str">
        <x:f>IF(COUNTIFS($C:$C,C104)&lt;5,"Yes","No")</x:f>
        <x:v>Yes</x:v>
      </x:c>
      <x:c r="P104" s="81" t="n">
        <x:f>IF(K104="Yes",H104*L104,0)</x:f>
        <x:v>2371.2</x:v>
      </x:c>
      <x:c r="Q104" s="80" t="str">
        <x:f>IF(N104="Yes","Maverick / non-preferred",IF(O104="Yes","Tail consolidation",IF(K104="Yes","Category sourcing","Non-addressable")))</x:f>
        <x:v>Maverick / non-preferred</x:v>
      </x:c>
      <x:c r="R104" s="83" t="str">
        <x:f>IF(P104&gt;=10000,"High",IF(P104&gt;=3000,"Medium","Low"))</x:f>
        <x:v>Low</x:v>
      </x:c>
    </x:row>
    <x:row r="105">
      <x:c r="A105" s="78" t="n">
        <x:v>101</x:v>
      </x:c>
      <x:c r="B105" s="79" t="n">
        <x:v>45997</x:v>
      </x:c>
      <x:c r="C105" s="80" t="str">
        <x:v>SupplyHub</x:v>
      </x:c>
      <x:c r="D105" s="80" t="str">
        <x:v>Office Supplies</x:v>
      </x:c>
      <x:c r="E105" s="80" t="str">
        <x:v>Indirect</x:v>
      </x:c>
      <x:c r="F105" s="80" t="str">
        <x:v>Dallas</x:v>
      </x:c>
      <x:c r="G105" s="80" t="str">
        <x:v>Distribution</x:v>
      </x:c>
      <x:c r="H105" s="81" t="n">
        <x:v>12080</x:v>
      </x:c>
      <x:c r="I105" s="80" t="str">
        <x:v>Yes</x:v>
      </x:c>
      <x:c r="J105" s="80" t="str">
        <x:v>Yes</x:v>
      </x:c>
      <x:c r="K105" s="80" t="str">
        <x:v>Yes</x:v>
      </x:c>
      <x:c r="L105" s="82" t="n">
        <x:v>0.18</x:v>
      </x:c>
      <x:c r="M105" s="80" t="str">
        <x:v>CFO</x:v>
      </x:c>
      <x:c r="N105" s="80" t="str">
        <x:f>IF(OR(I105="No",J105="No"),"Yes","No")</x:f>
        <x:v>No</x:v>
      </x:c>
      <x:c r="O105" s="80" t="str">
        <x:f>IF(COUNTIFS($C:$C,C105)&lt;5,"Yes","No")</x:f>
        <x:v>No</x:v>
      </x:c>
      <x:c r="P105" s="81" t="n">
        <x:f>IF(K105="Yes",H105*L105,0)</x:f>
        <x:v>2174.4</x:v>
      </x:c>
      <x:c r="Q105" s="80" t="str">
        <x:f>IF(N105="Yes","Maverick / non-preferred",IF(O105="Yes","Tail consolidation",IF(K105="Yes","Category sourcing","Non-addressable")))</x:f>
        <x:v>Category sourcing</x:v>
      </x:c>
      <x:c r="R105" s="83" t="str">
        <x:f>IF(P105&gt;=10000,"High",IF(P105&gt;=3000,"Medium","Low"))</x:f>
        <x:v>Low</x:v>
      </x:c>
    </x:row>
    <x:row r="106">
      <x:c r="A106" s="78" t="n">
        <x:v>102</x:v>
      </x:c>
      <x:c r="B106" s="79" t="n">
        <x:v>45931</x:v>
      </x:c>
      <x:c r="C106" s="80" t="str">
        <x:v>FlexPack</x:v>
      </x:c>
      <x:c r="D106" s="80" t="str">
        <x:v>Packaging</x:v>
      </x:c>
      <x:c r="E106" s="80" t="str">
        <x:v>Direct</x:v>
      </x:c>
      <x:c r="F106" s="80" t="str">
        <x:v>Dallas</x:v>
      </x:c>
      <x:c r="G106" s="80" t="str">
        <x:v>Corporate</x:v>
      </x:c>
      <x:c r="H106" s="81" t="n">
        <x:v>87450</x:v>
      </x:c>
      <x:c r="I106" s="80" t="str">
        <x:v>No</x:v>
      </x:c>
      <x:c r="J106" s="80" t="str">
        <x:v>No</x:v>
      </x:c>
      <x:c r="K106" s="80" t="str">
        <x:v>Yes</x:v>
      </x:c>
      <x:c r="L106" s="82" t="n">
        <x:v>0.06</x:v>
      </x:c>
      <x:c r="M106" s="80" t="str">
        <x:v>COO</x:v>
      </x:c>
      <x:c r="N106" s="80" t="str">
        <x:f>IF(OR(I106="No",J106="No"),"Yes","No")</x:f>
        <x:v>Yes</x:v>
      </x:c>
      <x:c r="O106" s="80" t="str">
        <x:f>IF(COUNTIFS($C:$C,C106)&lt;5,"Yes","No")</x:f>
        <x:v>No</x:v>
      </x:c>
      <x:c r="P106" s="81" t="n">
        <x:f>IF(K106="Yes",H106*L106,0)</x:f>
        <x:v>5247</x:v>
      </x:c>
      <x:c r="Q106" s="80" t="str">
        <x:f>IF(N106="Yes","Maverick / non-preferred",IF(O106="Yes","Tail consolidation",IF(K106="Yes","Category sourcing","Non-addressable")))</x:f>
        <x:v>Maverick / non-preferred</x:v>
      </x:c>
      <x:c r="R106" s="83" t="str">
        <x:f>IF(P106&gt;=10000,"High",IF(P106&gt;=3000,"Medium","Low"))</x:f>
        <x:v>Medium</x:v>
      </x:c>
    </x:row>
    <x:row r="107">
      <x:c r="A107" s="78" t="n">
        <x:v>103</x:v>
      </x:c>
      <x:c r="B107" s="79" t="n">
        <x:v>46004</x:v>
      </x:c>
      <x:c r="C107" s="80" t="str">
        <x:v>ShipMax</x:v>
      </x:c>
      <x:c r="D107" s="80" t="str">
        <x:v>Freight &amp; Logistics</x:v>
      </x:c>
      <x:c r="E107" s="80" t="str">
        <x:v>Direct</x:v>
      </x:c>
      <x:c r="F107" s="80" t="str">
        <x:v>Phoenix</x:v>
      </x:c>
      <x:c r="G107" s="80" t="str">
        <x:v>Corporate</x:v>
      </x:c>
      <x:c r="H107" s="81" t="n">
        <x:v>16610</x:v>
      </x:c>
      <x:c r="I107" s="80" t="str">
        <x:v>Yes</x:v>
      </x:c>
      <x:c r="J107" s="80" t="str">
        <x:v>Yes</x:v>
      </x:c>
      <x:c r="K107" s="80" t="str">
        <x:v>Yes</x:v>
      </x:c>
      <x:c r="L107" s="82" t="n">
        <x:v>0.08</x:v>
      </x:c>
      <x:c r="M107" s="80" t="str">
        <x:v>COO</x:v>
      </x:c>
      <x:c r="N107" s="80" t="str">
        <x:f>IF(OR(I107="No",J107="No"),"Yes","No")</x:f>
        <x:v>No</x:v>
      </x:c>
      <x:c r="O107" s="80" t="str">
        <x:f>IF(COUNTIFS($C:$C,C107)&lt;5,"Yes","No")</x:f>
        <x:v>No</x:v>
      </x:c>
      <x:c r="P107" s="81" t="n">
        <x:f>IF(K107="Yes",H107*L107,0)</x:f>
        <x:v>1328.8</x:v>
      </x:c>
      <x:c r="Q107" s="80" t="str">
        <x:f>IF(N107="Yes","Maverick / non-preferred",IF(O107="Yes","Tail consolidation",IF(K107="Yes","Category sourcing","Non-addressable")))</x:f>
        <x:v>Category sourcing</x:v>
      </x:c>
      <x:c r="R107" s="83" t="str">
        <x:f>IF(P107&gt;=10000,"High",IF(P107&gt;=3000,"Medium","Low"))</x:f>
        <x:v>Low</x:v>
      </x:c>
    </x:row>
    <x:row r="108">
      <x:c r="A108" s="78" t="n">
        <x:v>104</x:v>
      </x:c>
      <x:c r="B108" s="79" t="n">
        <x:v>46022</x:v>
      </x:c>
      <x:c r="C108" s="80" t="str">
        <x:v>Regional LTL</x:v>
      </x:c>
      <x:c r="D108" s="80" t="str">
        <x:v>Freight &amp; Logistics</x:v>
      </x:c>
      <x:c r="E108" s="80" t="str">
        <x:v>Direct</x:v>
      </x:c>
      <x:c r="F108" s="80" t="str">
        <x:v>Atlanta</x:v>
      </x:c>
      <x:c r="G108" s="80" t="str">
        <x:v>Corporate</x:v>
      </x:c>
      <x:c r="H108" s="81" t="n">
        <x:v>23740</x:v>
      </x:c>
      <x:c r="I108" s="80" t="str">
        <x:v>No</x:v>
      </x:c>
      <x:c r="J108" s="80" t="str">
        <x:v>No</x:v>
      </x:c>
      <x:c r="K108" s="80" t="str">
        <x:v>Yes</x:v>
      </x:c>
      <x:c r="L108" s="82" t="n">
        <x:v>0.08</x:v>
      </x:c>
      <x:c r="M108" s="80" t="str">
        <x:v>COO</x:v>
      </x:c>
      <x:c r="N108" s="80" t="str">
        <x:f>IF(OR(I108="No",J108="No"),"Yes","No")</x:f>
        <x:v>Yes</x:v>
      </x:c>
      <x:c r="O108" s="80" t="str">
        <x:f>IF(COUNTIFS($C:$C,C108)&lt;5,"Yes","No")</x:f>
        <x:v>No</x:v>
      </x:c>
      <x:c r="P108" s="81" t="n">
        <x:f>IF(K108="Yes",H108*L108,0)</x:f>
        <x:v>1899.2</x:v>
      </x:c>
      <x:c r="Q108" s="80" t="str">
        <x:f>IF(N108="Yes","Maverick / non-preferred",IF(O108="Yes","Tail consolidation",IF(K108="Yes","Category sourcing","Non-addressable")))</x:f>
        <x:v>Maverick / non-preferred</x:v>
      </x:c>
      <x:c r="R108" s="83" t="str">
        <x:f>IF(P108&gt;=10000,"High",IF(P108&gt;=3000,"Medium","Low"))</x:f>
        <x:v>Low</x:v>
      </x:c>
    </x:row>
    <x:row r="109">
      <x:c r="A109" s="78" t="n">
        <x:v>105</x:v>
      </x:c>
      <x:c r="B109" s="79" t="n">
        <x:v>45836</x:v>
      </x:c>
      <x:c r="C109" s="80" t="str">
        <x:v>NorthLine Freight</x:v>
      </x:c>
      <x:c r="D109" s="80" t="str">
        <x:v>Freight &amp; Logistics</x:v>
      </x:c>
      <x:c r="E109" s="80" t="str">
        <x:v>Direct</x:v>
      </x:c>
      <x:c r="F109" s="80" t="str">
        <x:v>Chicago</x:v>
      </x:c>
      <x:c r="G109" s="80" t="str">
        <x:v>Field Operations</x:v>
      </x:c>
      <x:c r="H109" s="81" t="n">
        <x:v>55800</x:v>
      </x:c>
      <x:c r="I109" s="80" t="str">
        <x:v>Yes</x:v>
      </x:c>
      <x:c r="J109" s="80" t="str">
        <x:v>Yes</x:v>
      </x:c>
      <x:c r="K109" s="80" t="str">
        <x:v>Yes</x:v>
      </x:c>
      <x:c r="L109" s="82" t="n">
        <x:v>0.08</x:v>
      </x:c>
      <x:c r="M109" s="80" t="str">
        <x:v>COO</x:v>
      </x:c>
      <x:c r="N109" s="80" t="str">
        <x:f>IF(OR(I109="No",J109="No"),"Yes","No")</x:f>
        <x:v>No</x:v>
      </x:c>
      <x:c r="O109" s="80" t="str">
        <x:f>IF(COUNTIFS($C:$C,C109)&lt;5,"Yes","No")</x:f>
        <x:v>No</x:v>
      </x:c>
      <x:c r="P109" s="81" t="n">
        <x:f>IF(K109="Yes",H109*L109,0)</x:f>
        <x:v>4464</x:v>
      </x:c>
      <x:c r="Q109" s="80" t="str">
        <x:f>IF(N109="Yes","Maverick / non-preferred",IF(O109="Yes","Tail consolidation",IF(K109="Yes","Category sourcing","Non-addressable")))</x:f>
        <x:v>Category sourcing</x:v>
      </x:c>
      <x:c r="R109" s="83" t="str">
        <x:f>IF(P109&gt;=10000,"High",IF(P109&gt;=3000,"Medium","Low"))</x:f>
        <x:v>Medium</x:v>
      </x:c>
    </x:row>
    <x:row r="110">
      <x:c r="A110" s="78" t="n">
        <x:v>106</x:v>
      </x:c>
      <x:c r="B110" s="79" t="n">
        <x:v>45927</x:v>
      </x:c>
      <x:c r="C110" s="80" t="str">
        <x:v>LaborFlex</x:v>
      </x:c>
      <x:c r="D110" s="80" t="str">
        <x:v>Temp Labor</x:v>
      </x:c>
      <x:c r="E110" s="80" t="str">
        <x:v>Indirect</x:v>
      </x:c>
      <x:c r="F110" s="80" t="str">
        <x:v>Dallas</x:v>
      </x:c>
      <x:c r="G110" s="80" t="str">
        <x:v>Distribution</x:v>
      </x:c>
      <x:c r="H110" s="81" t="n">
        <x:v>71870</x:v>
      </x:c>
      <x:c r="I110" s="80" t="str">
        <x:v>Yes</x:v>
      </x:c>
      <x:c r="J110" s="80" t="str">
        <x:v>Yes</x:v>
      </x:c>
      <x:c r="K110" s="80" t="str">
        <x:v>No</x:v>
      </x:c>
      <x:c r="L110" s="82" t="n">
        <x:v>0.07</x:v>
      </x:c>
      <x:c r="M110" s="80" t="str">
        <x:v>CHRO</x:v>
      </x:c>
      <x:c r="N110" s="80" t="str">
        <x:f>IF(OR(I110="No",J110="No"),"Yes","No")</x:f>
        <x:v>No</x:v>
      </x:c>
      <x:c r="O110" s="80" t="str">
        <x:f>IF(COUNTIFS($C:$C,C110)&lt;5,"Yes","No")</x:f>
        <x:v>No</x:v>
      </x:c>
      <x:c r="P110" s="81" t="n">
        <x:f>IF(K110="Yes",H110*L110,0)</x:f>
        <x:v>0</x:v>
      </x:c>
      <x:c r="Q110" s="80" t="str">
        <x:f>IF(N110="Yes","Maverick / non-preferred",IF(O110="Yes","Tail consolidation",IF(K110="Yes","Category sourcing","Non-addressable")))</x:f>
        <x:v>Non-addressable</x:v>
      </x:c>
      <x:c r="R110" s="83" t="str">
        <x:f>IF(P110&gt;=10000,"High",IF(P110&gt;=3000,"Medium","Low"))</x:f>
        <x:v>Low</x:v>
      </x:c>
    </x:row>
    <x:row r="111">
      <x:c r="A111" s="78" t="n">
        <x:v>107</x:v>
      </x:c>
      <x:c r="B111" s="79" t="n">
        <x:v>45777</x:v>
      </x:c>
      <x:c r="C111" s="80" t="str">
        <x:v>MobileWorks</x:v>
      </x:c>
      <x:c r="D111" s="80" t="str">
        <x:v>Telecom</x:v>
      </x:c>
      <x:c r="E111" s="80" t="str">
        <x:v>Indirect</x:v>
      </x:c>
      <x:c r="F111" s="80" t="str">
        <x:v>Dallas</x:v>
      </x:c>
      <x:c r="G111" s="80" t="str">
        <x:v>Distribution</x:v>
      </x:c>
      <x:c r="H111" s="81" t="n">
        <x:v>2240</x:v>
      </x:c>
      <x:c r="I111" s="80" t="str">
        <x:v>Yes</x:v>
      </x:c>
      <x:c r="J111" s="80" t="str">
        <x:v>No</x:v>
      </x:c>
      <x:c r="K111" s="80" t="str">
        <x:v>Yes</x:v>
      </x:c>
      <x:c r="L111" s="82" t="n">
        <x:v>0.15</x:v>
      </x:c>
      <x:c r="M111" s="80" t="str">
        <x:v>CIO</x:v>
      </x:c>
      <x:c r="N111" s="80" t="str">
        <x:f>IF(OR(I111="No",J111="No"),"Yes","No")</x:f>
        <x:v>Yes</x:v>
      </x:c>
      <x:c r="O111" s="80" t="str">
        <x:f>IF(COUNTIFS($C:$C,C111)&lt;5,"Yes","No")</x:f>
        <x:v>No</x:v>
      </x:c>
      <x:c r="P111" s="81" t="n">
        <x:f>IF(K111="Yes",H111*L111,0)</x:f>
        <x:v>336</x:v>
      </x:c>
      <x:c r="Q111" s="80" t="str">
        <x:f>IF(N111="Yes","Maverick / non-preferred",IF(O111="Yes","Tail consolidation",IF(K111="Yes","Category sourcing","Non-addressable")))</x:f>
        <x:v>Maverick / non-preferred</x:v>
      </x:c>
      <x:c r="R111" s="83" t="str">
        <x:f>IF(P111&gt;=10000,"High",IF(P111&gt;=3000,"Medium","Low"))</x:f>
        <x:v>Low</x:v>
      </x:c>
    </x:row>
    <x:row r="112">
      <x:c r="A112" s="78" t="n">
        <x:v>108</x:v>
      </x:c>
      <x:c r="B112" s="79" t="n">
        <x:v>45906</x:v>
      </x:c>
      <x:c r="C112" s="80" t="str">
        <x:v>CloudSuite</x:v>
      </x:c>
      <x:c r="D112" s="80" t="str">
        <x:v>IT Software</x:v>
      </x:c>
      <x:c r="E112" s="80" t="str">
        <x:v>Indirect</x:v>
      </x:c>
      <x:c r="F112" s="80" t="str">
        <x:v>Phoenix</x:v>
      </x:c>
      <x:c r="G112" s="80" t="str">
        <x:v>Corporate</x:v>
      </x:c>
      <x:c r="H112" s="81" t="n">
        <x:v>29210</x:v>
      </x:c>
      <x:c r="I112" s="80" t="str">
        <x:v>Yes</x:v>
      </x:c>
      <x:c r="J112" s="80" t="str">
        <x:v>Yes</x:v>
      </x:c>
      <x:c r="K112" s="80" t="str">
        <x:v>Yes</x:v>
      </x:c>
      <x:c r="L112" s="82" t="n">
        <x:v>0.12</x:v>
      </x:c>
      <x:c r="M112" s="80" t="str">
        <x:v>CIO</x:v>
      </x:c>
      <x:c r="N112" s="80" t="str">
        <x:f>IF(OR(I112="No",J112="No"),"Yes","No")</x:f>
        <x:v>No</x:v>
      </x:c>
      <x:c r="O112" s="80" t="str">
        <x:f>IF(COUNTIFS($C:$C,C112)&lt;5,"Yes","No")</x:f>
        <x:v>No</x:v>
      </x:c>
      <x:c r="P112" s="81" t="n">
        <x:f>IF(K112="Yes",H112*L112,0)</x:f>
        <x:v>3505.2</x:v>
      </x:c>
      <x:c r="Q112" s="80" t="str">
        <x:f>IF(N112="Yes","Maverick / non-preferred",IF(O112="Yes","Tail consolidation",IF(K112="Yes","Category sourcing","Non-addressable")))</x:f>
        <x:v>Category sourcing</x:v>
      </x:c>
      <x:c r="R112" s="83" t="str">
        <x:f>IF(P112&gt;=10000,"High",IF(P112&gt;=3000,"Medium","Low"))</x:f>
        <x:v>Medium</x:v>
      </x:c>
    </x:row>
    <x:row r="113">
      <x:c r="A113" s="78" t="n">
        <x:v>109</x:v>
      </x:c>
      <x:c r="B113" s="79" t="n">
        <x:v>45884</x:v>
      </x:c>
      <x:c r="C113" s="80" t="str">
        <x:v>Summit Polymers</x:v>
      </x:c>
      <x:c r="D113" s="80" t="str">
        <x:v>Raw Materials</x:v>
      </x:c>
      <x:c r="E113" s="80" t="str">
        <x:v>Direct</x:v>
      </x:c>
      <x:c r="F113" s="80" t="str">
        <x:v>Atlanta</x:v>
      </x:c>
      <x:c r="G113" s="80" t="str">
        <x:v>Manufacturing</x:v>
      </x:c>
      <x:c r="H113" s="81" t="n">
        <x:v>73130</x:v>
      </x:c>
      <x:c r="I113" s="80" t="str">
        <x:v>Yes</x:v>
      </x:c>
      <x:c r="J113" s="80" t="str">
        <x:v>Yes</x:v>
      </x:c>
      <x:c r="K113" s="80" t="str">
        <x:v>Yes</x:v>
      </x:c>
      <x:c r="L113" s="82" t="n">
        <x:v>0.05</x:v>
      </x:c>
      <x:c r="M113" s="80" t="str">
        <x:v>COO</x:v>
      </x:c>
      <x:c r="N113" s="80" t="str">
        <x:f>IF(OR(I113="No",J113="No"),"Yes","No")</x:f>
        <x:v>No</x:v>
      </x:c>
      <x:c r="O113" s="80" t="str">
        <x:f>IF(COUNTIFS($C:$C,C113)&lt;5,"Yes","No")</x:f>
        <x:v>No</x:v>
      </x:c>
      <x:c r="P113" s="81" t="n">
        <x:f>IF(K113="Yes",H113*L113,0)</x:f>
        <x:v>3656.5</x:v>
      </x:c>
      <x:c r="Q113" s="80" t="str">
        <x:f>IF(N113="Yes","Maverick / non-preferred",IF(O113="Yes","Tail consolidation",IF(K113="Yes","Category sourcing","Non-addressable")))</x:f>
        <x:v>Category sourcing</x:v>
      </x:c>
      <x:c r="R113" s="83" t="str">
        <x:f>IF(P113&gt;=10000,"High",IF(P113&gt;=3000,"Medium","Low"))</x:f>
        <x:v>Medium</x:v>
      </x:c>
    </x:row>
    <x:row r="114">
      <x:c r="A114" s="78" t="n">
        <x:v>110</x:v>
      </x:c>
      <x:c r="B114" s="79" t="n">
        <x:v>45736</x:v>
      </x:c>
      <x:c r="C114" s="80" t="str">
        <x:v>ShipMax</x:v>
      </x:c>
      <x:c r="D114" s="80" t="str">
        <x:v>Freight &amp; Logistics</x:v>
      </x:c>
      <x:c r="E114" s="80" t="str">
        <x:v>Direct</x:v>
      </x:c>
      <x:c r="F114" s="80" t="str">
        <x:v>Atlanta</x:v>
      </x:c>
      <x:c r="G114" s="80" t="str">
        <x:v>Field Operations</x:v>
      </x:c>
      <x:c r="H114" s="81" t="n">
        <x:v>71990</x:v>
      </x:c>
      <x:c r="I114" s="80" t="str">
        <x:v>Yes</x:v>
      </x:c>
      <x:c r="J114" s="80" t="str">
        <x:v>Yes</x:v>
      </x:c>
      <x:c r="K114" s="80" t="str">
        <x:v>Yes</x:v>
      </x:c>
      <x:c r="L114" s="82" t="n">
        <x:v>0.08</x:v>
      </x:c>
      <x:c r="M114" s="80" t="str">
        <x:v>COO</x:v>
      </x:c>
      <x:c r="N114" s="80" t="str">
        <x:f>IF(OR(I114="No",J114="No"),"Yes","No")</x:f>
        <x:v>No</x:v>
      </x:c>
      <x:c r="O114" s="80" t="str">
        <x:f>IF(COUNTIFS($C:$C,C114)&lt;5,"Yes","No")</x:f>
        <x:v>No</x:v>
      </x:c>
      <x:c r="P114" s="81" t="n">
        <x:f>IF(K114="Yes",H114*L114,0)</x:f>
        <x:v>5759.2</x:v>
      </x:c>
      <x:c r="Q114" s="80" t="str">
        <x:f>IF(N114="Yes","Maverick / non-preferred",IF(O114="Yes","Tail consolidation",IF(K114="Yes","Category sourcing","Non-addressable")))</x:f>
        <x:v>Category sourcing</x:v>
      </x:c>
      <x:c r="R114" s="83" t="str">
        <x:f>IF(P114&gt;=10000,"High",IF(P114&gt;=3000,"Medium","Low"))</x:f>
        <x:v>Medium</x:v>
      </x:c>
    </x:row>
    <x:row r="115">
      <x:c r="A115" s="78" t="n">
        <x:v>111</x:v>
      </x:c>
      <x:c r="B115" s="79" t="n">
        <x:v>45809</x:v>
      </x:c>
      <x:c r="C115" s="80" t="str">
        <x:v>Summit Polymers</x:v>
      </x:c>
      <x:c r="D115" s="80" t="str">
        <x:v>Raw Materials</x:v>
      </x:c>
      <x:c r="E115" s="80" t="str">
        <x:v>Direct</x:v>
      </x:c>
      <x:c r="F115" s="80" t="str">
        <x:v>Columbus</x:v>
      </x:c>
      <x:c r="G115" s="80" t="str">
        <x:v>Manufacturing</x:v>
      </x:c>
      <x:c r="H115" s="81" t="n">
        <x:v>97520</x:v>
      </x:c>
      <x:c r="I115" s="80" t="str">
        <x:v>Yes</x:v>
      </x:c>
      <x:c r="J115" s="80" t="str">
        <x:v>Yes</x:v>
      </x:c>
      <x:c r="K115" s="80" t="str">
        <x:v>No</x:v>
      </x:c>
      <x:c r="L115" s="82" t="n">
        <x:v>0.05</x:v>
      </x:c>
      <x:c r="M115" s="80" t="str">
        <x:v>COO</x:v>
      </x:c>
      <x:c r="N115" s="80" t="str">
        <x:f>IF(OR(I115="No",J115="No"),"Yes","No")</x:f>
        <x:v>No</x:v>
      </x:c>
      <x:c r="O115" s="80" t="str">
        <x:f>IF(COUNTIFS($C:$C,C115)&lt;5,"Yes","No")</x:f>
        <x:v>No</x:v>
      </x:c>
      <x:c r="P115" s="81" t="n">
        <x:f>IF(K115="Yes",H115*L115,0)</x:f>
        <x:v>0</x:v>
      </x:c>
      <x:c r="Q115" s="80" t="str">
        <x:f>IF(N115="Yes","Maverick / non-preferred",IF(O115="Yes","Tail consolidation",IF(K115="Yes","Category sourcing","Non-addressable")))</x:f>
        <x:v>Non-addressable</x:v>
      </x:c>
      <x:c r="R115" s="83" t="str">
        <x:f>IF(P115&gt;=10000,"High",IF(P115&gt;=3000,"Medium","Low"))</x:f>
        <x:v>Low</x:v>
      </x:c>
    </x:row>
    <x:row r="116">
      <x:c r="A116" s="78" t="n">
        <x:v>112</x:v>
      </x:c>
      <x:c r="B116" s="79" t="n">
        <x:v>45744</x:v>
      </x:c>
      <x:c r="C116" s="80" t="str">
        <x:v>FlexPack</x:v>
      </x:c>
      <x:c r="D116" s="80" t="str">
        <x:v>Packaging</x:v>
      </x:c>
      <x:c r="E116" s="80" t="str">
        <x:v>Direct</x:v>
      </x:c>
      <x:c r="F116" s="80" t="str">
        <x:v>Columbus</x:v>
      </x:c>
      <x:c r="G116" s="80" t="str">
        <x:v>Manufacturing</x:v>
      </x:c>
      <x:c r="H116" s="81" t="n">
        <x:v>1950</x:v>
      </x:c>
      <x:c r="I116" s="80" t="str">
        <x:v>No</x:v>
      </x:c>
      <x:c r="J116" s="80" t="str">
        <x:v>No</x:v>
      </x:c>
      <x:c r="K116" s="80" t="str">
        <x:v>Yes</x:v>
      </x:c>
      <x:c r="L116" s="82" t="n">
        <x:v>0.06</x:v>
      </x:c>
      <x:c r="M116" s="80" t="str">
        <x:v>COO</x:v>
      </x:c>
      <x:c r="N116" s="80" t="str">
        <x:f>IF(OR(I116="No",J116="No"),"Yes","No")</x:f>
        <x:v>Yes</x:v>
      </x:c>
      <x:c r="O116" s="80" t="str">
        <x:f>IF(COUNTIFS($C:$C,C116)&lt;5,"Yes","No")</x:f>
        <x:v>No</x:v>
      </x:c>
      <x:c r="P116" s="81" t="n">
        <x:f>IF(K116="Yes",H116*L116,0)</x:f>
        <x:v>117</x:v>
      </x:c>
      <x:c r="Q116" s="80" t="str">
        <x:f>IF(N116="Yes","Maverick / non-preferred",IF(O116="Yes","Tail consolidation",IF(K116="Yes","Category sourcing","Non-addressable")))</x:f>
        <x:v>Maverick / non-preferred</x:v>
      </x:c>
      <x:c r="R116" s="83" t="str">
        <x:f>IF(P116&gt;=10000,"High",IF(P116&gt;=3000,"Medium","Low"))</x:f>
        <x:v>Low</x:v>
      </x:c>
    </x:row>
    <x:row r="117">
      <x:c r="A117" s="78" t="n">
        <x:v>113</x:v>
      </x:c>
      <x:c r="B117" s="79" t="n">
        <x:v>45910</x:v>
      </x:c>
      <x:c r="C117" s="80" t="str">
        <x:v>ShipMax</x:v>
      </x:c>
      <x:c r="D117" s="80" t="str">
        <x:v>Freight &amp; Logistics</x:v>
      </x:c>
      <x:c r="E117" s="80" t="str">
        <x:v>Direct</x:v>
      </x:c>
      <x:c r="F117" s="80" t="str">
        <x:v>Columbus</x:v>
      </x:c>
      <x:c r="G117" s="80" t="str">
        <x:v>Manufacturing</x:v>
      </x:c>
      <x:c r="H117" s="81" t="n">
        <x:v>11990</x:v>
      </x:c>
      <x:c r="I117" s="80" t="str">
        <x:v>Yes</x:v>
      </x:c>
      <x:c r="J117" s="80" t="str">
        <x:v>Yes</x:v>
      </x:c>
      <x:c r="K117" s="80" t="str">
        <x:v>Yes</x:v>
      </x:c>
      <x:c r="L117" s="82" t="n">
        <x:v>0.08</x:v>
      </x:c>
      <x:c r="M117" s="80" t="str">
        <x:v>COO</x:v>
      </x:c>
      <x:c r="N117" s="80" t="str">
        <x:f>IF(OR(I117="No",J117="No"),"Yes","No")</x:f>
        <x:v>No</x:v>
      </x:c>
      <x:c r="O117" s="80" t="str">
        <x:f>IF(COUNTIFS($C:$C,C117)&lt;5,"Yes","No")</x:f>
        <x:v>No</x:v>
      </x:c>
      <x:c r="P117" s="81" t="n">
        <x:f>IF(K117="Yes",H117*L117,0)</x:f>
        <x:v>959.2</x:v>
      </x:c>
      <x:c r="Q117" s="80" t="str">
        <x:f>IF(N117="Yes","Maverick / non-preferred",IF(O117="Yes","Tail consolidation",IF(K117="Yes","Category sourcing","Non-addressable")))</x:f>
        <x:v>Category sourcing</x:v>
      </x:c>
      <x:c r="R117" s="83" t="str">
        <x:f>IF(P117&gt;=10000,"High",IF(P117&gt;=3000,"Medium","Low"))</x:f>
        <x:v>Low</x:v>
      </x:c>
    </x:row>
    <x:row r="118">
      <x:c r="A118" s="78" t="n">
        <x:v>114</x:v>
      </x:c>
      <x:c r="B118" s="79" t="n">
        <x:v>45759</x:v>
      </x:c>
      <x:c r="C118" s="80" t="str">
        <x:v>FlexPack</x:v>
      </x:c>
      <x:c r="D118" s="80" t="str">
        <x:v>Packaging</x:v>
      </x:c>
      <x:c r="E118" s="80" t="str">
        <x:v>Direct</x:v>
      </x:c>
      <x:c r="F118" s="80" t="str">
        <x:v>Atlanta</x:v>
      </x:c>
      <x:c r="G118" s="80" t="str">
        <x:v>Corporate</x:v>
      </x:c>
      <x:c r="H118" s="81" t="n">
        <x:v>14410</x:v>
      </x:c>
      <x:c r="I118" s="80" t="str">
        <x:v>No</x:v>
      </x:c>
      <x:c r="J118" s="80" t="str">
        <x:v>No</x:v>
      </x:c>
      <x:c r="K118" s="80" t="str">
        <x:v>Yes</x:v>
      </x:c>
      <x:c r="L118" s="82" t="n">
        <x:v>0.06</x:v>
      </x:c>
      <x:c r="M118" s="80" t="str">
        <x:v>COO</x:v>
      </x:c>
      <x:c r="N118" s="80" t="str">
        <x:f>IF(OR(I118="No",J118="No"),"Yes","No")</x:f>
        <x:v>Yes</x:v>
      </x:c>
      <x:c r="O118" s="80" t="str">
        <x:f>IF(COUNTIFS($C:$C,C118)&lt;5,"Yes","No")</x:f>
        <x:v>No</x:v>
      </x:c>
      <x:c r="P118" s="81" t="n">
        <x:f>IF(K118="Yes",H118*L118,0)</x:f>
        <x:v>864.6</x:v>
      </x:c>
      <x:c r="Q118" s="80" t="str">
        <x:f>IF(N118="Yes","Maverick / non-preferred",IF(O118="Yes","Tail consolidation",IF(K118="Yes","Category sourcing","Non-addressable")))</x:f>
        <x:v>Maverick / non-preferred</x:v>
      </x:c>
      <x:c r="R118" s="83" t="str">
        <x:f>IF(P118&gt;=10000,"High",IF(P118&gt;=3000,"Medium","Low"))</x:f>
        <x:v>Low</x:v>
      </x:c>
    </x:row>
    <x:row r="119">
      <x:c r="A119" s="78" t="n">
        <x:v>115</x:v>
      </x:c>
      <x:c r="B119" s="79" t="n">
        <x:v>45736</x:v>
      </x:c>
      <x:c r="C119" s="80" t="str">
        <x:v>ShiftPro</x:v>
      </x:c>
      <x:c r="D119" s="80" t="str">
        <x:v>Temp Labor</x:v>
      </x:c>
      <x:c r="E119" s="80" t="str">
        <x:v>Indirect</x:v>
      </x:c>
      <x:c r="F119" s="80" t="str">
        <x:v>Phoenix</x:v>
      </x:c>
      <x:c r="G119" s="80" t="str">
        <x:v>Corporate</x:v>
      </x:c>
      <x:c r="H119" s="81" t="n">
        <x:v>55150</x:v>
      </x:c>
      <x:c r="I119" s="80" t="str">
        <x:v>Yes</x:v>
      </x:c>
      <x:c r="J119" s="80" t="str">
        <x:v>No</x:v>
      </x:c>
      <x:c r="K119" s="80" t="str">
        <x:v>No</x:v>
      </x:c>
      <x:c r="L119" s="82" t="n">
        <x:v>0.07</x:v>
      </x:c>
      <x:c r="M119" s="80" t="str">
        <x:v>CHRO</x:v>
      </x:c>
      <x:c r="N119" s="80" t="str">
        <x:f>IF(OR(I119="No",J119="No"),"Yes","No")</x:f>
        <x:v>Yes</x:v>
      </x:c>
      <x:c r="O119" s="80" t="str">
        <x:f>IF(COUNTIFS($C:$C,C119)&lt;5,"Yes","No")</x:f>
        <x:v>No</x:v>
      </x:c>
      <x:c r="P119" s="81" t="n">
        <x:f>IF(K119="Yes",H119*L119,0)</x:f>
        <x:v>0</x:v>
      </x:c>
      <x:c r="Q119" s="80" t="str">
        <x:f>IF(N119="Yes","Maverick / non-preferred",IF(O119="Yes","Tail consolidation",IF(K119="Yes","Category sourcing","Non-addressable")))</x:f>
        <x:v>Maverick / non-preferred</x:v>
      </x:c>
      <x:c r="R119" s="83" t="str">
        <x:f>IF(P119&gt;=10000,"High",IF(P119&gt;=3000,"Medium","Low"))</x:f>
        <x:v>Low</x:v>
      </x:c>
    </x:row>
    <x:row r="120">
      <x:c r="A120" s="78" t="n">
        <x:v>116</x:v>
      </x:c>
      <x:c r="B120" s="79" t="n">
        <x:v>45742</x:v>
      </x:c>
      <x:c r="C120" s="80" t="str">
        <x:v>ConnectTel</x:v>
      </x:c>
      <x:c r="D120" s="80" t="str">
        <x:v>Telecom</x:v>
      </x:c>
      <x:c r="E120" s="80" t="str">
        <x:v>Indirect</x:v>
      </x:c>
      <x:c r="F120" s="80" t="str">
        <x:v>Atlanta</x:v>
      </x:c>
      <x:c r="G120" s="80" t="str">
        <x:v>Manufacturing</x:v>
      </x:c>
      <x:c r="H120" s="81" t="n">
        <x:v>2270</x:v>
      </x:c>
      <x:c r="I120" s="80" t="str">
        <x:v>Yes</x:v>
      </x:c>
      <x:c r="J120" s="80" t="str">
        <x:v>Yes</x:v>
      </x:c>
      <x:c r="K120" s="80" t="str">
        <x:v>Yes</x:v>
      </x:c>
      <x:c r="L120" s="82" t="n">
        <x:v>0.15</x:v>
      </x:c>
      <x:c r="M120" s="80" t="str">
        <x:v>CIO</x:v>
      </x:c>
      <x:c r="N120" s="80" t="str">
        <x:f>IF(OR(I120="No",J120="No"),"Yes","No")</x:f>
        <x:v>No</x:v>
      </x:c>
      <x:c r="O120" s="80" t="str">
        <x:f>IF(COUNTIFS($C:$C,C120)&lt;5,"Yes","No")</x:f>
        <x:v>No</x:v>
      </x:c>
      <x:c r="P120" s="81" t="n">
        <x:f>IF(K120="Yes",H120*L120,0)</x:f>
        <x:v>340.5</x:v>
      </x:c>
      <x:c r="Q120" s="80" t="str">
        <x:f>IF(N120="Yes","Maverick / non-preferred",IF(O120="Yes","Tail consolidation",IF(K120="Yes","Category sourcing","Non-addressable")))</x:f>
        <x:v>Category sourcing</x:v>
      </x:c>
      <x:c r="R120" s="83" t="str">
        <x:f>IF(P120&gt;=10000,"High",IF(P120&gt;=3000,"Medium","Low"))</x:f>
        <x:v>Low</x:v>
      </x:c>
    </x:row>
    <x:row r="121">
      <x:c r="A121" s="78" t="n">
        <x:v>117</x:v>
      </x:c>
      <x:c r="B121" s="79" t="n">
        <x:v>45658</x:v>
      </x:c>
      <x:c r="C121" s="80" t="str">
        <x:v>National Packaging</x:v>
      </x:c>
      <x:c r="D121" s="80" t="str">
        <x:v>Packaging</x:v>
      </x:c>
      <x:c r="E121" s="80" t="str">
        <x:v>Direct</x:v>
      </x:c>
      <x:c r="F121" s="80" t="str">
        <x:v>Chicago</x:v>
      </x:c>
      <x:c r="G121" s="80" t="str">
        <x:v>Field Operations</x:v>
      </x:c>
      <x:c r="H121" s="81" t="n">
        <x:v>5010</x:v>
      </x:c>
      <x:c r="I121" s="80" t="str">
        <x:v>No</x:v>
      </x:c>
      <x:c r="J121" s="80" t="str">
        <x:v>No</x:v>
      </x:c>
      <x:c r="K121" s="80" t="str">
        <x:v>Yes</x:v>
      </x:c>
      <x:c r="L121" s="82" t="n">
        <x:v>0.06</x:v>
      </x:c>
      <x:c r="M121" s="80" t="str">
        <x:v>COO</x:v>
      </x:c>
      <x:c r="N121" s="80" t="str">
        <x:f>IF(OR(I121="No",J121="No"),"Yes","No")</x:f>
        <x:v>Yes</x:v>
      </x:c>
      <x:c r="O121" s="80" t="str">
        <x:f>IF(COUNTIFS($C:$C,C121)&lt;5,"Yes","No")</x:f>
        <x:v>Yes</x:v>
      </x:c>
      <x:c r="P121" s="81" t="n">
        <x:f>IF(K121="Yes",H121*L121,0)</x:f>
        <x:v>300.59999999999997</x:v>
      </x:c>
      <x:c r="Q121" s="80" t="str">
        <x:f>IF(N121="Yes","Maverick / non-preferred",IF(O121="Yes","Tail consolidation",IF(K121="Yes","Category sourcing","Non-addressable")))</x:f>
        <x:v>Maverick / non-preferred</x:v>
      </x:c>
      <x:c r="R121" s="83" t="str">
        <x:f>IF(P121&gt;=10000,"High",IF(P121&gt;=3000,"Medium","Low"))</x:f>
        <x:v>Low</x:v>
      </x:c>
    </x:row>
    <x:row r="122">
      <x:c r="A122" s="78" t="n">
        <x:v>118</x:v>
      </x:c>
      <x:c r="B122" s="79" t="n">
        <x:v>45814</x:v>
      </x:c>
      <x:c r="C122" s="80" t="str">
        <x:v>WorkflowPro</x:v>
      </x:c>
      <x:c r="D122" s="80" t="str">
        <x:v>IT Software</x:v>
      </x:c>
      <x:c r="E122" s="80" t="str">
        <x:v>Indirect</x:v>
      </x:c>
      <x:c r="F122" s="80" t="str">
        <x:v>Phoenix</x:v>
      </x:c>
      <x:c r="G122" s="80" t="str">
        <x:v>Field Operations</x:v>
      </x:c>
      <x:c r="H122" s="81" t="n">
        <x:v>5130</x:v>
      </x:c>
      <x:c r="I122" s="80" t="str">
        <x:v>No</x:v>
      </x:c>
      <x:c r="J122" s="80" t="str">
        <x:v>No</x:v>
      </x:c>
      <x:c r="K122" s="80" t="str">
        <x:v>Yes</x:v>
      </x:c>
      <x:c r="L122" s="82" t="n">
        <x:v>0.12</x:v>
      </x:c>
      <x:c r="M122" s="80" t="str">
        <x:v>CIO</x:v>
      </x:c>
      <x:c r="N122" s="80" t="str">
        <x:f>IF(OR(I122="No",J122="No"),"Yes","No")</x:f>
        <x:v>Yes</x:v>
      </x:c>
      <x:c r="O122" s="80" t="str">
        <x:f>IF(COUNTIFS($C:$C,C122)&lt;5,"Yes","No")</x:f>
        <x:v>Yes</x:v>
      </x:c>
      <x:c r="P122" s="81" t="n">
        <x:f>IF(K122="Yes",H122*L122,0)</x:f>
        <x:v>615.6</x:v>
      </x:c>
      <x:c r="Q122" s="80" t="str">
        <x:f>IF(N122="Yes","Maverick / non-preferred",IF(O122="Yes","Tail consolidation",IF(K122="Yes","Category sourcing","Non-addressable")))</x:f>
        <x:v>Maverick / non-preferred</x:v>
      </x:c>
      <x:c r="R122" s="83" t="str">
        <x:f>IF(P122&gt;=10000,"High",IF(P122&gt;=3000,"Medium","Low"))</x:f>
        <x:v>Low</x:v>
      </x:c>
    </x:row>
    <x:row r="123">
      <x:c r="A123" s="78" t="n">
        <x:v>119</x:v>
      </x:c>
      <x:c r="B123" s="79" t="n">
        <x:v>45942</x:v>
      </x:c>
      <x:c r="C123" s="80" t="str">
        <x:v>BoxWorks</x:v>
      </x:c>
      <x:c r="D123" s="80" t="str">
        <x:v>Packaging</x:v>
      </x:c>
      <x:c r="E123" s="80" t="str">
        <x:v>Direct</x:v>
      </x:c>
      <x:c r="F123" s="80" t="str">
        <x:v>Phoenix</x:v>
      </x:c>
      <x:c r="G123" s="80" t="str">
        <x:v>Field Operations</x:v>
      </x:c>
      <x:c r="H123" s="81" t="n">
        <x:v>26320</x:v>
      </x:c>
      <x:c r="I123" s="80" t="str">
        <x:v>Yes</x:v>
      </x:c>
      <x:c r="J123" s="80" t="str">
        <x:v>Yes</x:v>
      </x:c>
      <x:c r="K123" s="80" t="str">
        <x:v>Yes</x:v>
      </x:c>
      <x:c r="L123" s="82" t="n">
        <x:v>0.06</x:v>
      </x:c>
      <x:c r="M123" s="80" t="str">
        <x:v>COO</x:v>
      </x:c>
      <x:c r="N123" s="80" t="str">
        <x:f>IF(OR(I123="No",J123="No"),"Yes","No")</x:f>
        <x:v>No</x:v>
      </x:c>
      <x:c r="O123" s="80" t="str">
        <x:f>IF(COUNTIFS($C:$C,C123)&lt;5,"Yes","No")</x:f>
        <x:v>No</x:v>
      </x:c>
      <x:c r="P123" s="81" t="n">
        <x:f>IF(K123="Yes",H123*L123,0)</x:f>
        <x:v>1579.2</x:v>
      </x:c>
      <x:c r="Q123" s="80" t="str">
        <x:f>IF(N123="Yes","Maverick / non-preferred",IF(O123="Yes","Tail consolidation",IF(K123="Yes","Category sourcing","Non-addressable")))</x:f>
        <x:v>Category sourcing</x:v>
      </x:c>
      <x:c r="R123" s="83" t="str">
        <x:f>IF(P123&gt;=10000,"High",IF(P123&gt;=3000,"Medium","Low"))</x:f>
        <x:v>Low</x:v>
      </x:c>
    </x:row>
    <x:row r="124">
      <x:c r="A124" s="78" t="n">
        <x:v>120</x:v>
      </x:c>
      <x:c r="B124" s="79" t="n">
        <x:v>45891</x:v>
      </x:c>
      <x:c r="C124" s="80" t="str">
        <x:v>NorthLine Freight</x:v>
      </x:c>
      <x:c r="D124" s="80" t="str">
        <x:v>Freight &amp; Logistics</x:v>
      </x:c>
      <x:c r="E124" s="80" t="str">
        <x:v>Direct</x:v>
      </x:c>
      <x:c r="F124" s="80" t="str">
        <x:v>Phoenix</x:v>
      </x:c>
      <x:c r="G124" s="80" t="str">
        <x:v>Field Operations</x:v>
      </x:c>
      <x:c r="H124" s="81" t="n">
        <x:v>33260</x:v>
      </x:c>
      <x:c r="I124" s="80" t="str">
        <x:v>No</x:v>
      </x:c>
      <x:c r="J124" s="80" t="str">
        <x:v>Yes</x:v>
      </x:c>
      <x:c r="K124" s="80" t="str">
        <x:v>Yes</x:v>
      </x:c>
      <x:c r="L124" s="82" t="n">
        <x:v>0.08</x:v>
      </x:c>
      <x:c r="M124" s="80" t="str">
        <x:v>COO</x:v>
      </x:c>
      <x:c r="N124" s="80" t="str">
        <x:f>IF(OR(I124="No",J124="No"),"Yes","No")</x:f>
        <x:v>Yes</x:v>
      </x:c>
      <x:c r="O124" s="80" t="str">
        <x:f>IF(COUNTIFS($C:$C,C124)&lt;5,"Yes","No")</x:f>
        <x:v>No</x:v>
      </x:c>
      <x:c r="P124" s="81" t="n">
        <x:f>IF(K124="Yes",H124*L124,0)</x:f>
        <x:v>2660.8</x:v>
      </x:c>
      <x:c r="Q124" s="80" t="str">
        <x:f>IF(N124="Yes","Maverick / non-preferred",IF(O124="Yes","Tail consolidation",IF(K124="Yes","Category sourcing","Non-addressable")))</x:f>
        <x:v>Maverick / non-preferred</x:v>
      </x:c>
      <x:c r="R124" s="83" t="str">
        <x:f>IF(P124&gt;=10000,"High",IF(P124&gt;=3000,"Medium","Low"))</x:f>
        <x:v>Low</x:v>
      </x:c>
    </x:row>
    <x:row r="125">
      <x:c r="A125" s="78" t="n">
        <x:v>121</x:v>
      </x:c>
      <x:c r="B125" s="79" t="n">
        <x:v>45689</x:v>
      </x:c>
      <x:c r="C125" s="80" t="str">
        <x:v>PackRight</x:v>
      </x:c>
      <x:c r="D125" s="80" t="str">
        <x:v>Packaging</x:v>
      </x:c>
      <x:c r="E125" s="80" t="str">
        <x:v>Direct</x:v>
      </x:c>
      <x:c r="F125" s="80" t="str">
        <x:v>Atlanta</x:v>
      </x:c>
      <x:c r="G125" s="80" t="str">
        <x:v>Corporate</x:v>
      </x:c>
      <x:c r="H125" s="81" t="n">
        <x:v>32100</x:v>
      </x:c>
      <x:c r="I125" s="80" t="str">
        <x:v>Yes</x:v>
      </x:c>
      <x:c r="J125" s="80" t="str">
        <x:v>Yes</x:v>
      </x:c>
      <x:c r="K125" s="80" t="str">
        <x:v>Yes</x:v>
      </x:c>
      <x:c r="L125" s="82" t="n">
        <x:v>0.06</x:v>
      </x:c>
      <x:c r="M125" s="80" t="str">
        <x:v>COO</x:v>
      </x:c>
      <x:c r="N125" s="80" t="str">
        <x:f>IF(OR(I125="No",J125="No"),"Yes","No")</x:f>
        <x:v>No</x:v>
      </x:c>
      <x:c r="O125" s="80" t="str">
        <x:f>IF(COUNTIFS($C:$C,C125)&lt;5,"Yes","No")</x:f>
        <x:v>Yes</x:v>
      </x:c>
      <x:c r="P125" s="81" t="n">
        <x:f>IF(K125="Yes",H125*L125,0)</x:f>
        <x:v>1926</x:v>
      </x:c>
      <x:c r="Q125" s="80" t="str">
        <x:f>IF(N125="Yes","Maverick / non-preferred",IF(O125="Yes","Tail consolidation",IF(K125="Yes","Category sourcing","Non-addressable")))</x:f>
        <x:v>Tail consolidation</x:v>
      </x:c>
      <x:c r="R125" s="83" t="str">
        <x:f>IF(P125&gt;=10000,"High",IF(P125&gt;=3000,"Medium","Low"))</x:f>
        <x:v>Low</x:v>
      </x:c>
    </x:row>
    <x:row r="126">
      <x:c r="A126" s="78" t="n">
        <x:v>122</x:v>
      </x:c>
      <x:c r="B126" s="79" t="n">
        <x:v>45709</x:v>
      </x:c>
      <x:c r="C126" s="80" t="str">
        <x:v>ShiftPro</x:v>
      </x:c>
      <x:c r="D126" s="80" t="str">
        <x:v>Temp Labor</x:v>
      </x:c>
      <x:c r="E126" s="80" t="str">
        <x:v>Indirect</x:v>
      </x:c>
      <x:c r="F126" s="80" t="str">
        <x:v>Phoenix</x:v>
      </x:c>
      <x:c r="G126" s="80" t="str">
        <x:v>Manufacturing</x:v>
      </x:c>
      <x:c r="H126" s="81" t="n">
        <x:v>49010</x:v>
      </x:c>
      <x:c r="I126" s="80" t="str">
        <x:v>Yes</x:v>
      </x:c>
      <x:c r="J126" s="80" t="str">
        <x:v>No</x:v>
      </x:c>
      <x:c r="K126" s="80" t="str">
        <x:v>No</x:v>
      </x:c>
      <x:c r="L126" s="82" t="n">
        <x:v>0.07</x:v>
      </x:c>
      <x:c r="M126" s="80" t="str">
        <x:v>CHRO</x:v>
      </x:c>
      <x:c r="N126" s="80" t="str">
        <x:f>IF(OR(I126="No",J126="No"),"Yes","No")</x:f>
        <x:v>Yes</x:v>
      </x:c>
      <x:c r="O126" s="80" t="str">
        <x:f>IF(COUNTIFS($C:$C,C126)&lt;5,"Yes","No")</x:f>
        <x:v>No</x:v>
      </x:c>
      <x:c r="P126" s="81" t="n">
        <x:f>IF(K126="Yes",H126*L126,0)</x:f>
        <x:v>0</x:v>
      </x:c>
      <x:c r="Q126" s="80" t="str">
        <x:f>IF(N126="Yes","Maverick / non-preferred",IF(O126="Yes","Tail consolidation",IF(K126="Yes","Category sourcing","Non-addressable")))</x:f>
        <x:v>Maverick / non-preferred</x:v>
      </x:c>
      <x:c r="R126" s="83" t="str">
        <x:f>IF(P126&gt;=10000,"High",IF(P126&gt;=3000,"Medium","Low"))</x:f>
        <x:v>Low</x:v>
      </x:c>
    </x:row>
    <x:row r="127">
      <x:c r="A127" s="78" t="n">
        <x:v>123</x:v>
      </x:c>
      <x:c r="B127" s="79" t="n">
        <x:v>45704</x:v>
      </x:c>
      <x:c r="C127" s="80" t="str">
        <x:v>NorthLine Freight</x:v>
      </x:c>
      <x:c r="D127" s="80" t="str">
        <x:v>Freight &amp; Logistics</x:v>
      </x:c>
      <x:c r="E127" s="80" t="str">
        <x:v>Direct</x:v>
      </x:c>
      <x:c r="F127" s="80" t="str">
        <x:v>Columbus</x:v>
      </x:c>
      <x:c r="G127" s="80" t="str">
        <x:v>Field Operations</x:v>
      </x:c>
      <x:c r="H127" s="81" t="n">
        <x:v>49780</x:v>
      </x:c>
      <x:c r="I127" s="80" t="str">
        <x:v>Yes</x:v>
      </x:c>
      <x:c r="J127" s="80" t="str">
        <x:v>Yes</x:v>
      </x:c>
      <x:c r="K127" s="80" t="str">
        <x:v>Yes</x:v>
      </x:c>
      <x:c r="L127" s="82" t="n">
        <x:v>0.08</x:v>
      </x:c>
      <x:c r="M127" s="80" t="str">
        <x:v>COO</x:v>
      </x:c>
      <x:c r="N127" s="80" t="str">
        <x:f>IF(OR(I127="No",J127="No"),"Yes","No")</x:f>
        <x:v>No</x:v>
      </x:c>
      <x:c r="O127" s="80" t="str">
        <x:f>IF(COUNTIFS($C:$C,C127)&lt;5,"Yes","No")</x:f>
        <x:v>No</x:v>
      </x:c>
      <x:c r="P127" s="81" t="n">
        <x:f>IF(K127="Yes",H127*L127,0)</x:f>
        <x:v>3982.4</x:v>
      </x:c>
      <x:c r="Q127" s="80" t="str">
        <x:f>IF(N127="Yes","Maverick / non-preferred",IF(O127="Yes","Tail consolidation",IF(K127="Yes","Category sourcing","Non-addressable")))</x:f>
        <x:v>Category sourcing</x:v>
      </x:c>
      <x:c r="R127" s="83" t="str">
        <x:f>IF(P127&gt;=10000,"High",IF(P127&gt;=3000,"Medium","Low"))</x:f>
        <x:v>Medium</x:v>
      </x:c>
    </x:row>
    <x:row r="128">
      <x:c r="A128" s="78" t="n">
        <x:v>124</x:v>
      </x:c>
      <x:c r="B128" s="79" t="n">
        <x:v>45999</x:v>
      </x:c>
      <x:c r="C128" s="80" t="str">
        <x:v>SecureID</x:v>
      </x:c>
      <x:c r="D128" s="80" t="str">
        <x:v>IT Software</x:v>
      </x:c>
      <x:c r="E128" s="80" t="str">
        <x:v>Indirect</x:v>
      </x:c>
      <x:c r="F128" s="80" t="str">
        <x:v>Phoenix</x:v>
      </x:c>
      <x:c r="G128" s="80" t="str">
        <x:v>Corporate</x:v>
      </x:c>
      <x:c r="H128" s="81" t="n">
        <x:v>3690</x:v>
      </x:c>
      <x:c r="I128" s="80" t="str">
        <x:v>No</x:v>
      </x:c>
      <x:c r="J128" s="80" t="str">
        <x:v>Yes</x:v>
      </x:c>
      <x:c r="K128" s="80" t="str">
        <x:v>Yes</x:v>
      </x:c>
      <x:c r="L128" s="82" t="n">
        <x:v>0.12</x:v>
      </x:c>
      <x:c r="M128" s="80" t="str">
        <x:v>CIO</x:v>
      </x:c>
      <x:c r="N128" s="80" t="str">
        <x:f>IF(OR(I128="No",J128="No"),"Yes","No")</x:f>
        <x:v>Yes</x:v>
      </x:c>
      <x:c r="O128" s="80" t="str">
        <x:f>IF(COUNTIFS($C:$C,C128)&lt;5,"Yes","No")</x:f>
        <x:v>No</x:v>
      </x:c>
      <x:c r="P128" s="81" t="n">
        <x:f>IF(K128="Yes",H128*L128,0)</x:f>
        <x:v>442.8</x:v>
      </x:c>
      <x:c r="Q128" s="80" t="str">
        <x:f>IF(N128="Yes","Maverick / non-preferred",IF(O128="Yes","Tail consolidation",IF(K128="Yes","Category sourcing","Non-addressable")))</x:f>
        <x:v>Maverick / non-preferred</x:v>
      </x:c>
      <x:c r="R128" s="83" t="str">
        <x:f>IF(P128&gt;=10000,"High",IF(P128&gt;=3000,"Medium","Low"))</x:f>
        <x:v>Low</x:v>
      </x:c>
    </x:row>
    <x:row r="129">
      <x:c r="A129" s="78" t="n">
        <x:v>125</x:v>
      </x:c>
      <x:c r="B129" s="79" t="n">
        <x:v>45879</x:v>
      </x:c>
      <x:c r="C129" s="80" t="str">
        <x:v>FastLane Carriers</x:v>
      </x:c>
      <x:c r="D129" s="80" t="str">
        <x:v>Freight &amp; Logistics</x:v>
      </x:c>
      <x:c r="E129" s="80" t="str">
        <x:v>Direct</x:v>
      </x:c>
      <x:c r="F129" s="80" t="str">
        <x:v>Columbus</x:v>
      </x:c>
      <x:c r="G129" s="80" t="str">
        <x:v>Distribution</x:v>
      </x:c>
      <x:c r="H129" s="81" t="n">
        <x:v>13980</x:v>
      </x:c>
      <x:c r="I129" s="80" t="str">
        <x:v>No</x:v>
      </x:c>
      <x:c r="J129" s="80" t="str">
        <x:v>No</x:v>
      </x:c>
      <x:c r="K129" s="80" t="str">
        <x:v>Yes</x:v>
      </x:c>
      <x:c r="L129" s="82" t="n">
        <x:v>0.08</x:v>
      </x:c>
      <x:c r="M129" s="80" t="str">
        <x:v>COO</x:v>
      </x:c>
      <x:c r="N129" s="80" t="str">
        <x:f>IF(OR(I129="No",J129="No"),"Yes","No")</x:f>
        <x:v>Yes</x:v>
      </x:c>
      <x:c r="O129" s="80" t="str">
        <x:f>IF(COUNTIFS($C:$C,C129)&lt;5,"Yes","No")</x:f>
        <x:v>No</x:v>
      </x:c>
      <x:c r="P129" s="81" t="n">
        <x:f>IF(K129="Yes",H129*L129,0)</x:f>
        <x:v>1118.4</x:v>
      </x:c>
      <x:c r="Q129" s="80" t="str">
        <x:f>IF(N129="Yes","Maverick / non-preferred",IF(O129="Yes","Tail consolidation",IF(K129="Yes","Category sourcing","Non-addressable")))</x:f>
        <x:v>Maverick / non-preferred</x:v>
      </x:c>
      <x:c r="R129" s="83" t="str">
        <x:f>IF(P129&gt;=10000,"High",IF(P129&gt;=3000,"Medium","Low"))</x:f>
        <x:v>Low</x:v>
      </x:c>
    </x:row>
    <x:row r="130">
      <x:c r="A130" s="78" t="n">
        <x:v>126</x:v>
      </x:c>
      <x:c r="B130" s="79" t="n">
        <x:v>45938</x:v>
      </x:c>
      <x:c r="C130" s="80" t="str">
        <x:v>Regional LTL</x:v>
      </x:c>
      <x:c r="D130" s="80" t="str">
        <x:v>Freight &amp; Logistics</x:v>
      </x:c>
      <x:c r="E130" s="80" t="str">
        <x:v>Direct</x:v>
      </x:c>
      <x:c r="F130" s="80" t="str">
        <x:v>Atlanta</x:v>
      </x:c>
      <x:c r="G130" s="80" t="str">
        <x:v>Field Operations</x:v>
      </x:c>
      <x:c r="H130" s="81" t="n">
        <x:v>34700</x:v>
      </x:c>
      <x:c r="I130" s="80" t="str">
        <x:v>No</x:v>
      </x:c>
      <x:c r="J130" s="80" t="str">
        <x:v>No</x:v>
      </x:c>
      <x:c r="K130" s="80" t="str">
        <x:v>Yes</x:v>
      </x:c>
      <x:c r="L130" s="82" t="n">
        <x:v>0.08</x:v>
      </x:c>
      <x:c r="M130" s="80" t="str">
        <x:v>COO</x:v>
      </x:c>
      <x:c r="N130" s="80" t="str">
        <x:f>IF(OR(I130="No",J130="No"),"Yes","No")</x:f>
        <x:v>Yes</x:v>
      </x:c>
      <x:c r="O130" s="80" t="str">
        <x:f>IF(COUNTIFS($C:$C,C130)&lt;5,"Yes","No")</x:f>
        <x:v>No</x:v>
      </x:c>
      <x:c r="P130" s="81" t="n">
        <x:f>IF(K130="Yes",H130*L130,0)</x:f>
        <x:v>2776</x:v>
      </x:c>
      <x:c r="Q130" s="80" t="str">
        <x:f>IF(N130="Yes","Maverick / non-preferred",IF(O130="Yes","Tail consolidation",IF(K130="Yes","Category sourcing","Non-addressable")))</x:f>
        <x:v>Maverick / non-preferred</x:v>
      </x:c>
      <x:c r="R130" s="83" t="str">
        <x:f>IF(P130&gt;=10000,"High",IF(P130&gt;=3000,"Medium","Low"))</x:f>
        <x:v>Low</x:v>
      </x:c>
    </x:row>
    <x:row r="131">
      <x:c r="A131" s="78" t="n">
        <x:v>127</x:v>
      </x:c>
      <x:c r="B131" s="79" t="n">
        <x:v>46011</x:v>
      </x:c>
      <x:c r="C131" s="80" t="str">
        <x:v>CloudSuite</x:v>
      </x:c>
      <x:c r="D131" s="80" t="str">
        <x:v>IT Software</x:v>
      </x:c>
      <x:c r="E131" s="80" t="str">
        <x:v>Indirect</x:v>
      </x:c>
      <x:c r="F131" s="80" t="str">
        <x:v>Atlanta</x:v>
      </x:c>
      <x:c r="G131" s="80" t="str">
        <x:v>Corporate</x:v>
      </x:c>
      <x:c r="H131" s="81" t="n">
        <x:v>10100</x:v>
      </x:c>
      <x:c r="I131" s="80" t="str">
        <x:v>Yes</x:v>
      </x:c>
      <x:c r="J131" s="80" t="str">
        <x:v>Yes</x:v>
      </x:c>
      <x:c r="K131" s="80" t="str">
        <x:v>Yes</x:v>
      </x:c>
      <x:c r="L131" s="82" t="n">
        <x:v>0.12</x:v>
      </x:c>
      <x:c r="M131" s="80" t="str">
        <x:v>CIO</x:v>
      </x:c>
      <x:c r="N131" s="80" t="str">
        <x:f>IF(OR(I131="No",J131="No"),"Yes","No")</x:f>
        <x:v>No</x:v>
      </x:c>
      <x:c r="O131" s="80" t="str">
        <x:f>IF(COUNTIFS($C:$C,C131)&lt;5,"Yes","No")</x:f>
        <x:v>No</x:v>
      </x:c>
      <x:c r="P131" s="81" t="n">
        <x:f>IF(K131="Yes",H131*L131,0)</x:f>
        <x:v>1212</x:v>
      </x:c>
      <x:c r="Q131" s="80" t="str">
        <x:f>IF(N131="Yes","Maverick / non-preferred",IF(O131="Yes","Tail consolidation",IF(K131="Yes","Category sourcing","Non-addressable")))</x:f>
        <x:v>Category sourcing</x:v>
      </x:c>
      <x:c r="R131" s="83" t="str">
        <x:f>IF(P131&gt;=10000,"High",IF(P131&gt;=3000,"Medium","Low"))</x:f>
        <x:v>Low</x:v>
      </x:c>
    </x:row>
    <x:row r="132">
      <x:c r="A132" s="78" t="n">
        <x:v>128</x:v>
      </x:c>
      <x:c r="B132" s="79" t="n">
        <x:v>45840</x:v>
      </x:c>
      <x:c r="C132" s="80" t="str">
        <x:v>OfficeCloud</x:v>
      </x:c>
      <x:c r="D132" s="80" t="str">
        <x:v>IT Software</x:v>
      </x:c>
      <x:c r="E132" s="80" t="str">
        <x:v>Indirect</x:v>
      </x:c>
      <x:c r="F132" s="80" t="str">
        <x:v>Dallas</x:v>
      </x:c>
      <x:c r="G132" s="80" t="str">
        <x:v>Distribution</x:v>
      </x:c>
      <x:c r="H132" s="81" t="n">
        <x:v>8320</x:v>
      </x:c>
      <x:c r="I132" s="80" t="str">
        <x:v>No</x:v>
      </x:c>
      <x:c r="J132" s="80" t="str">
        <x:v>No</x:v>
      </x:c>
      <x:c r="K132" s="80" t="str">
        <x:v>Yes</x:v>
      </x:c>
      <x:c r="L132" s="82" t="n">
        <x:v>0.12</x:v>
      </x:c>
      <x:c r="M132" s="80" t="str">
        <x:v>CIO</x:v>
      </x:c>
      <x:c r="N132" s="80" t="str">
        <x:f>IF(OR(I132="No",J132="No"),"Yes","No")</x:f>
        <x:v>Yes</x:v>
      </x:c>
      <x:c r="O132" s="80" t="str">
        <x:f>IF(COUNTIFS($C:$C,C132)&lt;5,"Yes","No")</x:f>
        <x:v>No</x:v>
      </x:c>
      <x:c r="P132" s="81" t="n">
        <x:f>IF(K132="Yes",H132*L132,0)</x:f>
        <x:v>998.4</x:v>
      </x:c>
      <x:c r="Q132" s="80" t="str">
        <x:f>IF(N132="Yes","Maverick / non-preferred",IF(O132="Yes","Tail consolidation",IF(K132="Yes","Category sourcing","Non-addressable")))</x:f>
        <x:v>Maverick / non-preferred</x:v>
      </x:c>
      <x:c r="R132" s="83" t="str">
        <x:f>IF(P132&gt;=10000,"High",IF(P132&gt;=3000,"Medium","Low"))</x:f>
        <x:v>Low</x:v>
      </x:c>
    </x:row>
    <x:row r="133">
      <x:c r="A133" s="78" t="n">
        <x:v>129</x:v>
      </x:c>
      <x:c r="B133" s="79" t="n">
        <x:v>45952</x:v>
      </x:c>
      <x:c r="C133" s="80" t="str">
        <x:v>SecureWrap</x:v>
      </x:c>
      <x:c r="D133" s="80" t="str">
        <x:v>Packaging</x:v>
      </x:c>
      <x:c r="E133" s="80" t="str">
        <x:v>Direct</x:v>
      </x:c>
      <x:c r="F133" s="80" t="str">
        <x:v>Dallas</x:v>
      </x:c>
      <x:c r="G133" s="80" t="str">
        <x:v>Corporate</x:v>
      </x:c>
      <x:c r="H133" s="81" t="n">
        <x:v>23370</x:v>
      </x:c>
      <x:c r="I133" s="80" t="str">
        <x:v>No</x:v>
      </x:c>
      <x:c r="J133" s="80" t="str">
        <x:v>No</x:v>
      </x:c>
      <x:c r="K133" s="80" t="str">
        <x:v>Yes</x:v>
      </x:c>
      <x:c r="L133" s="82" t="n">
        <x:v>0.06</x:v>
      </x:c>
      <x:c r="M133" s="80" t="str">
        <x:v>COO</x:v>
      </x:c>
      <x:c r="N133" s="80" t="str">
        <x:f>IF(OR(I133="No",J133="No"),"Yes","No")</x:f>
        <x:v>Yes</x:v>
      </x:c>
      <x:c r="O133" s="80" t="str">
        <x:f>IF(COUNTIFS($C:$C,C133)&lt;5,"Yes","No")</x:f>
        <x:v>No</x:v>
      </x:c>
      <x:c r="P133" s="81" t="n">
        <x:f>IF(K133="Yes",H133*L133,0)</x:f>
        <x:v>1402.2</x:v>
      </x:c>
      <x:c r="Q133" s="80" t="str">
        <x:f>IF(N133="Yes","Maverick / non-preferred",IF(O133="Yes","Tail consolidation",IF(K133="Yes","Category sourcing","Non-addressable")))</x:f>
        <x:v>Maverick / non-preferred</x:v>
      </x:c>
      <x:c r="R133" s="83" t="str">
        <x:f>IF(P133&gt;=10000,"High",IF(P133&gt;=3000,"Medium","Low"))</x:f>
        <x:v>Low</x:v>
      </x:c>
    </x:row>
    <x:row r="134">
      <x:c r="A134" s="78" t="n">
        <x:v>130</x:v>
      </x:c>
      <x:c r="B134" s="79" t="n">
        <x:v>45839</x:v>
      </x:c>
      <x:c r="C134" s="80" t="str">
        <x:v>FiberOne</x:v>
      </x:c>
      <x:c r="D134" s="80" t="str">
        <x:v>Telecom</x:v>
      </x:c>
      <x:c r="E134" s="80" t="str">
        <x:v>Indirect</x:v>
      </x:c>
      <x:c r="F134" s="80" t="str">
        <x:v>Chicago</x:v>
      </x:c>
      <x:c r="G134" s="80" t="str">
        <x:v>Distribution</x:v>
      </x:c>
      <x:c r="H134" s="81" t="n">
        <x:v>2280</x:v>
      </x:c>
      <x:c r="I134" s="80" t="str">
        <x:v>No</x:v>
      </x:c>
      <x:c r="J134" s="80" t="str">
        <x:v>No</x:v>
      </x:c>
      <x:c r="K134" s="80" t="str">
        <x:v>Yes</x:v>
      </x:c>
      <x:c r="L134" s="82" t="n">
        <x:v>0.15</x:v>
      </x:c>
      <x:c r="M134" s="80" t="str">
        <x:v>CIO</x:v>
      </x:c>
      <x:c r="N134" s="80" t="str">
        <x:f>IF(OR(I134="No",J134="No"),"Yes","No")</x:f>
        <x:v>Yes</x:v>
      </x:c>
      <x:c r="O134" s="80" t="str">
        <x:f>IF(COUNTIFS($C:$C,C134)&lt;5,"Yes","No")</x:f>
        <x:v>No</x:v>
      </x:c>
      <x:c r="P134" s="81" t="n">
        <x:f>IF(K134="Yes",H134*L134,0)</x:f>
        <x:v>342</x:v>
      </x:c>
      <x:c r="Q134" s="80" t="str">
        <x:f>IF(N134="Yes","Maverick / non-preferred",IF(O134="Yes","Tail consolidation",IF(K134="Yes","Category sourcing","Non-addressable")))</x:f>
        <x:v>Maverick / non-preferred</x:v>
      </x:c>
      <x:c r="R134" s="83" t="str">
        <x:f>IF(P134&gt;=10000,"High",IF(P134&gt;=3000,"Medium","Low"))</x:f>
        <x:v>Low</x:v>
      </x:c>
    </x:row>
    <x:row r="135">
      <x:c r="A135" s="78" t="n">
        <x:v>131</x:v>
      </x:c>
      <x:c r="B135" s="79" t="n">
        <x:v>45727</x:v>
      </x:c>
      <x:c r="C135" s="80" t="str">
        <x:v>Regional LTL</x:v>
      </x:c>
      <x:c r="D135" s="80" t="str">
        <x:v>Freight &amp; Logistics</x:v>
      </x:c>
      <x:c r="E135" s="80" t="str">
        <x:v>Direct</x:v>
      </x:c>
      <x:c r="F135" s="80" t="str">
        <x:v>Phoenix</x:v>
      </x:c>
      <x:c r="G135" s="80" t="str">
        <x:v>Field Operations</x:v>
      </x:c>
      <x:c r="H135" s="81" t="n">
        <x:v>42730</x:v>
      </x:c>
      <x:c r="I135" s="80" t="str">
        <x:v>No</x:v>
      </x:c>
      <x:c r="J135" s="80" t="str">
        <x:v>No</x:v>
      </x:c>
      <x:c r="K135" s="80" t="str">
        <x:v>Yes</x:v>
      </x:c>
      <x:c r="L135" s="82" t="n">
        <x:v>0.08</x:v>
      </x:c>
      <x:c r="M135" s="80" t="str">
        <x:v>COO</x:v>
      </x:c>
      <x:c r="N135" s="80" t="str">
        <x:f>IF(OR(I135="No",J135="No"),"Yes","No")</x:f>
        <x:v>Yes</x:v>
      </x:c>
      <x:c r="O135" s="80" t="str">
        <x:f>IF(COUNTIFS($C:$C,C135)&lt;5,"Yes","No")</x:f>
        <x:v>No</x:v>
      </x:c>
      <x:c r="P135" s="81" t="n">
        <x:f>IF(K135="Yes",H135*L135,0)</x:f>
        <x:v>3418.4</x:v>
      </x:c>
      <x:c r="Q135" s="80" t="str">
        <x:f>IF(N135="Yes","Maverick / non-preferred",IF(O135="Yes","Tail consolidation",IF(K135="Yes","Category sourcing","Non-addressable")))</x:f>
        <x:v>Maverick / non-preferred</x:v>
      </x:c>
      <x:c r="R135" s="83" t="str">
        <x:f>IF(P135&gt;=10000,"High",IF(P135&gt;=3000,"Medium","Low"))</x:f>
        <x:v>Medium</x:v>
      </x:c>
    </x:row>
    <x:row r="136">
      <x:c r="A136" s="78" t="n">
        <x:v>132</x:v>
      </x:c>
      <x:c r="B136" s="79" t="n">
        <x:v>45710</x:v>
      </x:c>
      <x:c r="C136" s="80" t="str">
        <x:v>VoiceNet</x:v>
      </x:c>
      <x:c r="D136" s="80" t="str">
        <x:v>Telecom</x:v>
      </x:c>
      <x:c r="E136" s="80" t="str">
        <x:v>Indirect</x:v>
      </x:c>
      <x:c r="F136" s="80" t="str">
        <x:v>Columbus</x:v>
      </x:c>
      <x:c r="G136" s="80" t="str">
        <x:v>Manufacturing</x:v>
      </x:c>
      <x:c r="H136" s="81" t="n">
        <x:v>4560</x:v>
      </x:c>
      <x:c r="I136" s="80" t="str">
        <x:v>Yes</x:v>
      </x:c>
      <x:c r="J136" s="80" t="str">
        <x:v>No</x:v>
      </x:c>
      <x:c r="K136" s="80" t="str">
        <x:v>Yes</x:v>
      </x:c>
      <x:c r="L136" s="82" t="n">
        <x:v>0.15</x:v>
      </x:c>
      <x:c r="M136" s="80" t="str">
        <x:v>CIO</x:v>
      </x:c>
      <x:c r="N136" s="80" t="str">
        <x:f>IF(OR(I136="No",J136="No"),"Yes","No")</x:f>
        <x:v>Yes</x:v>
      </x:c>
      <x:c r="O136" s="80" t="str">
        <x:f>IF(COUNTIFS($C:$C,C136)&lt;5,"Yes","No")</x:f>
        <x:v>Yes</x:v>
      </x:c>
      <x:c r="P136" s="81" t="n">
        <x:f>IF(K136="Yes",H136*L136,0)</x:f>
        <x:v>684</x:v>
      </x:c>
      <x:c r="Q136" s="80" t="str">
        <x:f>IF(N136="Yes","Maverick / non-preferred",IF(O136="Yes","Tail consolidation",IF(K136="Yes","Category sourcing","Non-addressable")))</x:f>
        <x:v>Maverick / non-preferred</x:v>
      </x:c>
      <x:c r="R136" s="83" t="str">
        <x:f>IF(P136&gt;=10000,"High",IF(P136&gt;=3000,"Medium","Low"))</x:f>
        <x:v>Low</x:v>
      </x:c>
    </x:row>
    <x:row r="137">
      <x:c r="A137" s="78" t="n">
        <x:v>133</x:v>
      </x:c>
      <x:c r="B137" s="79" t="n">
        <x:v>45958</x:v>
      </x:c>
      <x:c r="C137" s="80" t="str">
        <x:v>TaxBridge</x:v>
      </x:c>
      <x:c r="D137" s="80" t="str">
        <x:v>Professional Services</x:v>
      </x:c>
      <x:c r="E137" s="80" t="str">
        <x:v>Indirect</x:v>
      </x:c>
      <x:c r="F137" s="80" t="str">
        <x:v>Chicago</x:v>
      </x:c>
      <x:c r="G137" s="80" t="str">
        <x:v>Manufacturing</x:v>
      </x:c>
      <x:c r="H137" s="81" t="n">
        <x:v>18770</x:v>
      </x:c>
      <x:c r="I137" s="80" t="str">
        <x:v>No</x:v>
      </x:c>
      <x:c r="J137" s="80" t="str">
        <x:v>No</x:v>
      </x:c>
      <x:c r="K137" s="80" t="str">
        <x:v>No</x:v>
      </x:c>
      <x:c r="L137" s="82" t="n">
        <x:v>0.09</x:v>
      </x:c>
      <x:c r="M137" s="80" t="str">
        <x:v>CFO</x:v>
      </x:c>
      <x:c r="N137" s="80" t="str">
        <x:f>IF(OR(I137="No",J137="No"),"Yes","No")</x:f>
        <x:v>Yes</x:v>
      </x:c>
      <x:c r="O137" s="80" t="str">
        <x:f>IF(COUNTIFS($C:$C,C137)&lt;5,"Yes","No")</x:f>
        <x:v>No</x:v>
      </x:c>
      <x:c r="P137" s="81" t="n">
        <x:f>IF(K137="Yes",H137*L137,0)</x:f>
        <x:v>0</x:v>
      </x:c>
      <x:c r="Q137" s="80" t="str">
        <x:f>IF(N137="Yes","Maverick / non-preferred",IF(O137="Yes","Tail consolidation",IF(K137="Yes","Category sourcing","Non-addressable")))</x:f>
        <x:v>Maverick / non-preferred</x:v>
      </x:c>
      <x:c r="R137" s="83" t="str">
        <x:f>IF(P137&gt;=10000,"High",IF(P137&gt;=3000,"Medium","Low"))</x:f>
        <x:v>Low</x:v>
      </x:c>
    </x:row>
    <x:row r="138">
      <x:c r="A138" s="78" t="n">
        <x:v>134</x:v>
      </x:c>
      <x:c r="B138" s="79" t="n">
        <x:v>45757</x:v>
      </x:c>
      <x:c r="C138" s="80" t="str">
        <x:v>BrandNorth</x:v>
      </x:c>
      <x:c r="D138" s="80" t="str">
        <x:v>Professional Services</x:v>
      </x:c>
      <x:c r="E138" s="80" t="str">
        <x:v>Indirect</x:v>
      </x:c>
      <x:c r="F138" s="80" t="str">
        <x:v>Phoenix</x:v>
      </x:c>
      <x:c r="G138" s="80" t="str">
        <x:v>Corporate</x:v>
      </x:c>
      <x:c r="H138" s="81" t="n">
        <x:v>14070</x:v>
      </x:c>
      <x:c r="I138" s="80" t="str">
        <x:v>Yes</x:v>
      </x:c>
      <x:c r="J138" s="80" t="str">
        <x:v>No</x:v>
      </x:c>
      <x:c r="K138" s="80" t="str">
        <x:v>No</x:v>
      </x:c>
      <x:c r="L138" s="82" t="n">
        <x:v>0.09</x:v>
      </x:c>
      <x:c r="M138" s="80" t="str">
        <x:v>CFO</x:v>
      </x:c>
      <x:c r="N138" s="80" t="str">
        <x:f>IF(OR(I138="No",J138="No"),"Yes","No")</x:f>
        <x:v>Yes</x:v>
      </x:c>
      <x:c r="O138" s="80" t="str">
        <x:f>IF(COUNTIFS($C:$C,C138)&lt;5,"Yes","No")</x:f>
        <x:v>No</x:v>
      </x:c>
      <x:c r="P138" s="81" t="n">
        <x:f>IF(K138="Yes",H138*L138,0)</x:f>
        <x:v>0</x:v>
      </x:c>
      <x:c r="Q138" s="80" t="str">
        <x:f>IF(N138="Yes","Maverick / non-preferred",IF(O138="Yes","Tail consolidation",IF(K138="Yes","Category sourcing","Non-addressable")))</x:f>
        <x:v>Maverick / non-preferred</x:v>
      </x:c>
      <x:c r="R138" s="83" t="str">
        <x:f>IF(P138&gt;=10000,"High",IF(P138&gt;=3000,"Medium","Low"))</x:f>
        <x:v>Low</x:v>
      </x:c>
    </x:row>
    <x:row r="139">
      <x:c r="A139" s="78" t="n">
        <x:v>135</x:v>
      </x:c>
      <x:c r="B139" s="79" t="n">
        <x:v>45904</x:v>
      </x:c>
      <x:c r="C139" s="80" t="str">
        <x:v>SecureWrap</x:v>
      </x:c>
      <x:c r="D139" s="80" t="str">
        <x:v>Packaging</x:v>
      </x:c>
      <x:c r="E139" s="80" t="str">
        <x:v>Direct</x:v>
      </x:c>
      <x:c r="F139" s="80" t="str">
        <x:v>Columbus</x:v>
      </x:c>
      <x:c r="G139" s="80" t="str">
        <x:v>Field Operations</x:v>
      </x:c>
      <x:c r="H139" s="81" t="n">
        <x:v>14950</x:v>
      </x:c>
      <x:c r="I139" s="80" t="str">
        <x:v>No</x:v>
      </x:c>
      <x:c r="J139" s="80" t="str">
        <x:v>No</x:v>
      </x:c>
      <x:c r="K139" s="80" t="str">
        <x:v>Yes</x:v>
      </x:c>
      <x:c r="L139" s="82" t="n">
        <x:v>0.06</x:v>
      </x:c>
      <x:c r="M139" s="80" t="str">
        <x:v>COO</x:v>
      </x:c>
      <x:c r="N139" s="80" t="str">
        <x:f>IF(OR(I139="No",J139="No"),"Yes","No")</x:f>
        <x:v>Yes</x:v>
      </x:c>
      <x:c r="O139" s="80" t="str">
        <x:f>IF(COUNTIFS($C:$C,C139)&lt;5,"Yes","No")</x:f>
        <x:v>No</x:v>
      </x:c>
      <x:c r="P139" s="81" t="n">
        <x:f>IF(K139="Yes",H139*L139,0)</x:f>
        <x:v>897</x:v>
      </x:c>
      <x:c r="Q139" s="80" t="str">
        <x:f>IF(N139="Yes","Maverick / non-preferred",IF(O139="Yes","Tail consolidation",IF(K139="Yes","Category sourcing","Non-addressable")))</x:f>
        <x:v>Maverick / non-preferred</x:v>
      </x:c>
      <x:c r="R139" s="83" t="str">
        <x:f>IF(P139&gt;=10000,"High",IF(P139&gt;=3000,"Medium","Low"))</x:f>
        <x:v>Low</x:v>
      </x:c>
    </x:row>
    <x:row r="140">
      <x:c r="A140" s="78" t="n">
        <x:v>136</x:v>
      </x:c>
      <x:c r="B140" s="79" t="n">
        <x:v>45947</x:v>
      </x:c>
      <x:c r="C140" s="80" t="str">
        <x:v>CleanCo</x:v>
      </x:c>
      <x:c r="D140" s="80" t="str">
        <x:v>Facilities</x:v>
      </x:c>
      <x:c r="E140" s="80" t="str">
        <x:v>Indirect</x:v>
      </x:c>
      <x:c r="F140" s="80" t="str">
        <x:v>Columbus</x:v>
      </x:c>
      <x:c r="G140" s="80" t="str">
        <x:v>Distribution</x:v>
      </x:c>
      <x:c r="H140" s="81" t="n">
        <x:v>7010</x:v>
      </x:c>
      <x:c r="I140" s="80" t="str">
        <x:v>Yes</x:v>
      </x:c>
      <x:c r="J140" s="80" t="str">
        <x:v>Yes</x:v>
      </x:c>
      <x:c r="K140" s="80" t="str">
        <x:v>Yes</x:v>
      </x:c>
      <x:c r="L140" s="82" t="n">
        <x:v>0.1</x:v>
      </x:c>
      <x:c r="M140" s="80" t="str">
        <x:v>COO</x:v>
      </x:c>
      <x:c r="N140" s="80" t="str">
        <x:f>IF(OR(I140="No",J140="No"),"Yes","No")</x:f>
        <x:v>No</x:v>
      </x:c>
      <x:c r="O140" s="80" t="str">
        <x:f>IF(COUNTIFS($C:$C,C140)&lt;5,"Yes","No")</x:f>
        <x:v>Yes</x:v>
      </x:c>
      <x:c r="P140" s="81" t="n">
        <x:f>IF(K140="Yes",H140*L140,0)</x:f>
        <x:v>701</x:v>
      </x:c>
      <x:c r="Q140" s="80" t="str">
        <x:f>IF(N140="Yes","Maverick / non-preferred",IF(O140="Yes","Tail consolidation",IF(K140="Yes","Category sourcing","Non-addressable")))</x:f>
        <x:v>Tail consolidation</x:v>
      </x:c>
      <x:c r="R140" s="83" t="str">
        <x:f>IF(P140&gt;=10000,"High",IF(P140&gt;=3000,"Medium","Low"))</x:f>
        <x:v>Low</x:v>
      </x:c>
    </x:row>
    <x:row r="141">
      <x:c r="A141" s="78" t="n">
        <x:v>137</x:v>
      </x:c>
      <x:c r="B141" s="79" t="n">
        <x:v>45907</x:v>
      </x:c>
      <x:c r="C141" s="80" t="str">
        <x:v>MobileWorks</x:v>
      </x:c>
      <x:c r="D141" s="80" t="str">
        <x:v>Telecom</x:v>
      </x:c>
      <x:c r="E141" s="80" t="str">
        <x:v>Indirect</x:v>
      </x:c>
      <x:c r="F141" s="80" t="str">
        <x:v>Atlanta</x:v>
      </x:c>
      <x:c r="G141" s="80" t="str">
        <x:v>Field Operations</x:v>
      </x:c>
      <x:c r="H141" s="81" t="n">
        <x:v>5920</x:v>
      </x:c>
      <x:c r="I141" s="80" t="str">
        <x:v>Yes</x:v>
      </x:c>
      <x:c r="J141" s="80" t="str">
        <x:v>No</x:v>
      </x:c>
      <x:c r="K141" s="80" t="str">
        <x:v>Yes</x:v>
      </x:c>
      <x:c r="L141" s="82" t="n">
        <x:v>0.15</x:v>
      </x:c>
      <x:c r="M141" s="80" t="str">
        <x:v>CIO</x:v>
      </x:c>
      <x:c r="N141" s="80" t="str">
        <x:f>IF(OR(I141="No",J141="No"),"Yes","No")</x:f>
        <x:v>Yes</x:v>
      </x:c>
      <x:c r="O141" s="80" t="str">
        <x:f>IF(COUNTIFS($C:$C,C141)&lt;5,"Yes","No")</x:f>
        <x:v>No</x:v>
      </x:c>
      <x:c r="P141" s="81" t="n">
        <x:f>IF(K141="Yes",H141*L141,0)</x:f>
        <x:v>888</x:v>
      </x:c>
      <x:c r="Q141" s="80" t="str">
        <x:f>IF(N141="Yes","Maverick / non-preferred",IF(O141="Yes","Tail consolidation",IF(K141="Yes","Category sourcing","Non-addressable")))</x:f>
        <x:v>Maverick / non-preferred</x:v>
      </x:c>
      <x:c r="R141" s="83" t="str">
        <x:f>IF(P141&gt;=10000,"High",IF(P141&gt;=3000,"Medium","Low"))</x:f>
        <x:v>Low</x:v>
      </x:c>
    </x:row>
    <x:row r="142">
      <x:c r="A142" s="78" t="n">
        <x:v>138</x:v>
      </x:c>
      <x:c r="B142" s="79" t="n">
        <x:v>45677</x:v>
      </x:c>
      <x:c r="C142" s="80" t="str">
        <x:v>SafeSite</x:v>
      </x:c>
      <x:c r="D142" s="80" t="str">
        <x:v>Facilities</x:v>
      </x:c>
      <x:c r="E142" s="80" t="str">
        <x:v>Indirect</x:v>
      </x:c>
      <x:c r="F142" s="80" t="str">
        <x:v>Chicago</x:v>
      </x:c>
      <x:c r="G142" s="80" t="str">
        <x:v>Corporate</x:v>
      </x:c>
      <x:c r="H142" s="81" t="n">
        <x:v>8020</x:v>
      </x:c>
      <x:c r="I142" s="80" t="str">
        <x:v>No</x:v>
      </x:c>
      <x:c r="J142" s="80" t="str">
        <x:v>No</x:v>
      </x:c>
      <x:c r="K142" s="80" t="str">
        <x:v>Yes</x:v>
      </x:c>
      <x:c r="L142" s="82" t="n">
        <x:v>0.1</x:v>
      </x:c>
      <x:c r="M142" s="80" t="str">
        <x:v>COO</x:v>
      </x:c>
      <x:c r="N142" s="80" t="str">
        <x:f>IF(OR(I142="No",J142="No"),"Yes","No")</x:f>
        <x:v>Yes</x:v>
      </x:c>
      <x:c r="O142" s="80" t="str">
        <x:f>IF(COUNTIFS($C:$C,C142)&lt;5,"Yes","No")</x:f>
        <x:v>No</x:v>
      </x:c>
      <x:c r="P142" s="81" t="n">
        <x:f>IF(K142="Yes",H142*L142,0)</x:f>
        <x:v>802</x:v>
      </x:c>
      <x:c r="Q142" s="80" t="str">
        <x:f>IF(N142="Yes","Maverick / non-preferred",IF(O142="Yes","Tail consolidation",IF(K142="Yes","Category sourcing","Non-addressable")))</x:f>
        <x:v>Maverick / non-preferred</x:v>
      </x:c>
      <x:c r="R142" s="83" t="str">
        <x:f>IF(P142&gt;=10000,"High",IF(P142&gt;=3000,"Medium","Low"))</x:f>
        <x:v>Low</x:v>
      </x:c>
    </x:row>
    <x:row r="143">
      <x:c r="A143" s="78" t="n">
        <x:v>139</x:v>
      </x:c>
      <x:c r="B143" s="79" t="n">
        <x:v>45875</x:v>
      </x:c>
      <x:c r="C143" s="80" t="str">
        <x:v>OfficeCloud</x:v>
      </x:c>
      <x:c r="D143" s="80" t="str">
        <x:v>IT Software</x:v>
      </x:c>
      <x:c r="E143" s="80" t="str">
        <x:v>Indirect</x:v>
      </x:c>
      <x:c r="F143" s="80" t="str">
        <x:v>Phoenix</x:v>
      </x:c>
      <x:c r="G143" s="80" t="str">
        <x:v>Manufacturing</x:v>
      </x:c>
      <x:c r="H143" s="81" t="n">
        <x:v>21420</x:v>
      </x:c>
      <x:c r="I143" s="80" t="str">
        <x:v>No</x:v>
      </x:c>
      <x:c r="J143" s="80" t="str">
        <x:v>No</x:v>
      </x:c>
      <x:c r="K143" s="80" t="str">
        <x:v>Yes</x:v>
      </x:c>
      <x:c r="L143" s="82" t="n">
        <x:v>0.12</x:v>
      </x:c>
      <x:c r="M143" s="80" t="str">
        <x:v>CIO</x:v>
      </x:c>
      <x:c r="N143" s="80" t="str">
        <x:f>IF(OR(I143="No",J143="No"),"Yes","No")</x:f>
        <x:v>Yes</x:v>
      </x:c>
      <x:c r="O143" s="80" t="str">
        <x:f>IF(COUNTIFS($C:$C,C143)&lt;5,"Yes","No")</x:f>
        <x:v>No</x:v>
      </x:c>
      <x:c r="P143" s="81" t="n">
        <x:f>IF(K143="Yes",H143*L143,0)</x:f>
        <x:v>2570.4</x:v>
      </x:c>
      <x:c r="Q143" s="80" t="str">
        <x:f>IF(N143="Yes","Maverick / non-preferred",IF(O143="Yes","Tail consolidation",IF(K143="Yes","Category sourcing","Non-addressable")))</x:f>
        <x:v>Maverick / non-preferred</x:v>
      </x:c>
      <x:c r="R143" s="83" t="str">
        <x:f>IF(P143&gt;=10000,"High",IF(P143&gt;=3000,"Medium","Low"))</x:f>
        <x:v>Low</x:v>
      </x:c>
    </x:row>
    <x:row r="144">
      <x:c r="A144" s="78" t="n">
        <x:v>140</x:v>
      </x:c>
      <x:c r="B144" s="79" t="n">
        <x:v>45846</x:v>
      </x:c>
      <x:c r="C144" s="80" t="str">
        <x:v>ConnectTel</x:v>
      </x:c>
      <x:c r="D144" s="80" t="str">
        <x:v>Telecom</x:v>
      </x:c>
      <x:c r="E144" s="80" t="str">
        <x:v>Indirect</x:v>
      </x:c>
      <x:c r="F144" s="80" t="str">
        <x:v>Phoenix</x:v>
      </x:c>
      <x:c r="G144" s="80" t="str">
        <x:v>Field Operations</x:v>
      </x:c>
      <x:c r="H144" s="81" t="n">
        <x:v>6060</x:v>
      </x:c>
      <x:c r="I144" s="80" t="str">
        <x:v>Yes</x:v>
      </x:c>
      <x:c r="J144" s="80" t="str">
        <x:v>Yes</x:v>
      </x:c>
      <x:c r="K144" s="80" t="str">
        <x:v>Yes</x:v>
      </x:c>
      <x:c r="L144" s="82" t="n">
        <x:v>0.15</x:v>
      </x:c>
      <x:c r="M144" s="80" t="str">
        <x:v>CIO</x:v>
      </x:c>
      <x:c r="N144" s="80" t="str">
        <x:f>IF(OR(I144="No",J144="No"),"Yes","No")</x:f>
        <x:v>No</x:v>
      </x:c>
      <x:c r="O144" s="80" t="str">
        <x:f>IF(COUNTIFS($C:$C,C144)&lt;5,"Yes","No")</x:f>
        <x:v>No</x:v>
      </x:c>
      <x:c r="P144" s="81" t="n">
        <x:f>IF(K144="Yes",H144*L144,0)</x:f>
        <x:v>909</x:v>
      </x:c>
      <x:c r="Q144" s="80" t="str">
        <x:f>IF(N144="Yes","Maverick / non-preferred",IF(O144="Yes","Tail consolidation",IF(K144="Yes","Category sourcing","Non-addressable")))</x:f>
        <x:v>Category sourcing</x:v>
      </x:c>
      <x:c r="R144" s="83" t="str">
        <x:f>IF(P144&gt;=10000,"High",IF(P144&gt;=3000,"Medium","Low"))</x:f>
        <x:v>Low</x:v>
      </x:c>
    </x:row>
    <x:row r="145">
      <x:c r="A145" s="78" t="n">
        <x:v>141</x:v>
      </x:c>
      <x:c r="B145" s="79" t="n">
        <x:v>45915</x:v>
      </x:c>
      <x:c r="C145" s="80" t="str">
        <x:v>Regional LTL</x:v>
      </x:c>
      <x:c r="D145" s="80" t="str">
        <x:v>Freight &amp; Logistics</x:v>
      </x:c>
      <x:c r="E145" s="80" t="str">
        <x:v>Direct</x:v>
      </x:c>
      <x:c r="F145" s="80" t="str">
        <x:v>Atlanta</x:v>
      </x:c>
      <x:c r="G145" s="80" t="str">
        <x:v>Distribution</x:v>
      </x:c>
      <x:c r="H145" s="81" t="n">
        <x:v>112320</x:v>
      </x:c>
      <x:c r="I145" s="80" t="str">
        <x:v>No</x:v>
      </x:c>
      <x:c r="J145" s="80" t="str">
        <x:v>No</x:v>
      </x:c>
      <x:c r="K145" s="80" t="str">
        <x:v>Yes</x:v>
      </x:c>
      <x:c r="L145" s="82" t="n">
        <x:v>0.08</x:v>
      </x:c>
      <x:c r="M145" s="80" t="str">
        <x:v>COO</x:v>
      </x:c>
      <x:c r="N145" s="80" t="str">
        <x:f>IF(OR(I145="No",J145="No"),"Yes","No")</x:f>
        <x:v>Yes</x:v>
      </x:c>
      <x:c r="O145" s="80" t="str">
        <x:f>IF(COUNTIFS($C:$C,C145)&lt;5,"Yes","No")</x:f>
        <x:v>No</x:v>
      </x:c>
      <x:c r="P145" s="81" t="n">
        <x:f>IF(K145="Yes",H145*L145,0)</x:f>
        <x:v>8985.6</x:v>
      </x:c>
      <x:c r="Q145" s="80" t="str">
        <x:f>IF(N145="Yes","Maverick / non-preferred",IF(O145="Yes","Tail consolidation",IF(K145="Yes","Category sourcing","Non-addressable")))</x:f>
        <x:v>Maverick / non-preferred</x:v>
      </x:c>
      <x:c r="R145" s="83" t="str">
        <x:f>IF(P145&gt;=10000,"High",IF(P145&gt;=3000,"Medium","Low"))</x:f>
        <x:v>Medium</x:v>
      </x:c>
    </x:row>
    <x:row r="146">
      <x:c r="A146" s="78" t="n">
        <x:v>142</x:v>
      </x:c>
      <x:c r="B146" s="79" t="n">
        <x:v>45829</x:v>
      </x:c>
      <x:c r="C146" s="80" t="str">
        <x:v>Industrial Supply</x:v>
      </x:c>
      <x:c r="D146" s="80" t="str">
        <x:v>MRO</x:v>
      </x:c>
      <x:c r="E146" s="80" t="str">
        <x:v>Direct</x:v>
      </x:c>
      <x:c r="F146" s="80" t="str">
        <x:v>Chicago</x:v>
      </x:c>
      <x:c r="G146" s="80" t="str">
        <x:v>Field Operations</x:v>
      </x:c>
      <x:c r="H146" s="81" t="n">
        <x:v>34320</x:v>
      </x:c>
      <x:c r="I146" s="80" t="str">
        <x:v>Yes</x:v>
      </x:c>
      <x:c r="J146" s="80" t="str">
        <x:v>Yes</x:v>
      </x:c>
      <x:c r="K146" s="80" t="str">
        <x:v>No</x:v>
      </x:c>
      <x:c r="L146" s="82" t="n">
        <x:v>0.06</x:v>
      </x:c>
      <x:c r="M146" s="80" t="str">
        <x:v>COO</x:v>
      </x:c>
      <x:c r="N146" s="80" t="str">
        <x:f>IF(OR(I146="No",J146="No"),"Yes","No")</x:f>
        <x:v>No</x:v>
      </x:c>
      <x:c r="O146" s="80" t="str">
        <x:f>IF(COUNTIFS($C:$C,C146)&lt;5,"Yes","No")</x:f>
        <x:v>No</x:v>
      </x:c>
      <x:c r="P146" s="81" t="n">
        <x:f>IF(K146="Yes",H146*L146,0)</x:f>
        <x:v>0</x:v>
      </x:c>
      <x:c r="Q146" s="80" t="str">
        <x:f>IF(N146="Yes","Maverick / non-preferred",IF(O146="Yes","Tail consolidation",IF(K146="Yes","Category sourcing","Non-addressable")))</x:f>
        <x:v>Non-addressable</x:v>
      </x:c>
      <x:c r="R146" s="83" t="str">
        <x:f>IF(P146&gt;=10000,"High",IF(P146&gt;=3000,"Medium","Low"))</x:f>
        <x:v>Low</x:v>
      </x:c>
    </x:row>
    <x:row r="147">
      <x:c r="A147" s="78" t="n">
        <x:v>143</x:v>
      </x:c>
      <x:c r="B147" s="79" t="n">
        <x:v>45841</x:v>
      </x:c>
      <x:c r="C147" s="80" t="str">
        <x:v>ToolWorks</x:v>
      </x:c>
      <x:c r="D147" s="80" t="str">
        <x:v>MRO</x:v>
      </x:c>
      <x:c r="E147" s="80" t="str">
        <x:v>Direct</x:v>
      </x:c>
      <x:c r="F147" s="80" t="str">
        <x:v>Atlanta</x:v>
      </x:c>
      <x:c r="G147" s="80" t="str">
        <x:v>Field Operations</x:v>
      </x:c>
      <x:c r="H147" s="81" t="n">
        <x:v>3160</x:v>
      </x:c>
      <x:c r="I147" s="80" t="str">
        <x:v>No</x:v>
      </x:c>
      <x:c r="J147" s="80" t="str">
        <x:v>No</x:v>
      </x:c>
      <x:c r="K147" s="80" t="str">
        <x:v>No</x:v>
      </x:c>
      <x:c r="L147" s="82" t="n">
        <x:v>0.06</x:v>
      </x:c>
      <x:c r="M147" s="80" t="str">
        <x:v>COO</x:v>
      </x:c>
      <x:c r="N147" s="80" t="str">
        <x:f>IF(OR(I147="No",J147="No"),"Yes","No")</x:f>
        <x:v>Yes</x:v>
      </x:c>
      <x:c r="O147" s="80" t="str">
        <x:f>IF(COUNTIFS($C:$C,C147)&lt;5,"Yes","No")</x:f>
        <x:v>No</x:v>
      </x:c>
      <x:c r="P147" s="81" t="n">
        <x:f>IF(K147="Yes",H147*L147,0)</x:f>
        <x:v>0</x:v>
      </x:c>
      <x:c r="Q147" s="80" t="str">
        <x:f>IF(N147="Yes","Maverick / non-preferred",IF(O147="Yes","Tail consolidation",IF(K147="Yes","Category sourcing","Non-addressable")))</x:f>
        <x:v>Maverick / non-preferred</x:v>
      </x:c>
      <x:c r="R147" s="83" t="str">
        <x:f>IF(P147&gt;=10000,"High",IF(P147&gt;=3000,"Medium","Low"))</x:f>
        <x:v>Low</x:v>
      </x:c>
    </x:row>
    <x:row r="148">
      <x:c r="A148" s="78" t="n">
        <x:v>144</x:v>
      </x:c>
      <x:c r="B148" s="79" t="n">
        <x:v>45665</x:v>
      </x:c>
      <x:c r="C148" s="80" t="str">
        <x:v>AdvisoryCo</x:v>
      </x:c>
      <x:c r="D148" s="80" t="str">
        <x:v>Professional Services</x:v>
      </x:c>
      <x:c r="E148" s="80" t="str">
        <x:v>Indirect</x:v>
      </x:c>
      <x:c r="F148" s="80" t="str">
        <x:v>Columbus</x:v>
      </x:c>
      <x:c r="G148" s="80" t="str">
        <x:v>Corporate</x:v>
      </x:c>
      <x:c r="H148" s="81" t="n">
        <x:v>25450</x:v>
      </x:c>
      <x:c r="I148" s="80" t="str">
        <x:v>Yes</x:v>
      </x:c>
      <x:c r="J148" s="80" t="str">
        <x:v>Yes</x:v>
      </x:c>
      <x:c r="K148" s="80" t="str">
        <x:v>No</x:v>
      </x:c>
      <x:c r="L148" s="82" t="n">
        <x:v>0.09</x:v>
      </x:c>
      <x:c r="M148" s="80" t="str">
        <x:v>CFO</x:v>
      </x:c>
      <x:c r="N148" s="80" t="str">
        <x:f>IF(OR(I148="No",J148="No"),"Yes","No")</x:f>
        <x:v>No</x:v>
      </x:c>
      <x:c r="O148" s="80" t="str">
        <x:f>IF(COUNTIFS($C:$C,C148)&lt;5,"Yes","No")</x:f>
        <x:v>No</x:v>
      </x:c>
      <x:c r="P148" s="81" t="n">
        <x:f>IF(K148="Yes",H148*L148,0)</x:f>
        <x:v>0</x:v>
      </x:c>
      <x:c r="Q148" s="80" t="str">
        <x:f>IF(N148="Yes","Maverick / non-preferred",IF(O148="Yes","Tail consolidation",IF(K148="Yes","Category sourcing","Non-addressable")))</x:f>
        <x:v>Non-addressable</x:v>
      </x:c>
      <x:c r="R148" s="83" t="str">
        <x:f>IF(P148&gt;=10000,"High",IF(P148&gt;=3000,"Medium","Low"))</x:f>
        <x:v>Low</x:v>
      </x:c>
    </x:row>
    <x:row r="149">
      <x:c r="A149" s="78" t="n">
        <x:v>145</x:v>
      </x:c>
      <x:c r="B149" s="79" t="n">
        <x:v>45916</x:v>
      </x:c>
      <x:c r="C149" s="80" t="str">
        <x:v>FlexPack</x:v>
      </x:c>
      <x:c r="D149" s="80" t="str">
        <x:v>Packaging</x:v>
      </x:c>
      <x:c r="E149" s="80" t="str">
        <x:v>Direct</x:v>
      </x:c>
      <x:c r="F149" s="80" t="str">
        <x:v>Dallas</x:v>
      </x:c>
      <x:c r="G149" s="80" t="str">
        <x:v>Corporate</x:v>
      </x:c>
      <x:c r="H149" s="81" t="n">
        <x:v>7580</x:v>
      </x:c>
      <x:c r="I149" s="80" t="str">
        <x:v>No</x:v>
      </x:c>
      <x:c r="J149" s="80" t="str">
        <x:v>No</x:v>
      </x:c>
      <x:c r="K149" s="80" t="str">
        <x:v>Yes</x:v>
      </x:c>
      <x:c r="L149" s="82" t="n">
        <x:v>0.06</x:v>
      </x:c>
      <x:c r="M149" s="80" t="str">
        <x:v>COO</x:v>
      </x:c>
      <x:c r="N149" s="80" t="str">
        <x:f>IF(OR(I149="No",J149="No"),"Yes","No")</x:f>
        <x:v>Yes</x:v>
      </x:c>
      <x:c r="O149" s="80" t="str">
        <x:f>IF(COUNTIFS($C:$C,C149)&lt;5,"Yes","No")</x:f>
        <x:v>No</x:v>
      </x:c>
      <x:c r="P149" s="81" t="n">
        <x:f>IF(K149="Yes",H149*L149,0)</x:f>
        <x:v>454.8</x:v>
      </x:c>
      <x:c r="Q149" s="80" t="str">
        <x:f>IF(N149="Yes","Maverick / non-preferred",IF(O149="Yes","Tail consolidation",IF(K149="Yes","Category sourcing","Non-addressable")))</x:f>
        <x:v>Maverick / non-preferred</x:v>
      </x:c>
      <x:c r="R149" s="83" t="str">
        <x:f>IF(P149&gt;=10000,"High",IF(P149&gt;=3000,"Medium","Low"))</x:f>
        <x:v>Low</x:v>
      </x:c>
    </x:row>
    <x:row r="150">
      <x:c r="A150" s="78" t="n">
        <x:v>146</x:v>
      </x:c>
      <x:c r="B150" s="79" t="n">
        <x:v>45848</x:v>
      </x:c>
      <x:c r="C150" s="80" t="str">
        <x:v>TaxBridge</x:v>
      </x:c>
      <x:c r="D150" s="80" t="str">
        <x:v>Professional Services</x:v>
      </x:c>
      <x:c r="E150" s="80" t="str">
        <x:v>Indirect</x:v>
      </x:c>
      <x:c r="F150" s="80" t="str">
        <x:v>Chicago</x:v>
      </x:c>
      <x:c r="G150" s="80" t="str">
        <x:v>Field Operations</x:v>
      </x:c>
      <x:c r="H150" s="81" t="n">
        <x:v>14060</x:v>
      </x:c>
      <x:c r="I150" s="80" t="str">
        <x:v>Yes</x:v>
      </x:c>
      <x:c r="J150" s="80" t="str">
        <x:v>No</x:v>
      </x:c>
      <x:c r="K150" s="80" t="str">
        <x:v>No</x:v>
      </x:c>
      <x:c r="L150" s="82" t="n">
        <x:v>0.09</x:v>
      </x:c>
      <x:c r="M150" s="80" t="str">
        <x:v>CFO</x:v>
      </x:c>
      <x:c r="N150" s="80" t="str">
        <x:f>IF(OR(I150="No",J150="No"),"Yes","No")</x:f>
        <x:v>Yes</x:v>
      </x:c>
      <x:c r="O150" s="80" t="str">
        <x:f>IF(COUNTIFS($C:$C,C150)&lt;5,"Yes","No")</x:f>
        <x:v>No</x:v>
      </x:c>
      <x:c r="P150" s="81" t="n">
        <x:f>IF(K150="Yes",H150*L150,0)</x:f>
        <x:v>0</x:v>
      </x:c>
      <x:c r="Q150" s="80" t="str">
        <x:f>IF(N150="Yes","Maverick / non-preferred",IF(O150="Yes","Tail consolidation",IF(K150="Yes","Category sourcing","Non-addressable")))</x:f>
        <x:v>Maverick / non-preferred</x:v>
      </x:c>
      <x:c r="R150" s="83" t="str">
        <x:f>IF(P150&gt;=10000,"High",IF(P150&gt;=3000,"Medium","Low"))</x:f>
        <x:v>Low</x:v>
      </x:c>
    </x:row>
    <x:row r="151">
      <x:c r="A151" s="78" t="n">
        <x:v>147</x:v>
      </x:c>
      <x:c r="B151" s="79" t="n">
        <x:v>45958</x:v>
      </x:c>
      <x:c r="C151" s="80" t="str">
        <x:v>DataGrid</x:v>
      </x:c>
      <x:c r="D151" s="80" t="str">
        <x:v>IT Software</x:v>
      </x:c>
      <x:c r="E151" s="80" t="str">
        <x:v>Indirect</x:v>
      </x:c>
      <x:c r="F151" s="80" t="str">
        <x:v>Atlanta</x:v>
      </x:c>
      <x:c r="G151" s="80" t="str">
        <x:v>Corporate</x:v>
      </x:c>
      <x:c r="H151" s="81" t="n">
        <x:v>4850</x:v>
      </x:c>
      <x:c r="I151" s="80" t="str">
        <x:v>No</x:v>
      </x:c>
      <x:c r="J151" s="80" t="str">
        <x:v>No</x:v>
      </x:c>
      <x:c r="K151" s="80" t="str">
        <x:v>Yes</x:v>
      </x:c>
      <x:c r="L151" s="82" t="n">
        <x:v>0.12</x:v>
      </x:c>
      <x:c r="M151" s="80" t="str">
        <x:v>CIO</x:v>
      </x:c>
      <x:c r="N151" s="80" t="str">
        <x:f>IF(OR(I151="No",J151="No"),"Yes","No")</x:f>
        <x:v>Yes</x:v>
      </x:c>
      <x:c r="O151" s="80" t="str">
        <x:f>IF(COUNTIFS($C:$C,C151)&lt;5,"Yes","No")</x:f>
        <x:v>No</x:v>
      </x:c>
      <x:c r="P151" s="81" t="n">
        <x:f>IF(K151="Yes",H151*L151,0)</x:f>
        <x:v>582</x:v>
      </x:c>
      <x:c r="Q151" s="80" t="str">
        <x:f>IF(N151="Yes","Maverick / non-preferred",IF(O151="Yes","Tail consolidation",IF(K151="Yes","Category sourcing","Non-addressable")))</x:f>
        <x:v>Maverick / non-preferred</x:v>
      </x:c>
      <x:c r="R151" s="83" t="str">
        <x:f>IF(P151&gt;=10000,"High",IF(P151&gt;=3000,"Medium","Low"))</x:f>
        <x:v>Low</x:v>
      </x:c>
    </x:row>
    <x:row r="152">
      <x:c r="A152" s="78" t="n">
        <x:v>148</x:v>
      </x:c>
      <x:c r="B152" s="79" t="n">
        <x:v>45916</x:v>
      </x:c>
      <x:c r="C152" s="80" t="str">
        <x:v>SupplyHub</x:v>
      </x:c>
      <x:c r="D152" s="80" t="str">
        <x:v>Office Supplies</x:v>
      </x:c>
      <x:c r="E152" s="80" t="str">
        <x:v>Indirect</x:v>
      </x:c>
      <x:c r="F152" s="80" t="str">
        <x:v>Chicago</x:v>
      </x:c>
      <x:c r="G152" s="80" t="str">
        <x:v>Manufacturing</x:v>
      </x:c>
      <x:c r="H152" s="81" t="n">
        <x:v>10140</x:v>
      </x:c>
      <x:c r="I152" s="80" t="str">
        <x:v>Yes</x:v>
      </x:c>
      <x:c r="J152" s="80" t="str">
        <x:v>Yes</x:v>
      </x:c>
      <x:c r="K152" s="80" t="str">
        <x:v>Yes</x:v>
      </x:c>
      <x:c r="L152" s="82" t="n">
        <x:v>0.18</x:v>
      </x:c>
      <x:c r="M152" s="80" t="str">
        <x:v>CFO</x:v>
      </x:c>
      <x:c r="N152" s="80" t="str">
        <x:f>IF(OR(I152="No",J152="No"),"Yes","No")</x:f>
        <x:v>No</x:v>
      </x:c>
      <x:c r="O152" s="80" t="str">
        <x:f>IF(COUNTIFS($C:$C,C152)&lt;5,"Yes","No")</x:f>
        <x:v>No</x:v>
      </x:c>
      <x:c r="P152" s="81" t="n">
        <x:f>IF(K152="Yes",H152*L152,0)</x:f>
        <x:v>1825.2</x:v>
      </x:c>
      <x:c r="Q152" s="80" t="str">
        <x:f>IF(N152="Yes","Maverick / non-preferred",IF(O152="Yes","Tail consolidation",IF(K152="Yes","Category sourcing","Non-addressable")))</x:f>
        <x:v>Category sourcing</x:v>
      </x:c>
      <x:c r="R152" s="83" t="str">
        <x:f>IF(P152&gt;=10000,"High",IF(P152&gt;=3000,"Medium","Low"))</x:f>
        <x:v>Low</x:v>
      </x:c>
    </x:row>
    <x:row r="153">
      <x:c r="A153" s="78" t="n">
        <x:v>149</x:v>
      </x:c>
      <x:c r="B153" s="79" t="n">
        <x:v>45776</x:v>
      </x:c>
      <x:c r="C153" s="80" t="str">
        <x:v>LaborFlex</x:v>
      </x:c>
      <x:c r="D153" s="80" t="str">
        <x:v>Temp Labor</x:v>
      </x:c>
      <x:c r="E153" s="80" t="str">
        <x:v>Indirect</x:v>
      </x:c>
      <x:c r="F153" s="80" t="str">
        <x:v>Chicago</x:v>
      </x:c>
      <x:c r="G153" s="80" t="str">
        <x:v>Manufacturing</x:v>
      </x:c>
      <x:c r="H153" s="81" t="n">
        <x:v>14300</x:v>
      </x:c>
      <x:c r="I153" s="80" t="str">
        <x:v>Yes</x:v>
      </x:c>
      <x:c r="J153" s="80" t="str">
        <x:v>Yes</x:v>
      </x:c>
      <x:c r="K153" s="80" t="str">
        <x:v>No</x:v>
      </x:c>
      <x:c r="L153" s="82" t="n">
        <x:v>0.07</x:v>
      </x:c>
      <x:c r="M153" s="80" t="str">
        <x:v>CHRO</x:v>
      </x:c>
      <x:c r="N153" s="80" t="str">
        <x:f>IF(OR(I153="No",J153="No"),"Yes","No")</x:f>
        <x:v>No</x:v>
      </x:c>
      <x:c r="O153" s="80" t="str">
        <x:f>IF(COUNTIFS($C:$C,C153)&lt;5,"Yes","No")</x:f>
        <x:v>No</x:v>
      </x:c>
      <x:c r="P153" s="81" t="n">
        <x:f>IF(K153="Yes",H153*L153,0)</x:f>
        <x:v>0</x:v>
      </x:c>
      <x:c r="Q153" s="80" t="str">
        <x:f>IF(N153="Yes","Maverick / non-preferred",IF(O153="Yes","Tail consolidation",IF(K153="Yes","Category sourcing","Non-addressable")))</x:f>
        <x:v>Non-addressable</x:v>
      </x:c>
      <x:c r="R153" s="83" t="str">
        <x:f>IF(P153&gt;=10000,"High",IF(P153&gt;=3000,"Medium","Low"))</x:f>
        <x:v>Low</x:v>
      </x:c>
    </x:row>
    <x:row r="154">
      <x:c r="A154" s="78" t="n">
        <x:v>150</x:v>
      </x:c>
      <x:c r="B154" s="79" t="n">
        <x:v>45739</x:v>
      </x:c>
      <x:c r="C154" s="80" t="str">
        <x:v>SecureGuard</x:v>
      </x:c>
      <x:c r="D154" s="80" t="str">
        <x:v>Facilities</x:v>
      </x:c>
      <x:c r="E154" s="80" t="str">
        <x:v>Indirect</x:v>
      </x:c>
      <x:c r="F154" s="80" t="str">
        <x:v>Dallas</x:v>
      </x:c>
      <x:c r="G154" s="80" t="str">
        <x:v>Manufacturing</x:v>
      </x:c>
      <x:c r="H154" s="81" t="n">
        <x:v>61960</x:v>
      </x:c>
      <x:c r="I154" s="80" t="str">
        <x:v>No</x:v>
      </x:c>
      <x:c r="J154" s="80" t="str">
        <x:v>No</x:v>
      </x:c>
      <x:c r="K154" s="80" t="str">
        <x:v>Yes</x:v>
      </x:c>
      <x:c r="L154" s="82" t="n">
        <x:v>0.1</x:v>
      </x:c>
      <x:c r="M154" s="80" t="str">
        <x:v>COO</x:v>
      </x:c>
      <x:c r="N154" s="80" t="str">
        <x:f>IF(OR(I154="No",J154="No"),"Yes","No")</x:f>
        <x:v>Yes</x:v>
      </x:c>
      <x:c r="O154" s="80" t="str">
        <x:f>IF(COUNTIFS($C:$C,C154)&lt;5,"Yes","No")</x:f>
        <x:v>Yes</x:v>
      </x:c>
      <x:c r="P154" s="81" t="n">
        <x:f>IF(K154="Yes",H154*L154,0)</x:f>
        <x:v>6196</x:v>
      </x:c>
      <x:c r="Q154" s="80" t="str">
        <x:f>IF(N154="Yes","Maverick / non-preferred",IF(O154="Yes","Tail consolidation",IF(K154="Yes","Category sourcing","Non-addressable")))</x:f>
        <x:v>Maverick / non-preferred</x:v>
      </x:c>
      <x:c r="R154" s="83" t="str">
        <x:f>IF(P154&gt;=10000,"High",IF(P154&gt;=3000,"Medium","Low"))</x:f>
        <x:v>Medium</x:v>
      </x:c>
    </x:row>
    <x:row r="155">
      <x:c r="A155" s="78" t="n">
        <x:v>151</x:v>
      </x:c>
      <x:c r="B155" s="79" t="n">
        <x:v>45669</x:v>
      </x:c>
      <x:c r="C155" s="80" t="str">
        <x:v>DataGrid</x:v>
      </x:c>
      <x:c r="D155" s="80" t="str">
        <x:v>IT Software</x:v>
      </x:c>
      <x:c r="E155" s="80" t="str">
        <x:v>Indirect</x:v>
      </x:c>
      <x:c r="F155" s="80" t="str">
        <x:v>Columbus</x:v>
      </x:c>
      <x:c r="G155" s="80" t="str">
        <x:v>Field Operations</x:v>
      </x:c>
      <x:c r="H155" s="81" t="n">
        <x:v>4780</x:v>
      </x:c>
      <x:c r="I155" s="80" t="str">
        <x:v>No</x:v>
      </x:c>
      <x:c r="J155" s="80" t="str">
        <x:v>No</x:v>
      </x:c>
      <x:c r="K155" s="80" t="str">
        <x:v>Yes</x:v>
      </x:c>
      <x:c r="L155" s="82" t="n">
        <x:v>0.12</x:v>
      </x:c>
      <x:c r="M155" s="80" t="str">
        <x:v>CIO</x:v>
      </x:c>
      <x:c r="N155" s="80" t="str">
        <x:f>IF(OR(I155="No",J155="No"),"Yes","No")</x:f>
        <x:v>Yes</x:v>
      </x:c>
      <x:c r="O155" s="80" t="str">
        <x:f>IF(COUNTIFS($C:$C,C155)&lt;5,"Yes","No")</x:f>
        <x:v>No</x:v>
      </x:c>
      <x:c r="P155" s="81" t="n">
        <x:f>IF(K155="Yes",H155*L155,0)</x:f>
        <x:v>573.6</x:v>
      </x:c>
      <x:c r="Q155" s="80" t="str">
        <x:f>IF(N155="Yes","Maverick / non-preferred",IF(O155="Yes","Tail consolidation",IF(K155="Yes","Category sourcing","Non-addressable")))</x:f>
        <x:v>Maverick / non-preferred</x:v>
      </x:c>
      <x:c r="R155" s="83" t="str">
        <x:f>IF(P155&gt;=10000,"High",IF(P155&gt;=3000,"Medium","Low"))</x:f>
        <x:v>Low</x:v>
      </x:c>
    </x:row>
    <x:row r="156">
      <x:c r="A156" s="78" t="n">
        <x:v>152</x:v>
      </x:c>
      <x:c r="B156" s="79" t="n">
        <x:v>45696</x:v>
      </x:c>
      <x:c r="C156" s="80" t="str">
        <x:v>SafeSite</x:v>
      </x:c>
      <x:c r="D156" s="80" t="str">
        <x:v>Facilities</x:v>
      </x:c>
      <x:c r="E156" s="80" t="str">
        <x:v>Indirect</x:v>
      </x:c>
      <x:c r="F156" s="80" t="str">
        <x:v>Phoenix</x:v>
      </x:c>
      <x:c r="G156" s="80" t="str">
        <x:v>Corporate</x:v>
      </x:c>
      <x:c r="H156" s="81" t="n">
        <x:v>620</x:v>
      </x:c>
      <x:c r="I156" s="80" t="str">
        <x:v>No</x:v>
      </x:c>
      <x:c r="J156" s="80" t="str">
        <x:v>No</x:v>
      </x:c>
      <x:c r="K156" s="80" t="str">
        <x:v>Yes</x:v>
      </x:c>
      <x:c r="L156" s="82" t="n">
        <x:v>0.1</x:v>
      </x:c>
      <x:c r="M156" s="80" t="str">
        <x:v>COO</x:v>
      </x:c>
      <x:c r="N156" s="80" t="str">
        <x:f>IF(OR(I156="No",J156="No"),"Yes","No")</x:f>
        <x:v>Yes</x:v>
      </x:c>
      <x:c r="O156" s="80" t="str">
        <x:f>IF(COUNTIFS($C:$C,C156)&lt;5,"Yes","No")</x:f>
        <x:v>No</x:v>
      </x:c>
      <x:c r="P156" s="81" t="n">
        <x:f>IF(K156="Yes",H156*L156,0)</x:f>
        <x:v>62</x:v>
      </x:c>
      <x:c r="Q156" s="80" t="str">
        <x:f>IF(N156="Yes","Maverick / non-preferred",IF(O156="Yes","Tail consolidation",IF(K156="Yes","Category sourcing","Non-addressable")))</x:f>
        <x:v>Maverick / non-preferred</x:v>
      </x:c>
      <x:c r="R156" s="83" t="str">
        <x:f>IF(P156&gt;=10000,"High",IF(P156&gt;=3000,"Medium","Low"))</x:f>
        <x:v>Low</x:v>
      </x:c>
    </x:row>
    <x:row r="157">
      <x:c r="A157" s="78" t="n">
        <x:v>153</x:v>
      </x:c>
      <x:c r="B157" s="79" t="n">
        <x:v>45943</x:v>
      </x:c>
      <x:c r="C157" s="80" t="str">
        <x:v>PaperTrail</x:v>
      </x:c>
      <x:c r="D157" s="80" t="str">
        <x:v>Office Supplies</x:v>
      </x:c>
      <x:c r="E157" s="80" t="str">
        <x:v>Indirect</x:v>
      </x:c>
      <x:c r="F157" s="80" t="str">
        <x:v>Dallas</x:v>
      </x:c>
      <x:c r="G157" s="80" t="str">
        <x:v>Manufacturing</x:v>
      </x:c>
      <x:c r="H157" s="81" t="n">
        <x:v>5660</x:v>
      </x:c>
      <x:c r="I157" s="80" t="str">
        <x:v>No</x:v>
      </x:c>
      <x:c r="J157" s="80" t="str">
        <x:v>No</x:v>
      </x:c>
      <x:c r="K157" s="80" t="str">
        <x:v>Yes</x:v>
      </x:c>
      <x:c r="L157" s="82" t="n">
        <x:v>0.18</x:v>
      </x:c>
      <x:c r="M157" s="80" t="str">
        <x:v>CFO</x:v>
      </x:c>
      <x:c r="N157" s="80" t="str">
        <x:f>IF(OR(I157="No",J157="No"),"Yes","No")</x:f>
        <x:v>Yes</x:v>
      </x:c>
      <x:c r="O157" s="80" t="str">
        <x:f>IF(COUNTIFS($C:$C,C157)&lt;5,"Yes","No")</x:f>
        <x:v>No</x:v>
      </x:c>
      <x:c r="P157" s="81" t="n">
        <x:f>IF(K157="Yes",H157*L157,0)</x:f>
        <x:v>1018.8</x:v>
      </x:c>
      <x:c r="Q157" s="80" t="str">
        <x:f>IF(N157="Yes","Maverick / non-preferred",IF(O157="Yes","Tail consolidation",IF(K157="Yes","Category sourcing","Non-addressable")))</x:f>
        <x:v>Maverick / non-preferred</x:v>
      </x:c>
      <x:c r="R157" s="83" t="str">
        <x:f>IF(P157&gt;=10000,"High",IF(P157&gt;=3000,"Medium","Low"))</x:f>
        <x:v>Low</x:v>
      </x:c>
    </x:row>
    <x:row r="158">
      <x:c r="A158" s="78" t="n">
        <x:v>154</x:v>
      </x:c>
      <x:c r="B158" s="79" t="n">
        <x:v>45894</x:v>
      </x:c>
      <x:c r="C158" s="80" t="str">
        <x:v>Workplace Mart</x:v>
      </x:c>
      <x:c r="D158" s="80" t="str">
        <x:v>Office Supplies</x:v>
      </x:c>
      <x:c r="E158" s="80" t="str">
        <x:v>Indirect</x:v>
      </x:c>
      <x:c r="F158" s="80" t="str">
        <x:v>Chicago</x:v>
      </x:c>
      <x:c r="G158" s="80" t="str">
        <x:v>Corporate</x:v>
      </x:c>
      <x:c r="H158" s="81" t="n">
        <x:v>7710</x:v>
      </x:c>
      <x:c r="I158" s="80" t="str">
        <x:v>No</x:v>
      </x:c>
      <x:c r="J158" s="80" t="str">
        <x:v>No</x:v>
      </x:c>
      <x:c r="K158" s="80" t="str">
        <x:v>Yes</x:v>
      </x:c>
      <x:c r="L158" s="82" t="n">
        <x:v>0.18</x:v>
      </x:c>
      <x:c r="M158" s="80" t="str">
        <x:v>CFO</x:v>
      </x:c>
      <x:c r="N158" s="80" t="str">
        <x:f>IF(OR(I158="No",J158="No"),"Yes","No")</x:f>
        <x:v>Yes</x:v>
      </x:c>
      <x:c r="O158" s="80" t="str">
        <x:f>IF(COUNTIFS($C:$C,C158)&lt;5,"Yes","No")</x:f>
        <x:v>No</x:v>
      </x:c>
      <x:c r="P158" s="81" t="n">
        <x:f>IF(K158="Yes",H158*L158,0)</x:f>
        <x:v>1387.8</x:v>
      </x:c>
      <x:c r="Q158" s="80" t="str">
        <x:f>IF(N158="Yes","Maverick / non-preferred",IF(O158="Yes","Tail consolidation",IF(K158="Yes","Category sourcing","Non-addressable")))</x:f>
        <x:v>Maverick / non-preferred</x:v>
      </x:c>
      <x:c r="R158" s="83" t="str">
        <x:f>IF(P158&gt;=10000,"High",IF(P158&gt;=3000,"Medium","Low"))</x:f>
        <x:v>Low</x:v>
      </x:c>
    </x:row>
    <x:row r="159">
      <x:c r="A159" s="78" t="n">
        <x:v>155</x:v>
      </x:c>
      <x:c r="B159" s="79" t="n">
        <x:v>45931</x:v>
      </x:c>
      <x:c r="C159" s="80" t="str">
        <x:v>AdvisoryCo</x:v>
      </x:c>
      <x:c r="D159" s="80" t="str">
        <x:v>Professional Services</x:v>
      </x:c>
      <x:c r="E159" s="80" t="str">
        <x:v>Indirect</x:v>
      </x:c>
      <x:c r="F159" s="80" t="str">
        <x:v>Phoenix</x:v>
      </x:c>
      <x:c r="G159" s="80" t="str">
        <x:v>Field Operations</x:v>
      </x:c>
      <x:c r="H159" s="81" t="n">
        <x:v>19210</x:v>
      </x:c>
      <x:c r="I159" s="80" t="str">
        <x:v>Yes</x:v>
      </x:c>
      <x:c r="J159" s="80" t="str">
        <x:v>Yes</x:v>
      </x:c>
      <x:c r="K159" s="80" t="str">
        <x:v>No</x:v>
      </x:c>
      <x:c r="L159" s="82" t="n">
        <x:v>0.09</x:v>
      </x:c>
      <x:c r="M159" s="80" t="str">
        <x:v>CFO</x:v>
      </x:c>
      <x:c r="N159" s="80" t="str">
        <x:f>IF(OR(I159="No",J159="No"),"Yes","No")</x:f>
        <x:v>No</x:v>
      </x:c>
      <x:c r="O159" s="80" t="str">
        <x:f>IF(COUNTIFS($C:$C,C159)&lt;5,"Yes","No")</x:f>
        <x:v>No</x:v>
      </x:c>
      <x:c r="P159" s="81" t="n">
        <x:f>IF(K159="Yes",H159*L159,0)</x:f>
        <x:v>0</x:v>
      </x:c>
      <x:c r="Q159" s="80" t="str">
        <x:f>IF(N159="Yes","Maverick / non-preferred",IF(O159="Yes","Tail consolidation",IF(K159="Yes","Category sourcing","Non-addressable")))</x:f>
        <x:v>Non-addressable</x:v>
      </x:c>
      <x:c r="R159" s="83" t="str">
        <x:f>IF(P159&gt;=10000,"High",IF(P159&gt;=3000,"Medium","Low"))</x:f>
        <x:v>Low</x:v>
      </x:c>
    </x:row>
    <x:row r="160">
      <x:c r="A160" s="78" t="n">
        <x:v>156</x:v>
      </x:c>
      <x:c r="B160" s="79" t="n">
        <x:v>45849</x:v>
      </x:c>
      <x:c r="C160" s="80" t="str">
        <x:v>LegalWorks</x:v>
      </x:c>
      <x:c r="D160" s="80" t="str">
        <x:v>Professional Services</x:v>
      </x:c>
      <x:c r="E160" s="80" t="str">
        <x:v>Indirect</x:v>
      </x:c>
      <x:c r="F160" s="80" t="str">
        <x:v>Columbus</x:v>
      </x:c>
      <x:c r="G160" s="80" t="str">
        <x:v>Field Operations</x:v>
      </x:c>
      <x:c r="H160" s="81" t="n">
        <x:v>42840</x:v>
      </x:c>
      <x:c r="I160" s="80" t="str">
        <x:v>No</x:v>
      </x:c>
      <x:c r="J160" s="80" t="str">
        <x:v>No</x:v>
      </x:c>
      <x:c r="K160" s="80" t="str">
        <x:v>No</x:v>
      </x:c>
      <x:c r="L160" s="82" t="n">
        <x:v>0.09</x:v>
      </x:c>
      <x:c r="M160" s="80" t="str">
        <x:v>CFO</x:v>
      </x:c>
      <x:c r="N160" s="80" t="str">
        <x:f>IF(OR(I160="No",J160="No"),"Yes","No")</x:f>
        <x:v>Yes</x:v>
      </x:c>
      <x:c r="O160" s="80" t="str">
        <x:f>IF(COUNTIFS($C:$C,C160)&lt;5,"Yes","No")</x:f>
        <x:v>No</x:v>
      </x:c>
      <x:c r="P160" s="81" t="n">
        <x:f>IF(K160="Yes",H160*L160,0)</x:f>
        <x:v>0</x:v>
      </x:c>
      <x:c r="Q160" s="80" t="str">
        <x:f>IF(N160="Yes","Maverick / non-preferred",IF(O160="Yes","Tail consolidation",IF(K160="Yes","Category sourcing","Non-addressable")))</x:f>
        <x:v>Maverick / non-preferred</x:v>
      </x:c>
      <x:c r="R160" s="83" t="str">
        <x:f>IF(P160&gt;=10000,"High",IF(P160&gt;=3000,"Medium","Low"))</x:f>
        <x:v>Low</x:v>
      </x:c>
    </x:row>
    <x:row r="161">
      <x:c r="A161" s="78" t="n">
        <x:v>157</x:v>
      </x:c>
      <x:c r="B161" s="79" t="n">
        <x:v>45904</x:v>
      </x:c>
      <x:c r="C161" s="80" t="str">
        <x:v>CoreMetals</x:v>
      </x:c>
      <x:c r="D161" s="80" t="str">
        <x:v>Raw Materials</x:v>
      </x:c>
      <x:c r="E161" s="80" t="str">
        <x:v>Direct</x:v>
      </x:c>
      <x:c r="F161" s="80" t="str">
        <x:v>Phoenix</x:v>
      </x:c>
      <x:c r="G161" s="80" t="str">
        <x:v>Field Operations</x:v>
      </x:c>
      <x:c r="H161" s="81" t="n">
        <x:v>32080</x:v>
      </x:c>
      <x:c r="I161" s="80" t="str">
        <x:v>Yes</x:v>
      </x:c>
      <x:c r="J161" s="80" t="str">
        <x:v>Yes</x:v>
      </x:c>
      <x:c r="K161" s="80" t="str">
        <x:v>Yes</x:v>
      </x:c>
      <x:c r="L161" s="82" t="n">
        <x:v>0.05</x:v>
      </x:c>
      <x:c r="M161" s="80" t="str">
        <x:v>COO</x:v>
      </x:c>
      <x:c r="N161" s="80" t="str">
        <x:f>IF(OR(I161="No",J161="No"),"Yes","No")</x:f>
        <x:v>No</x:v>
      </x:c>
      <x:c r="O161" s="80" t="str">
        <x:f>IF(COUNTIFS($C:$C,C161)&lt;5,"Yes","No")</x:f>
        <x:v>No</x:v>
      </x:c>
      <x:c r="P161" s="81" t="n">
        <x:f>IF(K161="Yes",H161*L161,0)</x:f>
        <x:v>1604</x:v>
      </x:c>
      <x:c r="Q161" s="80" t="str">
        <x:f>IF(N161="Yes","Maverick / non-preferred",IF(O161="Yes","Tail consolidation",IF(K161="Yes","Category sourcing","Non-addressable")))</x:f>
        <x:v>Category sourcing</x:v>
      </x:c>
      <x:c r="R161" s="83" t="str">
        <x:f>IF(P161&gt;=10000,"High",IF(P161&gt;=3000,"Medium","Low"))</x:f>
        <x:v>Low</x:v>
      </x:c>
    </x:row>
    <x:row r="162">
      <x:c r="A162" s="78" t="n">
        <x:v>158</x:v>
      </x:c>
      <x:c r="B162" s="79" t="n">
        <x:v>46018</x:v>
      </x:c>
      <x:c r="C162" s="80" t="str">
        <x:v>WorkforceOne</x:v>
      </x:c>
      <x:c r="D162" s="80" t="str">
        <x:v>Temp Labor</x:v>
      </x:c>
      <x:c r="E162" s="80" t="str">
        <x:v>Indirect</x:v>
      </x:c>
      <x:c r="F162" s="80" t="str">
        <x:v>Dallas</x:v>
      </x:c>
      <x:c r="G162" s="80" t="str">
        <x:v>Corporate</x:v>
      </x:c>
      <x:c r="H162" s="81" t="n">
        <x:v>12650</x:v>
      </x:c>
      <x:c r="I162" s="80" t="str">
        <x:v>Yes</x:v>
      </x:c>
      <x:c r="J162" s="80" t="str">
        <x:v>No</x:v>
      </x:c>
      <x:c r="K162" s="80" t="str">
        <x:v>No</x:v>
      </x:c>
      <x:c r="L162" s="82" t="n">
        <x:v>0.07</x:v>
      </x:c>
      <x:c r="M162" s="80" t="str">
        <x:v>CHRO</x:v>
      </x:c>
      <x:c r="N162" s="80" t="str">
        <x:f>IF(OR(I162="No",J162="No"),"Yes","No")</x:f>
        <x:v>Yes</x:v>
      </x:c>
      <x:c r="O162" s="80" t="str">
        <x:f>IF(COUNTIFS($C:$C,C162)&lt;5,"Yes","No")</x:f>
        <x:v>No</x:v>
      </x:c>
      <x:c r="P162" s="81" t="n">
        <x:f>IF(K162="Yes",H162*L162,0)</x:f>
        <x:v>0</x:v>
      </x:c>
      <x:c r="Q162" s="80" t="str">
        <x:f>IF(N162="Yes","Maverick / non-preferred",IF(O162="Yes","Tail consolidation",IF(K162="Yes","Category sourcing","Non-addressable")))</x:f>
        <x:v>Maverick / non-preferred</x:v>
      </x:c>
      <x:c r="R162" s="83" t="str">
        <x:f>IF(P162&gt;=10000,"High",IF(P162&gt;=3000,"Medium","Low"))</x:f>
        <x:v>Low</x:v>
      </x:c>
    </x:row>
    <x:row r="163">
      <x:c r="A163" s="78" t="n">
        <x:v>159</x:v>
      </x:c>
      <x:c r="B163" s="79" t="n">
        <x:v>45845</x:v>
      </x:c>
      <x:c r="C163" s="80" t="str">
        <x:v>United Materials</x:v>
      </x:c>
      <x:c r="D163" s="80" t="str">
        <x:v>Raw Materials</x:v>
      </x:c>
      <x:c r="E163" s="80" t="str">
        <x:v>Direct</x:v>
      </x:c>
      <x:c r="F163" s="80" t="str">
        <x:v>Chicago</x:v>
      </x:c>
      <x:c r="G163" s="80" t="str">
        <x:v>Field Operations</x:v>
      </x:c>
      <x:c r="H163" s="81" t="n">
        <x:v>83010</x:v>
      </x:c>
      <x:c r="I163" s="80" t="str">
        <x:v>No</x:v>
      </x:c>
      <x:c r="J163" s="80" t="str">
        <x:v>No</x:v>
      </x:c>
      <x:c r="K163" s="80" t="str">
        <x:v>No</x:v>
      </x:c>
      <x:c r="L163" s="82" t="n">
        <x:v>0.05</x:v>
      </x:c>
      <x:c r="M163" s="80" t="str">
        <x:v>COO</x:v>
      </x:c>
      <x:c r="N163" s="80" t="str">
        <x:f>IF(OR(I163="No",J163="No"),"Yes","No")</x:f>
        <x:v>Yes</x:v>
      </x:c>
      <x:c r="O163" s="80" t="str">
        <x:f>IF(COUNTIFS($C:$C,C163)&lt;5,"Yes","No")</x:f>
        <x:v>Yes</x:v>
      </x:c>
      <x:c r="P163" s="81" t="n">
        <x:f>IF(K163="Yes",H163*L163,0)</x:f>
        <x:v>0</x:v>
      </x:c>
      <x:c r="Q163" s="80" t="str">
        <x:f>IF(N163="Yes","Maverick / non-preferred",IF(O163="Yes","Tail consolidation",IF(K163="Yes","Category sourcing","Non-addressable")))</x:f>
        <x:v>Maverick / non-preferred</x:v>
      </x:c>
      <x:c r="R163" s="83" t="str">
        <x:f>IF(P163&gt;=10000,"High",IF(P163&gt;=3000,"Medium","Low"))</x:f>
        <x:v>Low</x:v>
      </x:c>
    </x:row>
    <x:row r="164">
      <x:c r="A164" s="78" t="n">
        <x:v>160</x:v>
      </x:c>
      <x:c r="B164" s="79" t="n">
        <x:v>45658</x:v>
      </x:c>
      <x:c r="C164" s="80" t="str">
        <x:v>Industrial Supply</x:v>
      </x:c>
      <x:c r="D164" s="80" t="str">
        <x:v>MRO</x:v>
      </x:c>
      <x:c r="E164" s="80" t="str">
        <x:v>Direct</x:v>
      </x:c>
      <x:c r="F164" s="80" t="str">
        <x:v>Atlanta</x:v>
      </x:c>
      <x:c r="G164" s="80" t="str">
        <x:v>Corporate</x:v>
      </x:c>
      <x:c r="H164" s="81" t="n">
        <x:v>12420</x:v>
      </x:c>
      <x:c r="I164" s="80" t="str">
        <x:v>Yes</x:v>
      </x:c>
      <x:c r="J164" s="80" t="str">
        <x:v>Yes</x:v>
      </x:c>
      <x:c r="K164" s="80" t="str">
        <x:v>No</x:v>
      </x:c>
      <x:c r="L164" s="82" t="n">
        <x:v>0.06</x:v>
      </x:c>
      <x:c r="M164" s="80" t="str">
        <x:v>COO</x:v>
      </x:c>
      <x:c r="N164" s="80" t="str">
        <x:f>IF(OR(I164="No",J164="No"),"Yes","No")</x:f>
        <x:v>No</x:v>
      </x:c>
      <x:c r="O164" s="80" t="str">
        <x:f>IF(COUNTIFS($C:$C,C164)&lt;5,"Yes","No")</x:f>
        <x:v>No</x:v>
      </x:c>
      <x:c r="P164" s="81" t="n">
        <x:f>IF(K164="Yes",H164*L164,0)</x:f>
        <x:v>0</x:v>
      </x:c>
      <x:c r="Q164" s="80" t="str">
        <x:f>IF(N164="Yes","Maverick / non-preferred",IF(O164="Yes","Tail consolidation",IF(K164="Yes","Category sourcing","Non-addressable")))</x:f>
        <x:v>Non-addressable</x:v>
      </x:c>
      <x:c r="R164" s="83" t="str">
        <x:f>IF(P164&gt;=10000,"High",IF(P164&gt;=3000,"Medium","Low"))</x:f>
        <x:v>Low</x:v>
      </x:c>
    </x:row>
    <x:row r="165">
      <x:c r="A165" s="78" t="n">
        <x:v>161</x:v>
      </x:c>
      <x:c r="B165" s="79" t="n">
        <x:v>45879</x:v>
      </x:c>
      <x:c r="C165" s="80" t="str">
        <x:v>FacilityOne</x:v>
      </x:c>
      <x:c r="D165" s="80" t="str">
        <x:v>Facilities</x:v>
      </x:c>
      <x:c r="E165" s="80" t="str">
        <x:v>Indirect</x:v>
      </x:c>
      <x:c r="F165" s="80" t="str">
        <x:v>Dallas</x:v>
      </x:c>
      <x:c r="G165" s="80" t="str">
        <x:v>Field Operations</x:v>
      </x:c>
      <x:c r="H165" s="81" t="n">
        <x:v>5090</x:v>
      </x:c>
      <x:c r="I165" s="80" t="str">
        <x:v>Yes</x:v>
      </x:c>
      <x:c r="J165" s="80" t="str">
        <x:v>Yes</x:v>
      </x:c>
      <x:c r="K165" s="80" t="str">
        <x:v>Yes</x:v>
      </x:c>
      <x:c r="L165" s="82" t="n">
        <x:v>0.1</x:v>
      </x:c>
      <x:c r="M165" s="80" t="str">
        <x:v>COO</x:v>
      </x:c>
      <x:c r="N165" s="80" t="str">
        <x:f>IF(OR(I165="No",J165="No"),"Yes","No")</x:f>
        <x:v>No</x:v>
      </x:c>
      <x:c r="O165" s="80" t="str">
        <x:f>IF(COUNTIFS($C:$C,C165)&lt;5,"Yes","No")</x:f>
        <x:v>No</x:v>
      </x:c>
      <x:c r="P165" s="81" t="n">
        <x:f>IF(K165="Yes",H165*L165,0)</x:f>
        <x:v>509</x:v>
      </x:c>
      <x:c r="Q165" s="80" t="str">
        <x:f>IF(N165="Yes","Maverick / non-preferred",IF(O165="Yes","Tail consolidation",IF(K165="Yes","Category sourcing","Non-addressable")))</x:f>
        <x:v>Category sourcing</x:v>
      </x:c>
      <x:c r="R165" s="83" t="str">
        <x:f>IF(P165&gt;=10000,"High",IF(P165&gt;=3000,"Medium","Low"))</x:f>
        <x:v>Low</x:v>
      </x:c>
    </x:row>
    <x:row r="166">
      <x:c r="A166" s="78" t="n">
        <x:v>162</x:v>
      </x:c>
      <x:c r="B166" s="79" t="n">
        <x:v>45685</x:v>
      </x:c>
      <x:c r="C166" s="80" t="str">
        <x:v>LegalWorks</x:v>
      </x:c>
      <x:c r="D166" s="80" t="str">
        <x:v>Professional Services</x:v>
      </x:c>
      <x:c r="E166" s="80" t="str">
        <x:v>Indirect</x:v>
      </x:c>
      <x:c r="F166" s="80" t="str">
        <x:v>Columbus</x:v>
      </x:c>
      <x:c r="G166" s="80" t="str">
        <x:v>Field Operations</x:v>
      </x:c>
      <x:c r="H166" s="81" t="n">
        <x:v>12710</x:v>
      </x:c>
      <x:c r="I166" s="80" t="str">
        <x:v>No</x:v>
      </x:c>
      <x:c r="J166" s="80" t="str">
        <x:v>No</x:v>
      </x:c>
      <x:c r="K166" s="80" t="str">
        <x:v>No</x:v>
      </x:c>
      <x:c r="L166" s="82" t="n">
        <x:v>0.09</x:v>
      </x:c>
      <x:c r="M166" s="80" t="str">
        <x:v>CFO</x:v>
      </x:c>
      <x:c r="N166" s="80" t="str">
        <x:f>IF(OR(I166="No",J166="No"),"Yes","No")</x:f>
        <x:v>Yes</x:v>
      </x:c>
      <x:c r="O166" s="80" t="str">
        <x:f>IF(COUNTIFS($C:$C,C166)&lt;5,"Yes","No")</x:f>
        <x:v>No</x:v>
      </x:c>
      <x:c r="P166" s="81" t="n">
        <x:f>IF(K166="Yes",H166*L166,0)</x:f>
        <x:v>0</x:v>
      </x:c>
      <x:c r="Q166" s="80" t="str">
        <x:f>IF(N166="Yes","Maverick / non-preferred",IF(O166="Yes","Tail consolidation",IF(K166="Yes","Category sourcing","Non-addressable")))</x:f>
        <x:v>Maverick / non-preferred</x:v>
      </x:c>
      <x:c r="R166" s="83" t="str">
        <x:f>IF(P166&gt;=10000,"High",IF(P166&gt;=3000,"Medium","Low"))</x:f>
        <x:v>Low</x:v>
      </x:c>
    </x:row>
    <x:row r="167">
      <x:c r="A167" s="78" t="n">
        <x:v>163</x:v>
      </x:c>
      <x:c r="B167" s="79" t="n">
        <x:v>45812</x:v>
      </x:c>
      <x:c r="C167" s="80" t="str">
        <x:v>FacilityOne</x:v>
      </x:c>
      <x:c r="D167" s="80" t="str">
        <x:v>Facilities</x:v>
      </x:c>
      <x:c r="E167" s="80" t="str">
        <x:v>Indirect</x:v>
      </x:c>
      <x:c r="F167" s="80" t="str">
        <x:v>Phoenix</x:v>
      </x:c>
      <x:c r="G167" s="80" t="str">
        <x:v>Corporate</x:v>
      </x:c>
      <x:c r="H167" s="81" t="n">
        <x:v>21220</x:v>
      </x:c>
      <x:c r="I167" s="80" t="str">
        <x:v>Yes</x:v>
      </x:c>
      <x:c r="J167" s="80" t="str">
        <x:v>Yes</x:v>
      </x:c>
      <x:c r="K167" s="80" t="str">
        <x:v>Yes</x:v>
      </x:c>
      <x:c r="L167" s="82" t="n">
        <x:v>0.1</x:v>
      </x:c>
      <x:c r="M167" s="80" t="str">
        <x:v>COO</x:v>
      </x:c>
      <x:c r="N167" s="80" t="str">
        <x:f>IF(OR(I167="No",J167="No"),"Yes","No")</x:f>
        <x:v>No</x:v>
      </x:c>
      <x:c r="O167" s="80" t="str">
        <x:f>IF(COUNTIFS($C:$C,C167)&lt;5,"Yes","No")</x:f>
        <x:v>No</x:v>
      </x:c>
      <x:c r="P167" s="81" t="n">
        <x:f>IF(K167="Yes",H167*L167,0)</x:f>
        <x:v>2122</x:v>
      </x:c>
      <x:c r="Q167" s="80" t="str">
        <x:f>IF(N167="Yes","Maverick / non-preferred",IF(O167="Yes","Tail consolidation",IF(K167="Yes","Category sourcing","Non-addressable")))</x:f>
        <x:v>Category sourcing</x:v>
      </x:c>
      <x:c r="R167" s="83" t="str">
        <x:f>IF(P167&gt;=10000,"High",IF(P167&gt;=3000,"Medium","Low"))</x:f>
        <x:v>Low</x:v>
      </x:c>
    </x:row>
    <x:row r="168">
      <x:c r="A168" s="78" t="n">
        <x:v>164</x:v>
      </x:c>
      <x:c r="B168" s="79" t="n">
        <x:v>45747</x:v>
      </x:c>
      <x:c r="C168" s="80" t="str">
        <x:v>RoadPro Logistics</x:v>
      </x:c>
      <x:c r="D168" s="80" t="str">
        <x:v>Freight &amp; Logistics</x:v>
      </x:c>
      <x:c r="E168" s="80" t="str">
        <x:v>Direct</x:v>
      </x:c>
      <x:c r="F168" s="80" t="str">
        <x:v>Phoenix</x:v>
      </x:c>
      <x:c r="G168" s="80" t="str">
        <x:v>Distribution</x:v>
      </x:c>
      <x:c r="H168" s="81" t="n">
        <x:v>27600</x:v>
      </x:c>
      <x:c r="I168" s="80" t="str">
        <x:v>No</x:v>
      </x:c>
      <x:c r="J168" s="80" t="str">
        <x:v>No</x:v>
      </x:c>
      <x:c r="K168" s="80" t="str">
        <x:v>Yes</x:v>
      </x:c>
      <x:c r="L168" s="82" t="n">
        <x:v>0.08</x:v>
      </x:c>
      <x:c r="M168" s="80" t="str">
        <x:v>COO</x:v>
      </x:c>
      <x:c r="N168" s="80" t="str">
        <x:f>IF(OR(I168="No",J168="No"),"Yes","No")</x:f>
        <x:v>Yes</x:v>
      </x:c>
      <x:c r="O168" s="80" t="str">
        <x:f>IF(COUNTIFS($C:$C,C168)&lt;5,"Yes","No")</x:f>
        <x:v>No</x:v>
      </x:c>
      <x:c r="P168" s="81" t="n">
        <x:f>IF(K168="Yes",H168*L168,0)</x:f>
        <x:v>2208</x:v>
      </x:c>
      <x:c r="Q168" s="80" t="str">
        <x:f>IF(N168="Yes","Maverick / non-preferred",IF(O168="Yes","Tail consolidation",IF(K168="Yes","Category sourcing","Non-addressable")))</x:f>
        <x:v>Maverick / non-preferred</x:v>
      </x:c>
      <x:c r="R168" s="83" t="str">
        <x:f>IF(P168&gt;=10000,"High",IF(P168&gt;=3000,"Medium","Low"))</x:f>
        <x:v>Low</x:v>
      </x:c>
    </x:row>
    <x:row r="169">
      <x:c r="A169" s="78" t="n">
        <x:v>165</x:v>
      </x:c>
      <x:c r="B169" s="79" t="n">
        <x:v>45803</x:v>
      </x:c>
      <x:c r="C169" s="80" t="str">
        <x:v>Summit Polymers</x:v>
      </x:c>
      <x:c r="D169" s="80" t="str">
        <x:v>Raw Materials</x:v>
      </x:c>
      <x:c r="E169" s="80" t="str">
        <x:v>Direct</x:v>
      </x:c>
      <x:c r="F169" s="80" t="str">
        <x:v>Phoenix</x:v>
      </x:c>
      <x:c r="G169" s="80" t="str">
        <x:v>Distribution</x:v>
      </x:c>
      <x:c r="H169" s="81" t="n">
        <x:v>30810</x:v>
      </x:c>
      <x:c r="I169" s="80" t="str">
        <x:v>Yes</x:v>
      </x:c>
      <x:c r="J169" s="80" t="str">
        <x:v>Yes</x:v>
      </x:c>
      <x:c r="K169" s="80" t="str">
        <x:v>Yes</x:v>
      </x:c>
      <x:c r="L169" s="82" t="n">
        <x:v>0.05</x:v>
      </x:c>
      <x:c r="M169" s="80" t="str">
        <x:v>COO</x:v>
      </x:c>
      <x:c r="N169" s="80" t="str">
        <x:f>IF(OR(I169="No",J169="No"),"Yes","No")</x:f>
        <x:v>No</x:v>
      </x:c>
      <x:c r="O169" s="80" t="str">
        <x:f>IF(COUNTIFS($C:$C,C169)&lt;5,"Yes","No")</x:f>
        <x:v>No</x:v>
      </x:c>
      <x:c r="P169" s="81" t="n">
        <x:f>IF(K169="Yes",H169*L169,0)</x:f>
        <x:v>1540.5</x:v>
      </x:c>
      <x:c r="Q169" s="80" t="str">
        <x:f>IF(N169="Yes","Maverick / non-preferred",IF(O169="Yes","Tail consolidation",IF(K169="Yes","Category sourcing","Non-addressable")))</x:f>
        <x:v>Category sourcing</x:v>
      </x:c>
      <x:c r="R169" s="83" t="str">
        <x:f>IF(P169&gt;=10000,"High",IF(P169&gt;=3000,"Medium","Low"))</x:f>
        <x:v>Low</x:v>
      </x:c>
    </x:row>
    <x:row r="170">
      <x:c r="A170" s="78" t="n">
        <x:v>166</x:v>
      </x:c>
      <x:c r="B170" s="79" t="n">
        <x:v>45810</x:v>
      </x:c>
      <x:c r="C170" s="80" t="str">
        <x:v>PaperTrail</x:v>
      </x:c>
      <x:c r="D170" s="80" t="str">
        <x:v>Office Supplies</x:v>
      </x:c>
      <x:c r="E170" s="80" t="str">
        <x:v>Indirect</x:v>
      </x:c>
      <x:c r="F170" s="80" t="str">
        <x:v>Phoenix</x:v>
      </x:c>
      <x:c r="G170" s="80" t="str">
        <x:v>Manufacturing</x:v>
      </x:c>
      <x:c r="H170" s="81" t="n">
        <x:v>7450</x:v>
      </x:c>
      <x:c r="I170" s="80" t="str">
        <x:v>No</x:v>
      </x:c>
      <x:c r="J170" s="80" t="str">
        <x:v>No</x:v>
      </x:c>
      <x:c r="K170" s="80" t="str">
        <x:v>Yes</x:v>
      </x:c>
      <x:c r="L170" s="82" t="n">
        <x:v>0.18</x:v>
      </x:c>
      <x:c r="M170" s="80" t="str">
        <x:v>CFO</x:v>
      </x:c>
      <x:c r="N170" s="80" t="str">
        <x:f>IF(OR(I170="No",J170="No"),"Yes","No")</x:f>
        <x:v>Yes</x:v>
      </x:c>
      <x:c r="O170" s="80" t="str">
        <x:f>IF(COUNTIFS($C:$C,C170)&lt;5,"Yes","No")</x:f>
        <x:v>No</x:v>
      </x:c>
      <x:c r="P170" s="81" t="n">
        <x:f>IF(K170="Yes",H170*L170,0)</x:f>
        <x:v>1341</x:v>
      </x:c>
      <x:c r="Q170" s="80" t="str">
        <x:f>IF(N170="Yes","Maverick / non-preferred",IF(O170="Yes","Tail consolidation",IF(K170="Yes","Category sourcing","Non-addressable")))</x:f>
        <x:v>Maverick / non-preferred</x:v>
      </x:c>
      <x:c r="R170" s="83" t="str">
        <x:f>IF(P170&gt;=10000,"High",IF(P170&gt;=3000,"Medium","Low"))</x:f>
        <x:v>Low</x:v>
      </x:c>
    </x:row>
    <x:row r="171">
      <x:c r="A171" s="78" t="n">
        <x:v>167</x:v>
      </x:c>
      <x:c r="B171" s="79" t="n">
        <x:v>45945</x:v>
      </x:c>
      <x:c r="C171" s="80" t="str">
        <x:v>VoiceNet</x:v>
      </x:c>
      <x:c r="D171" s="80" t="str">
        <x:v>Telecom</x:v>
      </x:c>
      <x:c r="E171" s="80" t="str">
        <x:v>Indirect</x:v>
      </x:c>
      <x:c r="F171" s="80" t="str">
        <x:v>Phoenix</x:v>
      </x:c>
      <x:c r="G171" s="80" t="str">
        <x:v>Field Operations</x:v>
      </x:c>
      <x:c r="H171" s="81" t="n">
        <x:v>11570</x:v>
      </x:c>
      <x:c r="I171" s="80" t="str">
        <x:v>No</x:v>
      </x:c>
      <x:c r="J171" s="80" t="str">
        <x:v>No</x:v>
      </x:c>
      <x:c r="K171" s="80" t="str">
        <x:v>Yes</x:v>
      </x:c>
      <x:c r="L171" s="82" t="n">
        <x:v>0.15</x:v>
      </x:c>
      <x:c r="M171" s="80" t="str">
        <x:v>CIO</x:v>
      </x:c>
      <x:c r="N171" s="80" t="str">
        <x:f>IF(OR(I171="No",J171="No"),"Yes","No")</x:f>
        <x:v>Yes</x:v>
      </x:c>
      <x:c r="O171" s="80" t="str">
        <x:f>IF(COUNTIFS($C:$C,C171)&lt;5,"Yes","No")</x:f>
        <x:v>Yes</x:v>
      </x:c>
      <x:c r="P171" s="81" t="n">
        <x:f>IF(K171="Yes",H171*L171,0)</x:f>
        <x:v>1735.5</x:v>
      </x:c>
      <x:c r="Q171" s="80" t="str">
        <x:f>IF(N171="Yes","Maverick / non-preferred",IF(O171="Yes","Tail consolidation",IF(K171="Yes","Category sourcing","Non-addressable")))</x:f>
        <x:v>Maverick / non-preferred</x:v>
      </x:c>
      <x:c r="R171" s="83" t="str">
        <x:f>IF(P171&gt;=10000,"High",IF(P171&gt;=3000,"Medium","Low"))</x:f>
        <x:v>Low</x:v>
      </x:c>
    </x:row>
    <x:row r="172">
      <x:c r="A172" s="78" t="n">
        <x:v>168</x:v>
      </x:c>
      <x:c r="B172" s="79" t="n">
        <x:v>46002</x:v>
      </x:c>
      <x:c r="C172" s="80" t="str">
        <x:v>ShipMax</x:v>
      </x:c>
      <x:c r="D172" s="80" t="str">
        <x:v>Freight &amp; Logistics</x:v>
      </x:c>
      <x:c r="E172" s="80" t="str">
        <x:v>Direct</x:v>
      </x:c>
      <x:c r="F172" s="80" t="str">
        <x:v>Chicago</x:v>
      </x:c>
      <x:c r="G172" s="80" t="str">
        <x:v>Manufacturing</x:v>
      </x:c>
      <x:c r="H172" s="81" t="n">
        <x:v>51750</x:v>
      </x:c>
      <x:c r="I172" s="80" t="str">
        <x:v>Yes</x:v>
      </x:c>
      <x:c r="J172" s="80" t="str">
        <x:v>Yes</x:v>
      </x:c>
      <x:c r="K172" s="80" t="str">
        <x:v>Yes</x:v>
      </x:c>
      <x:c r="L172" s="82" t="n">
        <x:v>0.08</x:v>
      </x:c>
      <x:c r="M172" s="80" t="str">
        <x:v>COO</x:v>
      </x:c>
      <x:c r="N172" s="80" t="str">
        <x:f>IF(OR(I172="No",J172="No"),"Yes","No")</x:f>
        <x:v>No</x:v>
      </x:c>
      <x:c r="O172" s="80" t="str">
        <x:f>IF(COUNTIFS($C:$C,C172)&lt;5,"Yes","No")</x:f>
        <x:v>No</x:v>
      </x:c>
      <x:c r="P172" s="81" t="n">
        <x:f>IF(K172="Yes",H172*L172,0)</x:f>
        <x:v>4140</x:v>
      </x:c>
      <x:c r="Q172" s="80" t="str">
        <x:f>IF(N172="Yes","Maverick / non-preferred",IF(O172="Yes","Tail consolidation",IF(K172="Yes","Category sourcing","Non-addressable")))</x:f>
        <x:v>Category sourcing</x:v>
      </x:c>
      <x:c r="R172" s="83" t="str">
        <x:f>IF(P172&gt;=10000,"High",IF(P172&gt;=3000,"Medium","Low"))</x:f>
        <x:v>Medium</x:v>
      </x:c>
    </x:row>
    <x:row r="173">
      <x:c r="A173" s="78" t="n">
        <x:v>169</x:v>
      </x:c>
      <x:c r="B173" s="79" t="n">
        <x:v>45924</x:v>
      </x:c>
      <x:c r="C173" s="80" t="str">
        <x:v>BoxWorks</x:v>
      </x:c>
      <x:c r="D173" s="80" t="str">
        <x:v>Packaging</x:v>
      </x:c>
      <x:c r="E173" s="80" t="str">
        <x:v>Direct</x:v>
      </x:c>
      <x:c r="F173" s="80" t="str">
        <x:v>Atlanta</x:v>
      </x:c>
      <x:c r="G173" s="80" t="str">
        <x:v>Distribution</x:v>
      </x:c>
      <x:c r="H173" s="81" t="n">
        <x:v>12230</x:v>
      </x:c>
      <x:c r="I173" s="80" t="str">
        <x:v>Yes</x:v>
      </x:c>
      <x:c r="J173" s="80" t="str">
        <x:v>Yes</x:v>
      </x:c>
      <x:c r="K173" s="80" t="str">
        <x:v>Yes</x:v>
      </x:c>
      <x:c r="L173" s="82" t="n">
        <x:v>0.06</x:v>
      </x:c>
      <x:c r="M173" s="80" t="str">
        <x:v>COO</x:v>
      </x:c>
      <x:c r="N173" s="80" t="str">
        <x:f>IF(OR(I173="No",J173="No"),"Yes","No")</x:f>
        <x:v>No</x:v>
      </x:c>
      <x:c r="O173" s="80" t="str">
        <x:f>IF(COUNTIFS($C:$C,C173)&lt;5,"Yes","No")</x:f>
        <x:v>No</x:v>
      </x:c>
      <x:c r="P173" s="81" t="n">
        <x:f>IF(K173="Yes",H173*L173,0)</x:f>
        <x:v>733.8</x:v>
      </x:c>
      <x:c r="Q173" s="80" t="str">
        <x:f>IF(N173="Yes","Maverick / non-preferred",IF(O173="Yes","Tail consolidation",IF(K173="Yes","Category sourcing","Non-addressable")))</x:f>
        <x:v>Category sourcing</x:v>
      </x:c>
      <x:c r="R173" s="83" t="str">
        <x:f>IF(P173&gt;=10000,"High",IF(P173&gt;=3000,"Medium","Low"))</x:f>
        <x:v>Low</x:v>
      </x:c>
    </x:row>
    <x:row r="174">
      <x:c r="A174" s="78" t="n">
        <x:v>170</x:v>
      </x:c>
      <x:c r="B174" s="79" t="n">
        <x:v>45669</x:v>
      </x:c>
      <x:c r="C174" s="80" t="str">
        <x:v>CoreMetals</x:v>
      </x:c>
      <x:c r="D174" s="80" t="str">
        <x:v>Raw Materials</x:v>
      </x:c>
      <x:c r="E174" s="80" t="str">
        <x:v>Direct</x:v>
      </x:c>
      <x:c r="F174" s="80" t="str">
        <x:v>Phoenix</x:v>
      </x:c>
      <x:c r="G174" s="80" t="str">
        <x:v>Field Operations</x:v>
      </x:c>
      <x:c r="H174" s="81" t="n">
        <x:v>14420</x:v>
      </x:c>
      <x:c r="I174" s="80" t="str">
        <x:v>Yes</x:v>
      </x:c>
      <x:c r="J174" s="80" t="str">
        <x:v>Yes</x:v>
      </x:c>
      <x:c r="K174" s="80" t="str">
        <x:v>No</x:v>
      </x:c>
      <x:c r="L174" s="82" t="n">
        <x:v>0.05</x:v>
      </x:c>
      <x:c r="M174" s="80" t="str">
        <x:v>COO</x:v>
      </x:c>
      <x:c r="N174" s="80" t="str">
        <x:f>IF(OR(I174="No",J174="No"),"Yes","No")</x:f>
        <x:v>No</x:v>
      </x:c>
      <x:c r="O174" s="80" t="str">
        <x:f>IF(COUNTIFS($C:$C,C174)&lt;5,"Yes","No")</x:f>
        <x:v>No</x:v>
      </x:c>
      <x:c r="P174" s="81" t="n">
        <x:f>IF(K174="Yes",H174*L174,0)</x:f>
        <x:v>0</x:v>
      </x:c>
      <x:c r="Q174" s="80" t="str">
        <x:f>IF(N174="Yes","Maverick / non-preferred",IF(O174="Yes","Tail consolidation",IF(K174="Yes","Category sourcing","Non-addressable")))</x:f>
        <x:v>Non-addressable</x:v>
      </x:c>
      <x:c r="R174" s="83" t="str">
        <x:f>IF(P174&gt;=10000,"High",IF(P174&gt;=3000,"Medium","Low"))</x:f>
        <x:v>Low</x:v>
      </x:c>
    </x:row>
    <x:row r="175">
      <x:c r="A175" s="78" t="n">
        <x:v>171</x:v>
      </x:c>
      <x:c r="B175" s="79" t="n">
        <x:v>45772</x:v>
      </x:c>
      <x:c r="C175" s="80" t="str">
        <x:v>RoadPro Logistics</x:v>
      </x:c>
      <x:c r="D175" s="80" t="str">
        <x:v>Freight &amp; Logistics</x:v>
      </x:c>
      <x:c r="E175" s="80" t="str">
        <x:v>Direct</x:v>
      </x:c>
      <x:c r="F175" s="80" t="str">
        <x:v>Atlanta</x:v>
      </x:c>
      <x:c r="G175" s="80" t="str">
        <x:v>Manufacturing</x:v>
      </x:c>
      <x:c r="H175" s="81" t="n">
        <x:v>137550</x:v>
      </x:c>
      <x:c r="I175" s="80" t="str">
        <x:v>Yes</x:v>
      </x:c>
      <x:c r="J175" s="80" t="str">
        <x:v>No</x:v>
      </x:c>
      <x:c r="K175" s="80" t="str">
        <x:v>Yes</x:v>
      </x:c>
      <x:c r="L175" s="82" t="n">
        <x:v>0.08</x:v>
      </x:c>
      <x:c r="M175" s="80" t="str">
        <x:v>COO</x:v>
      </x:c>
      <x:c r="N175" s="80" t="str">
        <x:f>IF(OR(I175="No",J175="No"),"Yes","No")</x:f>
        <x:v>Yes</x:v>
      </x:c>
      <x:c r="O175" s="80" t="str">
        <x:f>IF(COUNTIFS($C:$C,C175)&lt;5,"Yes","No")</x:f>
        <x:v>No</x:v>
      </x:c>
      <x:c r="P175" s="81" t="n">
        <x:f>IF(K175="Yes",H175*L175,0)</x:f>
        <x:v>11004</x:v>
      </x:c>
      <x:c r="Q175" s="80" t="str">
        <x:f>IF(N175="Yes","Maverick / non-preferred",IF(O175="Yes","Tail consolidation",IF(K175="Yes","Category sourcing","Non-addressable")))</x:f>
        <x:v>Maverick / non-preferred</x:v>
      </x:c>
      <x:c r="R175" s="83" t="str">
        <x:f>IF(P175&gt;=10000,"High",IF(P175&gt;=3000,"Medium","Low"))</x:f>
        <x:v>High</x:v>
      </x:c>
    </x:row>
    <x:row r="176">
      <x:c r="A176" s="78" t="n">
        <x:v>172</x:v>
      </x:c>
      <x:c r="B176" s="79" t="n">
        <x:v>45753</x:v>
      </x:c>
      <x:c r="C176" s="80" t="str">
        <x:v>ToolWorks</x:v>
      </x:c>
      <x:c r="D176" s="80" t="str">
        <x:v>MRO</x:v>
      </x:c>
      <x:c r="E176" s="80" t="str">
        <x:v>Direct</x:v>
      </x:c>
      <x:c r="F176" s="80" t="str">
        <x:v>Chicago</x:v>
      </x:c>
      <x:c r="G176" s="80" t="str">
        <x:v>Field Operations</x:v>
      </x:c>
      <x:c r="H176" s="81" t="n">
        <x:v>2310</x:v>
      </x:c>
      <x:c r="I176" s="80" t="str">
        <x:v>No</x:v>
      </x:c>
      <x:c r="J176" s="80" t="str">
        <x:v>No</x:v>
      </x:c>
      <x:c r="K176" s="80" t="str">
        <x:v>No</x:v>
      </x:c>
      <x:c r="L176" s="82" t="n">
        <x:v>0.06</x:v>
      </x:c>
      <x:c r="M176" s="80" t="str">
        <x:v>COO</x:v>
      </x:c>
      <x:c r="N176" s="80" t="str">
        <x:f>IF(OR(I176="No",J176="No"),"Yes","No")</x:f>
        <x:v>Yes</x:v>
      </x:c>
      <x:c r="O176" s="80" t="str">
        <x:f>IF(COUNTIFS($C:$C,C176)&lt;5,"Yes","No")</x:f>
        <x:v>No</x:v>
      </x:c>
      <x:c r="P176" s="81" t="n">
        <x:f>IF(K176="Yes",H176*L176,0)</x:f>
        <x:v>0</x:v>
      </x:c>
      <x:c r="Q176" s="80" t="str">
        <x:f>IF(N176="Yes","Maverick / non-preferred",IF(O176="Yes","Tail consolidation",IF(K176="Yes","Category sourcing","Non-addressable")))</x:f>
        <x:v>Maverick / non-preferred</x:v>
      </x:c>
      <x:c r="R176" s="83" t="str">
        <x:f>IF(P176&gt;=10000,"High",IF(P176&gt;=3000,"Medium","Low"))</x:f>
        <x:v>Low</x:v>
      </x:c>
    </x:row>
    <x:row r="177">
      <x:c r="A177" s="78" t="n">
        <x:v>173</x:v>
      </x:c>
      <x:c r="B177" s="79" t="n">
        <x:v>45715</x:v>
      </x:c>
      <x:c r="C177" s="80" t="str">
        <x:v>PartsPlus</x:v>
      </x:c>
      <x:c r="D177" s="80" t="str">
        <x:v>MRO</x:v>
      </x:c>
      <x:c r="E177" s="80" t="str">
        <x:v>Direct</x:v>
      </x:c>
      <x:c r="F177" s="80" t="str">
        <x:v>Columbus</x:v>
      </x:c>
      <x:c r="G177" s="80" t="str">
        <x:v>Corporate</x:v>
      </x:c>
      <x:c r="H177" s="81" t="n">
        <x:v>8520</x:v>
      </x:c>
      <x:c r="I177" s="80" t="str">
        <x:v>Yes</x:v>
      </x:c>
      <x:c r="J177" s="80" t="str">
        <x:v>Yes</x:v>
      </x:c>
      <x:c r="K177" s="80" t="str">
        <x:v>No</x:v>
      </x:c>
      <x:c r="L177" s="82" t="n">
        <x:v>0.06</x:v>
      </x:c>
      <x:c r="M177" s="80" t="str">
        <x:v>COO</x:v>
      </x:c>
      <x:c r="N177" s="80" t="str">
        <x:f>IF(OR(I177="No",J177="No"),"Yes","No")</x:f>
        <x:v>No</x:v>
      </x:c>
      <x:c r="O177" s="80" t="str">
        <x:f>IF(COUNTIFS($C:$C,C177)&lt;5,"Yes","No")</x:f>
        <x:v>No</x:v>
      </x:c>
      <x:c r="P177" s="81" t="n">
        <x:f>IF(K177="Yes",H177*L177,0)</x:f>
        <x:v>0</x:v>
      </x:c>
      <x:c r="Q177" s="80" t="str">
        <x:f>IF(N177="Yes","Maverick / non-preferred",IF(O177="Yes","Tail consolidation",IF(K177="Yes","Category sourcing","Non-addressable")))</x:f>
        <x:v>Non-addressable</x:v>
      </x:c>
      <x:c r="R177" s="83" t="str">
        <x:f>IF(P177&gt;=10000,"High",IF(P177&gt;=3000,"Medium","Low"))</x:f>
        <x:v>Low</x:v>
      </x:c>
    </x:row>
    <x:row r="178">
      <x:c r="A178" s="78" t="n">
        <x:v>174</x:v>
      </x:c>
      <x:c r="B178" s="79" t="n">
        <x:v>45976</x:v>
      </x:c>
      <x:c r="C178" s="80" t="str">
        <x:v>BoxWorks</x:v>
      </x:c>
      <x:c r="D178" s="80" t="str">
        <x:v>Packaging</x:v>
      </x:c>
      <x:c r="E178" s="80" t="str">
        <x:v>Direct</x:v>
      </x:c>
      <x:c r="F178" s="80" t="str">
        <x:v>Dallas</x:v>
      </x:c>
      <x:c r="G178" s="80" t="str">
        <x:v>Field Operations</x:v>
      </x:c>
      <x:c r="H178" s="81" t="n">
        <x:v>22550</x:v>
      </x:c>
      <x:c r="I178" s="80" t="str">
        <x:v>Yes</x:v>
      </x:c>
      <x:c r="J178" s="80" t="str">
        <x:v>Yes</x:v>
      </x:c>
      <x:c r="K178" s="80" t="str">
        <x:v>Yes</x:v>
      </x:c>
      <x:c r="L178" s="82" t="n">
        <x:v>0.06</x:v>
      </x:c>
      <x:c r="M178" s="80" t="str">
        <x:v>COO</x:v>
      </x:c>
      <x:c r="N178" s="80" t="str">
        <x:f>IF(OR(I178="No",J178="No"),"Yes","No")</x:f>
        <x:v>No</x:v>
      </x:c>
      <x:c r="O178" s="80" t="str">
        <x:f>IF(COUNTIFS($C:$C,C178)&lt;5,"Yes","No")</x:f>
        <x:v>No</x:v>
      </x:c>
      <x:c r="P178" s="81" t="n">
        <x:f>IF(K178="Yes",H178*L178,0)</x:f>
        <x:v>1353</x:v>
      </x:c>
      <x:c r="Q178" s="80" t="str">
        <x:f>IF(N178="Yes","Maverick / non-preferred",IF(O178="Yes","Tail consolidation",IF(K178="Yes","Category sourcing","Non-addressable")))</x:f>
        <x:v>Category sourcing</x:v>
      </x:c>
      <x:c r="R178" s="83" t="str">
        <x:f>IF(P178&gt;=10000,"High",IF(P178&gt;=3000,"Medium","Low"))</x:f>
        <x:v>Low</x:v>
      </x:c>
    </x:row>
    <x:row r="179">
      <x:c r="A179" s="78" t="n">
        <x:v>175</x:v>
      </x:c>
      <x:c r="B179" s="79" t="n">
        <x:v>45727</x:v>
      </x:c>
      <x:c r="C179" s="80" t="str">
        <x:v>OfficeCloud</x:v>
      </x:c>
      <x:c r="D179" s="80" t="str">
        <x:v>IT Software</x:v>
      </x:c>
      <x:c r="E179" s="80" t="str">
        <x:v>Indirect</x:v>
      </x:c>
      <x:c r="F179" s="80" t="str">
        <x:v>Atlanta</x:v>
      </x:c>
      <x:c r="G179" s="80" t="str">
        <x:v>Field Operations</x:v>
      </x:c>
      <x:c r="H179" s="81" t="n">
        <x:v>26440</x:v>
      </x:c>
      <x:c r="I179" s="80" t="str">
        <x:v>No</x:v>
      </x:c>
      <x:c r="J179" s="80" t="str">
        <x:v>No</x:v>
      </x:c>
      <x:c r="K179" s="80" t="str">
        <x:v>Yes</x:v>
      </x:c>
      <x:c r="L179" s="82" t="n">
        <x:v>0.12</x:v>
      </x:c>
      <x:c r="M179" s="80" t="str">
        <x:v>CIO</x:v>
      </x:c>
      <x:c r="N179" s="80" t="str">
        <x:f>IF(OR(I179="No",J179="No"),"Yes","No")</x:f>
        <x:v>Yes</x:v>
      </x:c>
      <x:c r="O179" s="80" t="str">
        <x:f>IF(COUNTIFS($C:$C,C179)&lt;5,"Yes","No")</x:f>
        <x:v>No</x:v>
      </x:c>
      <x:c r="P179" s="81" t="n">
        <x:f>IF(K179="Yes",H179*L179,0)</x:f>
        <x:v>3172.7999999999997</x:v>
      </x:c>
      <x:c r="Q179" s="80" t="str">
        <x:f>IF(N179="Yes","Maverick / non-preferred",IF(O179="Yes","Tail consolidation",IF(K179="Yes","Category sourcing","Non-addressable")))</x:f>
        <x:v>Maverick / non-preferred</x:v>
      </x:c>
      <x:c r="R179" s="83" t="str">
        <x:f>IF(P179&gt;=10000,"High",IF(P179&gt;=3000,"Medium","Low"))</x:f>
        <x:v>Medium</x:v>
      </x:c>
    </x:row>
    <x:row r="180">
      <x:c r="A180" s="78" t="n">
        <x:v>176</x:v>
      </x:c>
      <x:c r="B180" s="79" t="n">
        <x:v>45914</x:v>
      </x:c>
      <x:c r="C180" s="80" t="str">
        <x:v>ContractConsult</x:v>
      </x:c>
      <x:c r="D180" s="80" t="str">
        <x:v>Professional Services</x:v>
      </x:c>
      <x:c r="E180" s="80" t="str">
        <x:v>Indirect</x:v>
      </x:c>
      <x:c r="F180" s="80" t="str">
        <x:v>Phoenix</x:v>
      </x:c>
      <x:c r="G180" s="80" t="str">
        <x:v>Manufacturing</x:v>
      </x:c>
      <x:c r="H180" s="81" t="n">
        <x:v>72790</x:v>
      </x:c>
      <x:c r="I180" s="80" t="str">
        <x:v>No</x:v>
      </x:c>
      <x:c r="J180" s="80" t="str">
        <x:v>No</x:v>
      </x:c>
      <x:c r="K180" s="80" t="str">
        <x:v>No</x:v>
      </x:c>
      <x:c r="L180" s="82" t="n">
        <x:v>0.09</x:v>
      </x:c>
      <x:c r="M180" s="80" t="str">
        <x:v>CFO</x:v>
      </x:c>
      <x:c r="N180" s="80" t="str">
        <x:f>IF(OR(I180="No",J180="No"),"Yes","No")</x:f>
        <x:v>Yes</x:v>
      </x:c>
      <x:c r="O180" s="80" t="str">
        <x:f>IF(COUNTIFS($C:$C,C180)&lt;5,"Yes","No")</x:f>
        <x:v>Yes</x:v>
      </x:c>
      <x:c r="P180" s="81" t="n">
        <x:f>IF(K180="Yes",H180*L180,0)</x:f>
        <x:v>0</x:v>
      </x:c>
      <x:c r="Q180" s="80" t="str">
        <x:f>IF(N180="Yes","Maverick / non-preferred",IF(O180="Yes","Tail consolidation",IF(K180="Yes","Category sourcing","Non-addressable")))</x:f>
        <x:v>Maverick / non-preferred</x:v>
      </x:c>
      <x:c r="R180" s="83" t="str">
        <x:f>IF(P180&gt;=10000,"High",IF(P180&gt;=3000,"Medium","Low"))</x:f>
        <x:v>Low</x:v>
      </x:c>
    </x:row>
    <x:row r="181">
      <x:c r="A181" s="78" t="n">
        <x:v>177</x:v>
      </x:c>
      <x:c r="B181" s="79" t="n">
        <x:v>45739</x:v>
      </x:c>
      <x:c r="C181" s="80" t="str">
        <x:v>RoadPro Logistics</x:v>
      </x:c>
      <x:c r="D181" s="80" t="str">
        <x:v>Freight &amp; Logistics</x:v>
      </x:c>
      <x:c r="E181" s="80" t="str">
        <x:v>Direct</x:v>
      </x:c>
      <x:c r="F181" s="80" t="str">
        <x:v>Columbus</x:v>
      </x:c>
      <x:c r="G181" s="80" t="str">
        <x:v>Field Operations</x:v>
      </x:c>
      <x:c r="H181" s="81" t="n">
        <x:v>28660</x:v>
      </x:c>
      <x:c r="I181" s="80" t="str">
        <x:v>No</x:v>
      </x:c>
      <x:c r="J181" s="80" t="str">
        <x:v>No</x:v>
      </x:c>
      <x:c r="K181" s="80" t="str">
        <x:v>Yes</x:v>
      </x:c>
      <x:c r="L181" s="82" t="n">
        <x:v>0.08</x:v>
      </x:c>
      <x:c r="M181" s="80" t="str">
        <x:v>COO</x:v>
      </x:c>
      <x:c r="N181" s="80" t="str">
        <x:f>IF(OR(I181="No",J181="No"),"Yes","No")</x:f>
        <x:v>Yes</x:v>
      </x:c>
      <x:c r="O181" s="80" t="str">
        <x:f>IF(COUNTIFS($C:$C,C181)&lt;5,"Yes","No")</x:f>
        <x:v>No</x:v>
      </x:c>
      <x:c r="P181" s="81" t="n">
        <x:f>IF(K181="Yes",H181*L181,0)</x:f>
        <x:v>2292.8</x:v>
      </x:c>
      <x:c r="Q181" s="80" t="str">
        <x:f>IF(N181="Yes","Maverick / non-preferred",IF(O181="Yes","Tail consolidation",IF(K181="Yes","Category sourcing","Non-addressable")))</x:f>
        <x:v>Maverick / non-preferred</x:v>
      </x:c>
      <x:c r="R181" s="83" t="str">
        <x:f>IF(P181&gt;=10000,"High",IF(P181&gt;=3000,"Medium","Low"))</x:f>
        <x:v>Low</x:v>
      </x:c>
    </x:row>
    <x:row r="182">
      <x:c r="A182" s="78" t="n">
        <x:v>178</x:v>
      </x:c>
      <x:c r="B182" s="79" t="n">
        <x:v>45794</x:v>
      </x:c>
      <x:c r="C182" s="80" t="str">
        <x:v>ToolWorks</x:v>
      </x:c>
      <x:c r="D182" s="80" t="str">
        <x:v>MRO</x:v>
      </x:c>
      <x:c r="E182" s="80" t="str">
        <x:v>Direct</x:v>
      </x:c>
      <x:c r="F182" s="80" t="str">
        <x:v>Columbus</x:v>
      </x:c>
      <x:c r="G182" s="80" t="str">
        <x:v>Manufacturing</x:v>
      </x:c>
      <x:c r="H182" s="81" t="n">
        <x:v>6850</x:v>
      </x:c>
      <x:c r="I182" s="80" t="str">
        <x:v>Yes</x:v>
      </x:c>
      <x:c r="J182" s="80" t="str">
        <x:v>No</x:v>
      </x:c>
      <x:c r="K182" s="80" t="str">
        <x:v>No</x:v>
      </x:c>
      <x:c r="L182" s="82" t="n">
        <x:v>0.06</x:v>
      </x:c>
      <x:c r="M182" s="80" t="str">
        <x:v>COO</x:v>
      </x:c>
      <x:c r="N182" s="80" t="str">
        <x:f>IF(OR(I182="No",J182="No"),"Yes","No")</x:f>
        <x:v>Yes</x:v>
      </x:c>
      <x:c r="O182" s="80" t="str">
        <x:f>IF(COUNTIFS($C:$C,C182)&lt;5,"Yes","No")</x:f>
        <x:v>No</x:v>
      </x:c>
      <x:c r="P182" s="81" t="n">
        <x:f>IF(K182="Yes",H182*L182,0)</x:f>
        <x:v>0</x:v>
      </x:c>
      <x:c r="Q182" s="80" t="str">
        <x:f>IF(N182="Yes","Maverick / non-preferred",IF(O182="Yes","Tail consolidation",IF(K182="Yes","Category sourcing","Non-addressable")))</x:f>
        <x:v>Maverick / non-preferred</x:v>
      </x:c>
      <x:c r="R182" s="83" t="str">
        <x:f>IF(P182&gt;=10000,"High",IF(P182&gt;=3000,"Medium","Low"))</x:f>
        <x:v>Low</x:v>
      </x:c>
    </x:row>
    <x:row r="183">
      <x:c r="A183" s="78" t="n">
        <x:v>179</x:v>
      </x:c>
      <x:c r="B183" s="79" t="n">
        <x:v>45958</x:v>
      </x:c>
      <x:c r="C183" s="80" t="str">
        <x:v>BoxWorks</x:v>
      </x:c>
      <x:c r="D183" s="80" t="str">
        <x:v>Packaging</x:v>
      </x:c>
      <x:c r="E183" s="80" t="str">
        <x:v>Direct</x:v>
      </x:c>
      <x:c r="F183" s="80" t="str">
        <x:v>Dallas</x:v>
      </x:c>
      <x:c r="G183" s="80" t="str">
        <x:v>Distribution</x:v>
      </x:c>
      <x:c r="H183" s="81" t="n">
        <x:v>26220</x:v>
      </x:c>
      <x:c r="I183" s="80" t="str">
        <x:v>Yes</x:v>
      </x:c>
      <x:c r="J183" s="80" t="str">
        <x:v>Yes</x:v>
      </x:c>
      <x:c r="K183" s="80" t="str">
        <x:v>Yes</x:v>
      </x:c>
      <x:c r="L183" s="82" t="n">
        <x:v>0.06</x:v>
      </x:c>
      <x:c r="M183" s="80" t="str">
        <x:v>COO</x:v>
      </x:c>
      <x:c r="N183" s="80" t="str">
        <x:f>IF(OR(I183="No",J183="No"),"Yes","No")</x:f>
        <x:v>No</x:v>
      </x:c>
      <x:c r="O183" s="80" t="str">
        <x:f>IF(COUNTIFS($C:$C,C183)&lt;5,"Yes","No")</x:f>
        <x:v>No</x:v>
      </x:c>
      <x:c r="P183" s="81" t="n">
        <x:f>IF(K183="Yes",H183*L183,0)</x:f>
        <x:v>1573.2</x:v>
      </x:c>
      <x:c r="Q183" s="80" t="str">
        <x:f>IF(N183="Yes","Maverick / non-preferred",IF(O183="Yes","Tail consolidation",IF(K183="Yes","Category sourcing","Non-addressable")))</x:f>
        <x:v>Category sourcing</x:v>
      </x:c>
      <x:c r="R183" s="83" t="str">
        <x:f>IF(P183&gt;=10000,"High",IF(P183&gt;=3000,"Medium","Low"))</x:f>
        <x:v>Low</x:v>
      </x:c>
    </x:row>
    <x:row r="184">
      <x:c r="A184" s="78" t="n">
        <x:v>180</x:v>
      </x:c>
      <x:c r="B184" s="79" t="n">
        <x:v>45970</x:v>
      </x:c>
      <x:c r="C184" s="80" t="str">
        <x:v>Allied Inputs</x:v>
      </x:c>
      <x:c r="D184" s="80" t="str">
        <x:v>Raw Materials</x:v>
      </x:c>
      <x:c r="E184" s="80" t="str">
        <x:v>Direct</x:v>
      </x:c>
      <x:c r="F184" s="80" t="str">
        <x:v>Chicago</x:v>
      </x:c>
      <x:c r="G184" s="80" t="str">
        <x:v>Distribution</x:v>
      </x:c>
      <x:c r="H184" s="81" t="n">
        <x:v>34250</x:v>
      </x:c>
      <x:c r="I184" s="80" t="str">
        <x:v>No</x:v>
      </x:c>
      <x:c r="J184" s="80" t="str">
        <x:v>No</x:v>
      </x:c>
      <x:c r="K184" s="80" t="str">
        <x:v>Yes</x:v>
      </x:c>
      <x:c r="L184" s="82" t="n">
        <x:v>0.05</x:v>
      </x:c>
      <x:c r="M184" s="80" t="str">
        <x:v>COO</x:v>
      </x:c>
      <x:c r="N184" s="80" t="str">
        <x:f>IF(OR(I184="No",J184="No"),"Yes","No")</x:f>
        <x:v>Yes</x:v>
      </x:c>
      <x:c r="O184" s="80" t="str">
        <x:f>IF(COUNTIFS($C:$C,C184)&lt;5,"Yes","No")</x:f>
        <x:v>Yes</x:v>
      </x:c>
      <x:c r="P184" s="81" t="n">
        <x:f>IF(K184="Yes",H184*L184,0)</x:f>
        <x:v>1712.5</x:v>
      </x:c>
      <x:c r="Q184" s="80" t="str">
        <x:f>IF(N184="Yes","Maverick / non-preferred",IF(O184="Yes","Tail consolidation",IF(K184="Yes","Category sourcing","Non-addressable")))</x:f>
        <x:v>Maverick / non-preferred</x:v>
      </x:c>
      <x:c r="R184" s="83" t="str">
        <x:f>IF(P184&gt;=10000,"High",IF(P184&gt;=3000,"Medium","Low"))</x:f>
        <x:v>Low</x:v>
      </x:c>
    </x:row>
    <x:row r="185">
      <x:c r="A185" s="78" t="n">
        <x:v>181</x:v>
      </x:c>
      <x:c r="B185" s="79" t="n">
        <x:v>45968</x:v>
      </x:c>
      <x:c r="C185" s="80" t="str">
        <x:v>Industrial Supply</x:v>
      </x:c>
      <x:c r="D185" s="80" t="str">
        <x:v>MRO</x:v>
      </x:c>
      <x:c r="E185" s="80" t="str">
        <x:v>Direct</x:v>
      </x:c>
      <x:c r="F185" s="80" t="str">
        <x:v>Phoenix</x:v>
      </x:c>
      <x:c r="G185" s="80" t="str">
        <x:v>Distribution</x:v>
      </x:c>
      <x:c r="H185" s="81" t="n">
        <x:v>9520</x:v>
      </x:c>
      <x:c r="I185" s="80" t="str">
        <x:v>Yes</x:v>
      </x:c>
      <x:c r="J185" s="80" t="str">
        <x:v>Yes</x:v>
      </x:c>
      <x:c r="K185" s="80" t="str">
        <x:v>No</x:v>
      </x:c>
      <x:c r="L185" s="82" t="n">
        <x:v>0.06</x:v>
      </x:c>
      <x:c r="M185" s="80" t="str">
        <x:v>COO</x:v>
      </x:c>
      <x:c r="N185" s="80" t="str">
        <x:f>IF(OR(I185="No",J185="No"),"Yes","No")</x:f>
        <x:v>No</x:v>
      </x:c>
      <x:c r="O185" s="80" t="str">
        <x:f>IF(COUNTIFS($C:$C,C185)&lt;5,"Yes","No")</x:f>
        <x:v>No</x:v>
      </x:c>
      <x:c r="P185" s="81" t="n">
        <x:f>IF(K185="Yes",H185*L185,0)</x:f>
        <x:v>0</x:v>
      </x:c>
      <x:c r="Q185" s="80" t="str">
        <x:f>IF(N185="Yes","Maverick / non-preferred",IF(O185="Yes","Tail consolidation",IF(K185="Yes","Category sourcing","Non-addressable")))</x:f>
        <x:v>Non-addressable</x:v>
      </x:c>
      <x:c r="R185" s="83" t="str">
        <x:f>IF(P185&gt;=10000,"High",IF(P185&gt;=3000,"Medium","Low"))</x:f>
        <x:v>Low</x:v>
      </x:c>
    </x:row>
    <x:row r="186">
      <x:c r="A186" s="78" t="n">
        <x:v>182</x:v>
      </x:c>
      <x:c r="B186" s="79" t="n">
        <x:v>45842</x:v>
      </x:c>
      <x:c r="C186" s="80" t="str">
        <x:v>Industrial Supply</x:v>
      </x:c>
      <x:c r="D186" s="80" t="str">
        <x:v>MRO</x:v>
      </x:c>
      <x:c r="E186" s="80" t="str">
        <x:v>Direct</x:v>
      </x:c>
      <x:c r="F186" s="80" t="str">
        <x:v>Chicago</x:v>
      </x:c>
      <x:c r="G186" s="80" t="str">
        <x:v>Manufacturing</x:v>
      </x:c>
      <x:c r="H186" s="81" t="n">
        <x:v>12630</x:v>
      </x:c>
      <x:c r="I186" s="80" t="str">
        <x:v>Yes</x:v>
      </x:c>
      <x:c r="J186" s="80" t="str">
        <x:v>Yes</x:v>
      </x:c>
      <x:c r="K186" s="80" t="str">
        <x:v>No</x:v>
      </x:c>
      <x:c r="L186" s="82" t="n">
        <x:v>0.06</x:v>
      </x:c>
      <x:c r="M186" s="80" t="str">
        <x:v>COO</x:v>
      </x:c>
      <x:c r="N186" s="80" t="str">
        <x:f>IF(OR(I186="No",J186="No"),"Yes","No")</x:f>
        <x:v>No</x:v>
      </x:c>
      <x:c r="O186" s="80" t="str">
        <x:f>IF(COUNTIFS($C:$C,C186)&lt;5,"Yes","No")</x:f>
        <x:v>No</x:v>
      </x:c>
      <x:c r="P186" s="81" t="n">
        <x:f>IF(K186="Yes",H186*L186,0)</x:f>
        <x:v>0</x:v>
      </x:c>
      <x:c r="Q186" s="80" t="str">
        <x:f>IF(N186="Yes","Maverick / non-preferred",IF(O186="Yes","Tail consolidation",IF(K186="Yes","Category sourcing","Non-addressable")))</x:f>
        <x:v>Non-addressable</x:v>
      </x:c>
      <x:c r="R186" s="83" t="str">
        <x:f>IF(P186&gt;=10000,"High",IF(P186&gt;=3000,"Medium","Low"))</x:f>
        <x:v>Low</x:v>
      </x:c>
    </x:row>
    <x:row r="187">
      <x:c r="A187" s="78" t="n">
        <x:v>183</x:v>
      </x:c>
      <x:c r="B187" s="79" t="n">
        <x:v>45946</x:v>
      </x:c>
      <x:c r="C187" s="80" t="str">
        <x:v>FacilityOne</x:v>
      </x:c>
      <x:c r="D187" s="80" t="str">
        <x:v>Facilities</x:v>
      </x:c>
      <x:c r="E187" s="80" t="str">
        <x:v>Indirect</x:v>
      </x:c>
      <x:c r="F187" s="80" t="str">
        <x:v>Chicago</x:v>
      </x:c>
      <x:c r="G187" s="80" t="str">
        <x:v>Manufacturing</x:v>
      </x:c>
      <x:c r="H187" s="81" t="n">
        <x:v>12240</x:v>
      </x:c>
      <x:c r="I187" s="80" t="str">
        <x:v>Yes</x:v>
      </x:c>
      <x:c r="J187" s="80" t="str">
        <x:v>Yes</x:v>
      </x:c>
      <x:c r="K187" s="80" t="str">
        <x:v>Yes</x:v>
      </x:c>
      <x:c r="L187" s="82" t="n">
        <x:v>0.1</x:v>
      </x:c>
      <x:c r="M187" s="80" t="str">
        <x:v>COO</x:v>
      </x:c>
      <x:c r="N187" s="80" t="str">
        <x:f>IF(OR(I187="No",J187="No"),"Yes","No")</x:f>
        <x:v>No</x:v>
      </x:c>
      <x:c r="O187" s="80" t="str">
        <x:f>IF(COUNTIFS($C:$C,C187)&lt;5,"Yes","No")</x:f>
        <x:v>No</x:v>
      </x:c>
      <x:c r="P187" s="81" t="n">
        <x:f>IF(K187="Yes",H187*L187,0)</x:f>
        <x:v>1224</x:v>
      </x:c>
      <x:c r="Q187" s="80" t="str">
        <x:f>IF(N187="Yes","Maverick / non-preferred",IF(O187="Yes","Tail consolidation",IF(K187="Yes","Category sourcing","Non-addressable")))</x:f>
        <x:v>Category sourcing</x:v>
      </x:c>
      <x:c r="R187" s="83" t="str">
        <x:f>IF(P187&gt;=10000,"High",IF(P187&gt;=3000,"Medium","Low"))</x:f>
        <x:v>Low</x:v>
      </x:c>
    </x:row>
    <x:row r="188">
      <x:c r="A188" s="78" t="n">
        <x:v>184</x:v>
      </x:c>
      <x:c r="B188" s="79" t="n">
        <x:v>45974</x:v>
      </x:c>
      <x:c r="C188" s="80" t="str">
        <x:v>National Packaging</x:v>
      </x:c>
      <x:c r="D188" s="80" t="str">
        <x:v>Packaging</x:v>
      </x:c>
      <x:c r="E188" s="80" t="str">
        <x:v>Direct</x:v>
      </x:c>
      <x:c r="F188" s="80" t="str">
        <x:v>Columbus</x:v>
      </x:c>
      <x:c r="G188" s="80" t="str">
        <x:v>Manufacturing</x:v>
      </x:c>
      <x:c r="H188" s="81" t="n">
        <x:v>20910</x:v>
      </x:c>
      <x:c r="I188" s="80" t="str">
        <x:v>No</x:v>
      </x:c>
      <x:c r="J188" s="80" t="str">
        <x:v>No</x:v>
      </x:c>
      <x:c r="K188" s="80" t="str">
        <x:v>Yes</x:v>
      </x:c>
      <x:c r="L188" s="82" t="n">
        <x:v>0.06</x:v>
      </x:c>
      <x:c r="M188" s="80" t="str">
        <x:v>COO</x:v>
      </x:c>
      <x:c r="N188" s="80" t="str">
        <x:f>IF(OR(I188="No",J188="No"),"Yes","No")</x:f>
        <x:v>Yes</x:v>
      </x:c>
      <x:c r="O188" s="80" t="str">
        <x:f>IF(COUNTIFS($C:$C,C188)&lt;5,"Yes","No")</x:f>
        <x:v>Yes</x:v>
      </x:c>
      <x:c r="P188" s="81" t="n">
        <x:f>IF(K188="Yes",H188*L188,0)</x:f>
        <x:v>1254.6</x:v>
      </x:c>
      <x:c r="Q188" s="80" t="str">
        <x:f>IF(N188="Yes","Maverick / non-preferred",IF(O188="Yes","Tail consolidation",IF(K188="Yes","Category sourcing","Non-addressable")))</x:f>
        <x:v>Maverick / non-preferred</x:v>
      </x:c>
      <x:c r="R188" s="83" t="str">
        <x:f>IF(P188&gt;=10000,"High",IF(P188&gt;=3000,"Medium","Low"))</x:f>
        <x:v>Low</x:v>
      </x:c>
    </x:row>
    <x:row r="189">
      <x:c r="A189" s="78" t="n">
        <x:v>185</x:v>
      </x:c>
      <x:c r="B189" s="79" t="n">
        <x:v>45748</x:v>
      </x:c>
      <x:c r="C189" s="80" t="str">
        <x:v>NorthLine Freight</x:v>
      </x:c>
      <x:c r="D189" s="80" t="str">
        <x:v>Freight &amp; Logistics</x:v>
      </x:c>
      <x:c r="E189" s="80" t="str">
        <x:v>Direct</x:v>
      </x:c>
      <x:c r="F189" s="80" t="str">
        <x:v>Dallas</x:v>
      </x:c>
      <x:c r="G189" s="80" t="str">
        <x:v>Manufacturing</x:v>
      </x:c>
      <x:c r="H189" s="81" t="n">
        <x:v>26910</x:v>
      </x:c>
      <x:c r="I189" s="80" t="str">
        <x:v>Yes</x:v>
      </x:c>
      <x:c r="J189" s="80" t="str">
        <x:v>Yes</x:v>
      </x:c>
      <x:c r="K189" s="80" t="str">
        <x:v>Yes</x:v>
      </x:c>
      <x:c r="L189" s="82" t="n">
        <x:v>0.08</x:v>
      </x:c>
      <x:c r="M189" s="80" t="str">
        <x:v>COO</x:v>
      </x:c>
      <x:c r="N189" s="80" t="str">
        <x:f>IF(OR(I189="No",J189="No"),"Yes","No")</x:f>
        <x:v>No</x:v>
      </x:c>
      <x:c r="O189" s="80" t="str">
        <x:f>IF(COUNTIFS($C:$C,C189)&lt;5,"Yes","No")</x:f>
        <x:v>No</x:v>
      </x:c>
      <x:c r="P189" s="81" t="n">
        <x:f>IF(K189="Yes",H189*L189,0)</x:f>
        <x:v>2152.8</x:v>
      </x:c>
      <x:c r="Q189" s="80" t="str">
        <x:f>IF(N189="Yes","Maverick / non-preferred",IF(O189="Yes","Tail consolidation",IF(K189="Yes","Category sourcing","Non-addressable")))</x:f>
        <x:v>Category sourcing</x:v>
      </x:c>
      <x:c r="R189" s="83" t="str">
        <x:f>IF(P189&gt;=10000,"High",IF(P189&gt;=3000,"Medium","Low"))</x:f>
        <x:v>Low</x:v>
      </x:c>
    </x:row>
    <x:row r="190">
      <x:c r="A190" s="78" t="n">
        <x:v>186</x:v>
      </x:c>
      <x:c r="B190" s="79" t="n">
        <x:v>45687</x:v>
      </x:c>
      <x:c r="C190" s="80" t="str">
        <x:v>Summit Polymers</x:v>
      </x:c>
      <x:c r="D190" s="80" t="str">
        <x:v>Raw Materials</x:v>
      </x:c>
      <x:c r="E190" s="80" t="str">
        <x:v>Direct</x:v>
      </x:c>
      <x:c r="F190" s="80" t="str">
        <x:v>Columbus</x:v>
      </x:c>
      <x:c r="G190" s="80" t="str">
        <x:v>Distribution</x:v>
      </x:c>
      <x:c r="H190" s="81" t="n">
        <x:v>92040</x:v>
      </x:c>
      <x:c r="I190" s="80" t="str">
        <x:v>Yes</x:v>
      </x:c>
      <x:c r="J190" s="80" t="str">
        <x:v>Yes</x:v>
      </x:c>
      <x:c r="K190" s="80" t="str">
        <x:v>No</x:v>
      </x:c>
      <x:c r="L190" s="82" t="n">
        <x:v>0.05</x:v>
      </x:c>
      <x:c r="M190" s="80" t="str">
        <x:v>COO</x:v>
      </x:c>
      <x:c r="N190" s="80" t="str">
        <x:f>IF(OR(I190="No",J190="No"),"Yes","No")</x:f>
        <x:v>No</x:v>
      </x:c>
      <x:c r="O190" s="80" t="str">
        <x:f>IF(COUNTIFS($C:$C,C190)&lt;5,"Yes","No")</x:f>
        <x:v>No</x:v>
      </x:c>
      <x:c r="P190" s="81" t="n">
        <x:f>IF(K190="Yes",H190*L190,0)</x:f>
        <x:v>0</x:v>
      </x:c>
      <x:c r="Q190" s="80" t="str">
        <x:f>IF(N190="Yes","Maverick / non-preferred",IF(O190="Yes","Tail consolidation",IF(K190="Yes","Category sourcing","Non-addressable")))</x:f>
        <x:v>Non-addressable</x:v>
      </x:c>
      <x:c r="R190" s="83" t="str">
        <x:f>IF(P190&gt;=10000,"High",IF(P190&gt;=3000,"Medium","Low"))</x:f>
        <x:v>Low</x:v>
      </x:c>
    </x:row>
    <x:row r="191">
      <x:c r="A191" s="78" t="n">
        <x:v>187</x:v>
      </x:c>
      <x:c r="B191" s="79" t="n">
        <x:v>45922</x:v>
      </x:c>
      <x:c r="C191" s="80" t="str">
        <x:v>CoreMetals</x:v>
      </x:c>
      <x:c r="D191" s="80" t="str">
        <x:v>Raw Materials</x:v>
      </x:c>
      <x:c r="E191" s="80" t="str">
        <x:v>Direct</x:v>
      </x:c>
      <x:c r="F191" s="80" t="str">
        <x:v>Chicago</x:v>
      </x:c>
      <x:c r="G191" s="80" t="str">
        <x:v>Corporate</x:v>
      </x:c>
      <x:c r="H191" s="81" t="n">
        <x:v>230870</x:v>
      </x:c>
      <x:c r="I191" s="80" t="str">
        <x:v>Yes</x:v>
      </x:c>
      <x:c r="J191" s="80" t="str">
        <x:v>Yes</x:v>
      </x:c>
      <x:c r="K191" s="80" t="str">
        <x:v>No</x:v>
      </x:c>
      <x:c r="L191" s="82" t="n">
        <x:v>0.05</x:v>
      </x:c>
      <x:c r="M191" s="80" t="str">
        <x:v>COO</x:v>
      </x:c>
      <x:c r="N191" s="80" t="str">
        <x:f>IF(OR(I191="No",J191="No"),"Yes","No")</x:f>
        <x:v>No</x:v>
      </x:c>
      <x:c r="O191" s="80" t="str">
        <x:f>IF(COUNTIFS($C:$C,C191)&lt;5,"Yes","No")</x:f>
        <x:v>No</x:v>
      </x:c>
      <x:c r="P191" s="81" t="n">
        <x:f>IF(K191="Yes",H191*L191,0)</x:f>
        <x:v>0</x:v>
      </x:c>
      <x:c r="Q191" s="80" t="str">
        <x:f>IF(N191="Yes","Maverick / non-preferred",IF(O191="Yes","Tail consolidation",IF(K191="Yes","Category sourcing","Non-addressable")))</x:f>
        <x:v>Non-addressable</x:v>
      </x:c>
      <x:c r="R191" s="83" t="str">
        <x:f>IF(P191&gt;=10000,"High",IF(P191&gt;=3000,"Medium","Low"))</x:f>
        <x:v>Low</x:v>
      </x:c>
    </x:row>
    <x:row r="192">
      <x:c r="A192" s="78" t="n">
        <x:v>188</x:v>
      </x:c>
      <x:c r="B192" s="79" t="n">
        <x:v>45700</x:v>
      </x:c>
      <x:c r="C192" s="80" t="str">
        <x:v>Summit Polymers</x:v>
      </x:c>
      <x:c r="D192" s="80" t="str">
        <x:v>Raw Materials</x:v>
      </x:c>
      <x:c r="E192" s="80" t="str">
        <x:v>Direct</x:v>
      </x:c>
      <x:c r="F192" s="80" t="str">
        <x:v>Phoenix</x:v>
      </x:c>
      <x:c r="G192" s="80" t="str">
        <x:v>Manufacturing</x:v>
      </x:c>
      <x:c r="H192" s="81" t="n">
        <x:v>58480</x:v>
      </x:c>
      <x:c r="I192" s="80" t="str">
        <x:v>Yes</x:v>
      </x:c>
      <x:c r="J192" s="80" t="str">
        <x:v>Yes</x:v>
      </x:c>
      <x:c r="K192" s="80" t="str">
        <x:v>No</x:v>
      </x:c>
      <x:c r="L192" s="82" t="n">
        <x:v>0.05</x:v>
      </x:c>
      <x:c r="M192" s="80" t="str">
        <x:v>COO</x:v>
      </x:c>
      <x:c r="N192" s="80" t="str">
        <x:f>IF(OR(I192="No",J192="No"),"Yes","No")</x:f>
        <x:v>No</x:v>
      </x:c>
      <x:c r="O192" s="80" t="str">
        <x:f>IF(COUNTIFS($C:$C,C192)&lt;5,"Yes","No")</x:f>
        <x:v>No</x:v>
      </x:c>
      <x:c r="P192" s="81" t="n">
        <x:f>IF(K192="Yes",H192*L192,0)</x:f>
        <x:v>0</x:v>
      </x:c>
      <x:c r="Q192" s="80" t="str">
        <x:f>IF(N192="Yes","Maverick / non-preferred",IF(O192="Yes","Tail consolidation",IF(K192="Yes","Category sourcing","Non-addressable")))</x:f>
        <x:v>Non-addressable</x:v>
      </x:c>
      <x:c r="R192" s="83" t="str">
        <x:f>IF(P192&gt;=10000,"High",IF(P192&gt;=3000,"Medium","Low"))</x:f>
        <x:v>Low</x:v>
      </x:c>
    </x:row>
    <x:row r="193">
      <x:c r="A193" s="78" t="n">
        <x:v>189</x:v>
      </x:c>
      <x:c r="B193" s="79" t="n">
        <x:v>45960</x:v>
      </x:c>
      <x:c r="C193" s="80" t="str">
        <x:v>OfficeDirect</x:v>
      </x:c>
      <x:c r="D193" s="80" t="str">
        <x:v>Office Supplies</x:v>
      </x:c>
      <x:c r="E193" s="80" t="str">
        <x:v>Indirect</x:v>
      </x:c>
      <x:c r="F193" s="80" t="str">
        <x:v>Phoenix</x:v>
      </x:c>
      <x:c r="G193" s="80" t="str">
        <x:v>Field Operations</x:v>
      </x:c>
      <x:c r="H193" s="81" t="n">
        <x:v>2870</x:v>
      </x:c>
      <x:c r="I193" s="80" t="str">
        <x:v>Yes</x:v>
      </x:c>
      <x:c r="J193" s="80" t="str">
        <x:v>No</x:v>
      </x:c>
      <x:c r="K193" s="80" t="str">
        <x:v>Yes</x:v>
      </x:c>
      <x:c r="L193" s="82" t="n">
        <x:v>0.18</x:v>
      </x:c>
      <x:c r="M193" s="80" t="str">
        <x:v>CFO</x:v>
      </x:c>
      <x:c r="N193" s="80" t="str">
        <x:f>IF(OR(I193="No",J193="No"),"Yes","No")</x:f>
        <x:v>Yes</x:v>
      </x:c>
      <x:c r="O193" s="80" t="str">
        <x:f>IF(COUNTIFS($C:$C,C193)&lt;5,"Yes","No")</x:f>
        <x:v>Yes</x:v>
      </x:c>
      <x:c r="P193" s="81" t="n">
        <x:f>IF(K193="Yes",H193*L193,0)</x:f>
        <x:v>516.6</x:v>
      </x:c>
      <x:c r="Q193" s="80" t="str">
        <x:f>IF(N193="Yes","Maverick / non-preferred",IF(O193="Yes","Tail consolidation",IF(K193="Yes","Category sourcing","Non-addressable")))</x:f>
        <x:v>Maverick / non-preferred</x:v>
      </x:c>
      <x:c r="R193" s="83" t="str">
        <x:f>IF(P193&gt;=10000,"High",IF(P193&gt;=3000,"Medium","Low"))</x:f>
        <x:v>Low</x:v>
      </x:c>
    </x:row>
    <x:row r="194">
      <x:c r="A194" s="78" t="n">
        <x:v>190</x:v>
      </x:c>
      <x:c r="B194" s="79" t="n">
        <x:v>45708</x:v>
      </x:c>
      <x:c r="C194" s="80" t="str">
        <x:v>Workplace Mart</x:v>
      </x:c>
      <x:c r="D194" s="80" t="str">
        <x:v>Office Supplies</x:v>
      </x:c>
      <x:c r="E194" s="80" t="str">
        <x:v>Indirect</x:v>
      </x:c>
      <x:c r="F194" s="80" t="str">
        <x:v>Chicago</x:v>
      </x:c>
      <x:c r="G194" s="80" t="str">
        <x:v>Field Operations</x:v>
      </x:c>
      <x:c r="H194" s="81" t="n">
        <x:v>4270</x:v>
      </x:c>
      <x:c r="I194" s="80" t="str">
        <x:v>No</x:v>
      </x:c>
      <x:c r="J194" s="80" t="str">
        <x:v>No</x:v>
      </x:c>
      <x:c r="K194" s="80" t="str">
        <x:v>Yes</x:v>
      </x:c>
      <x:c r="L194" s="82" t="n">
        <x:v>0.18</x:v>
      </x:c>
      <x:c r="M194" s="80" t="str">
        <x:v>CFO</x:v>
      </x:c>
      <x:c r="N194" s="80" t="str">
        <x:f>IF(OR(I194="No",J194="No"),"Yes","No")</x:f>
        <x:v>Yes</x:v>
      </x:c>
      <x:c r="O194" s="80" t="str">
        <x:f>IF(COUNTIFS($C:$C,C194)&lt;5,"Yes","No")</x:f>
        <x:v>No</x:v>
      </x:c>
      <x:c r="P194" s="81" t="n">
        <x:f>IF(K194="Yes",H194*L194,0)</x:f>
        <x:v>768.6</x:v>
      </x:c>
      <x:c r="Q194" s="80" t="str">
        <x:f>IF(N194="Yes","Maverick / non-preferred",IF(O194="Yes","Tail consolidation",IF(K194="Yes","Category sourcing","Non-addressable")))</x:f>
        <x:v>Maverick / non-preferred</x:v>
      </x:c>
      <x:c r="R194" s="83" t="str">
        <x:f>IF(P194&gt;=10000,"High",IF(P194&gt;=3000,"Medium","Low"))</x:f>
        <x:v>Low</x:v>
      </x:c>
    </x:row>
    <x:row r="195">
      <x:c r="A195" s="78" t="n">
        <x:v>191</x:v>
      </x:c>
      <x:c r="B195" s="79" t="n">
        <x:v>45922</x:v>
      </x:c>
      <x:c r="C195" s="80" t="str">
        <x:v>Summit Polymers</x:v>
      </x:c>
      <x:c r="D195" s="80" t="str">
        <x:v>Raw Materials</x:v>
      </x:c>
      <x:c r="E195" s="80" t="str">
        <x:v>Direct</x:v>
      </x:c>
      <x:c r="F195" s="80" t="str">
        <x:v>Phoenix</x:v>
      </x:c>
      <x:c r="G195" s="80" t="str">
        <x:v>Manufacturing</x:v>
      </x:c>
      <x:c r="H195" s="81" t="n">
        <x:v>93340</x:v>
      </x:c>
      <x:c r="I195" s="80" t="str">
        <x:v>Yes</x:v>
      </x:c>
      <x:c r="J195" s="80" t="str">
        <x:v>Yes</x:v>
      </x:c>
      <x:c r="K195" s="80" t="str">
        <x:v>No</x:v>
      </x:c>
      <x:c r="L195" s="82" t="n">
        <x:v>0.05</x:v>
      </x:c>
      <x:c r="M195" s="80" t="str">
        <x:v>COO</x:v>
      </x:c>
      <x:c r="N195" s="80" t="str">
        <x:f>IF(OR(I195="No",J195="No"),"Yes","No")</x:f>
        <x:v>No</x:v>
      </x:c>
      <x:c r="O195" s="80" t="str">
        <x:f>IF(COUNTIFS($C:$C,C195)&lt;5,"Yes","No")</x:f>
        <x:v>No</x:v>
      </x:c>
      <x:c r="P195" s="81" t="n">
        <x:f>IF(K195="Yes",H195*L195,0)</x:f>
        <x:v>0</x:v>
      </x:c>
      <x:c r="Q195" s="80" t="str">
        <x:f>IF(N195="Yes","Maverick / non-preferred",IF(O195="Yes","Tail consolidation",IF(K195="Yes","Category sourcing","Non-addressable")))</x:f>
        <x:v>Non-addressable</x:v>
      </x:c>
      <x:c r="R195" s="83" t="str">
        <x:f>IF(P195&gt;=10000,"High",IF(P195&gt;=3000,"Medium","Low"))</x:f>
        <x:v>Low</x:v>
      </x:c>
    </x:row>
    <x:row r="196">
      <x:c r="A196" s="78" t="n">
        <x:v>192</x:v>
      </x:c>
      <x:c r="B196" s="79" t="n">
        <x:v>45762</x:v>
      </x:c>
      <x:c r="C196" s="80" t="str">
        <x:v>ShiftPro</x:v>
      </x:c>
      <x:c r="D196" s="80" t="str">
        <x:v>Temp Labor</x:v>
      </x:c>
      <x:c r="E196" s="80" t="str">
        <x:v>Indirect</x:v>
      </x:c>
      <x:c r="F196" s="80" t="str">
        <x:v>Dallas</x:v>
      </x:c>
      <x:c r="G196" s="80" t="str">
        <x:v>Corporate</x:v>
      </x:c>
      <x:c r="H196" s="81" t="n">
        <x:v>16220</x:v>
      </x:c>
      <x:c r="I196" s="80" t="str">
        <x:v>No</x:v>
      </x:c>
      <x:c r="J196" s="80" t="str">
        <x:v>No</x:v>
      </x:c>
      <x:c r="K196" s="80" t="str">
        <x:v>No</x:v>
      </x:c>
      <x:c r="L196" s="82" t="n">
        <x:v>0.07</x:v>
      </x:c>
      <x:c r="M196" s="80" t="str">
        <x:v>CHRO</x:v>
      </x:c>
      <x:c r="N196" s="80" t="str">
        <x:f>IF(OR(I196="No",J196="No"),"Yes","No")</x:f>
        <x:v>Yes</x:v>
      </x:c>
      <x:c r="O196" s="80" t="str">
        <x:f>IF(COUNTIFS($C:$C,C196)&lt;5,"Yes","No")</x:f>
        <x:v>No</x:v>
      </x:c>
      <x:c r="P196" s="81" t="n">
        <x:f>IF(K196="Yes",H196*L196,0)</x:f>
        <x:v>0</x:v>
      </x:c>
      <x:c r="Q196" s="80" t="str">
        <x:f>IF(N196="Yes","Maverick / non-preferred",IF(O196="Yes","Tail consolidation",IF(K196="Yes","Category sourcing","Non-addressable")))</x:f>
        <x:v>Maverick / non-preferred</x:v>
      </x:c>
      <x:c r="R196" s="83" t="str">
        <x:f>IF(P196&gt;=10000,"High",IF(P196&gt;=3000,"Medium","Low"))</x:f>
        <x:v>Low</x:v>
      </x:c>
    </x:row>
    <x:row r="197">
      <x:c r="A197" s="78" t="n">
        <x:v>193</x:v>
      </x:c>
      <x:c r="B197" s="79" t="n">
        <x:v>45723</x:v>
      </x:c>
      <x:c r="C197" s="80" t="str">
        <x:v>ConnectTel</x:v>
      </x:c>
      <x:c r="D197" s="80" t="str">
        <x:v>Telecom</x:v>
      </x:c>
      <x:c r="E197" s="80" t="str">
        <x:v>Indirect</x:v>
      </x:c>
      <x:c r="F197" s="80" t="str">
        <x:v>Columbus</x:v>
      </x:c>
      <x:c r="G197" s="80" t="str">
        <x:v>Distribution</x:v>
      </x:c>
      <x:c r="H197" s="81" t="n">
        <x:v>1300</x:v>
      </x:c>
      <x:c r="I197" s="80" t="str">
        <x:v>Yes</x:v>
      </x:c>
      <x:c r="J197" s="80" t="str">
        <x:v>Yes</x:v>
      </x:c>
      <x:c r="K197" s="80" t="str">
        <x:v>Yes</x:v>
      </x:c>
      <x:c r="L197" s="82" t="n">
        <x:v>0.15</x:v>
      </x:c>
      <x:c r="M197" s="80" t="str">
        <x:v>CIO</x:v>
      </x:c>
      <x:c r="N197" s="80" t="str">
        <x:f>IF(OR(I197="No",J197="No"),"Yes","No")</x:f>
        <x:v>No</x:v>
      </x:c>
      <x:c r="O197" s="80" t="str">
        <x:f>IF(COUNTIFS($C:$C,C197)&lt;5,"Yes","No")</x:f>
        <x:v>No</x:v>
      </x:c>
      <x:c r="P197" s="81" t="n">
        <x:f>IF(K197="Yes",H197*L197,0)</x:f>
        <x:v>195</x:v>
      </x:c>
      <x:c r="Q197" s="80" t="str">
        <x:f>IF(N197="Yes","Maverick / non-preferred",IF(O197="Yes","Tail consolidation",IF(K197="Yes","Category sourcing","Non-addressable")))</x:f>
        <x:v>Category sourcing</x:v>
      </x:c>
      <x:c r="R197" s="83" t="str">
        <x:f>IF(P197&gt;=10000,"High",IF(P197&gt;=3000,"Medium","Low"))</x:f>
        <x:v>Low</x:v>
      </x:c>
    </x:row>
    <x:row r="198">
      <x:c r="A198" s="78" t="n">
        <x:v>194</x:v>
      </x:c>
      <x:c r="B198" s="79" t="n">
        <x:v>45834</x:v>
      </x:c>
      <x:c r="C198" s="80" t="str">
        <x:v>Industrial Supply</x:v>
      </x:c>
      <x:c r="D198" s="80" t="str">
        <x:v>MRO</x:v>
      </x:c>
      <x:c r="E198" s="80" t="str">
        <x:v>Direct</x:v>
      </x:c>
      <x:c r="F198" s="80" t="str">
        <x:v>Dallas</x:v>
      </x:c>
      <x:c r="G198" s="80" t="str">
        <x:v>Field Operations</x:v>
      </x:c>
      <x:c r="H198" s="81" t="n">
        <x:v>21520</x:v>
      </x:c>
      <x:c r="I198" s="80" t="str">
        <x:v>Yes</x:v>
      </x:c>
      <x:c r="J198" s="80" t="str">
        <x:v>Yes</x:v>
      </x:c>
      <x:c r="K198" s="80" t="str">
        <x:v>No</x:v>
      </x:c>
      <x:c r="L198" s="82" t="n">
        <x:v>0.06</x:v>
      </x:c>
      <x:c r="M198" s="80" t="str">
        <x:v>COO</x:v>
      </x:c>
      <x:c r="N198" s="80" t="str">
        <x:f>IF(OR(I198="No",J198="No"),"Yes","No")</x:f>
        <x:v>No</x:v>
      </x:c>
      <x:c r="O198" s="80" t="str">
        <x:f>IF(COUNTIFS($C:$C,C198)&lt;5,"Yes","No")</x:f>
        <x:v>No</x:v>
      </x:c>
      <x:c r="P198" s="81" t="n">
        <x:f>IF(K198="Yes",H198*L198,0)</x:f>
        <x:v>0</x:v>
      </x:c>
      <x:c r="Q198" s="80" t="str">
        <x:f>IF(N198="Yes","Maverick / non-preferred",IF(O198="Yes","Tail consolidation",IF(K198="Yes","Category sourcing","Non-addressable")))</x:f>
        <x:v>Non-addressable</x:v>
      </x:c>
      <x:c r="R198" s="83" t="str">
        <x:f>IF(P198&gt;=10000,"High",IF(P198&gt;=3000,"Medium","Low"))</x:f>
        <x:v>Low</x:v>
      </x:c>
    </x:row>
    <x:row r="199">
      <x:c r="A199" s="78" t="n">
        <x:v>195</x:v>
      </x:c>
      <x:c r="B199" s="79" t="n">
        <x:v>45995</x:v>
      </x:c>
      <x:c r="C199" s="80" t="str">
        <x:v>CleanCo</x:v>
      </x:c>
      <x:c r="D199" s="80" t="str">
        <x:v>Facilities</x:v>
      </x:c>
      <x:c r="E199" s="80" t="str">
        <x:v>Indirect</x:v>
      </x:c>
      <x:c r="F199" s="80" t="str">
        <x:v>Phoenix</x:v>
      </x:c>
      <x:c r="G199" s="80" t="str">
        <x:v>Corporate</x:v>
      </x:c>
      <x:c r="H199" s="81" t="n">
        <x:v>26910</x:v>
      </x:c>
      <x:c r="I199" s="80" t="str">
        <x:v>Yes</x:v>
      </x:c>
      <x:c r="J199" s="80" t="str">
        <x:v>Yes</x:v>
      </x:c>
      <x:c r="K199" s="80" t="str">
        <x:v>Yes</x:v>
      </x:c>
      <x:c r="L199" s="82" t="n">
        <x:v>0.1</x:v>
      </x:c>
      <x:c r="M199" s="80" t="str">
        <x:v>COO</x:v>
      </x:c>
      <x:c r="N199" s="80" t="str">
        <x:f>IF(OR(I199="No",J199="No"),"Yes","No")</x:f>
        <x:v>No</x:v>
      </x:c>
      <x:c r="O199" s="80" t="str">
        <x:f>IF(COUNTIFS($C:$C,C199)&lt;5,"Yes","No")</x:f>
        <x:v>Yes</x:v>
      </x:c>
      <x:c r="P199" s="81" t="n">
        <x:f>IF(K199="Yes",H199*L199,0)</x:f>
        <x:v>2691</x:v>
      </x:c>
      <x:c r="Q199" s="80" t="str">
        <x:f>IF(N199="Yes","Maverick / non-preferred",IF(O199="Yes","Tail consolidation",IF(K199="Yes","Category sourcing","Non-addressable")))</x:f>
        <x:v>Tail consolidation</x:v>
      </x:c>
      <x:c r="R199" s="83" t="str">
        <x:f>IF(P199&gt;=10000,"High",IF(P199&gt;=3000,"Medium","Low"))</x:f>
        <x:v>Low</x:v>
      </x:c>
    </x:row>
    <x:row r="200">
      <x:c r="A200" s="78" t="n">
        <x:v>196</x:v>
      </x:c>
      <x:c r="B200" s="79" t="n">
        <x:v>45897</x:v>
      </x:c>
      <x:c r="C200" s="80" t="str">
        <x:v>LegalWorks</x:v>
      </x:c>
      <x:c r="D200" s="80" t="str">
        <x:v>Professional Services</x:v>
      </x:c>
      <x:c r="E200" s="80" t="str">
        <x:v>Indirect</x:v>
      </x:c>
      <x:c r="F200" s="80" t="str">
        <x:v>Atlanta</x:v>
      </x:c>
      <x:c r="G200" s="80" t="str">
        <x:v>Manufacturing</x:v>
      </x:c>
      <x:c r="H200" s="81" t="n">
        <x:v>63700</x:v>
      </x:c>
      <x:c r="I200" s="80" t="str">
        <x:v>No</x:v>
      </x:c>
      <x:c r="J200" s="80" t="str">
        <x:v>No</x:v>
      </x:c>
      <x:c r="K200" s="80" t="str">
        <x:v>No</x:v>
      </x:c>
      <x:c r="L200" s="82" t="n">
        <x:v>0.09</x:v>
      </x:c>
      <x:c r="M200" s="80" t="str">
        <x:v>CFO</x:v>
      </x:c>
      <x:c r="N200" s="80" t="str">
        <x:f>IF(OR(I200="No",J200="No"),"Yes","No")</x:f>
        <x:v>Yes</x:v>
      </x:c>
      <x:c r="O200" s="80" t="str">
        <x:f>IF(COUNTIFS($C:$C,C200)&lt;5,"Yes","No")</x:f>
        <x:v>No</x:v>
      </x:c>
      <x:c r="P200" s="81" t="n">
        <x:f>IF(K200="Yes",H200*L200,0)</x:f>
        <x:v>0</x:v>
      </x:c>
      <x:c r="Q200" s="80" t="str">
        <x:f>IF(N200="Yes","Maverick / non-preferred",IF(O200="Yes","Tail consolidation",IF(K200="Yes","Category sourcing","Non-addressable")))</x:f>
        <x:v>Maverick / non-preferred</x:v>
      </x:c>
      <x:c r="R200" s="83" t="str">
        <x:f>IF(P200&gt;=10000,"High",IF(P200&gt;=3000,"Medium","Low"))</x:f>
        <x:v>Low</x:v>
      </x:c>
    </x:row>
    <x:row r="201">
      <x:c r="A201" s="78" t="n">
        <x:v>197</x:v>
      </x:c>
      <x:c r="B201" s="79" t="n">
        <x:v>45804</x:v>
      </x:c>
      <x:c r="C201" s="80" t="str">
        <x:v>FiberOne</x:v>
      </x:c>
      <x:c r="D201" s="80" t="str">
        <x:v>Telecom</x:v>
      </x:c>
      <x:c r="E201" s="80" t="str">
        <x:v>Indirect</x:v>
      </x:c>
      <x:c r="F201" s="80" t="str">
        <x:v>Chicago</x:v>
      </x:c>
      <x:c r="G201" s="80" t="str">
        <x:v>Manufacturing</x:v>
      </x:c>
      <x:c r="H201" s="81" t="n">
        <x:v>5060</x:v>
      </x:c>
      <x:c r="I201" s="80" t="str">
        <x:v>No</x:v>
      </x:c>
      <x:c r="J201" s="80" t="str">
        <x:v>No</x:v>
      </x:c>
      <x:c r="K201" s="80" t="str">
        <x:v>Yes</x:v>
      </x:c>
      <x:c r="L201" s="82" t="n">
        <x:v>0.15</x:v>
      </x:c>
      <x:c r="M201" s="80" t="str">
        <x:v>CIO</x:v>
      </x:c>
      <x:c r="N201" s="80" t="str">
        <x:f>IF(OR(I201="No",J201="No"),"Yes","No")</x:f>
        <x:v>Yes</x:v>
      </x:c>
      <x:c r="O201" s="80" t="str">
        <x:f>IF(COUNTIFS($C:$C,C201)&lt;5,"Yes","No")</x:f>
        <x:v>No</x:v>
      </x:c>
      <x:c r="P201" s="81" t="n">
        <x:f>IF(K201="Yes",H201*L201,0)</x:f>
        <x:v>759</x:v>
      </x:c>
      <x:c r="Q201" s="80" t="str">
        <x:f>IF(N201="Yes","Maverick / non-preferred",IF(O201="Yes","Tail consolidation",IF(K201="Yes","Category sourcing","Non-addressable")))</x:f>
        <x:v>Maverick / non-preferred</x:v>
      </x:c>
      <x:c r="R201" s="83" t="str">
        <x:f>IF(P201&gt;=10000,"High",IF(P201&gt;=3000,"Medium","Low"))</x:f>
        <x:v>Low</x:v>
      </x:c>
    </x:row>
    <x:row r="202">
      <x:c r="A202" s="78" t="n">
        <x:v>198</x:v>
      </x:c>
      <x:c r="B202" s="79" t="n">
        <x:v>45844</x:v>
      </x:c>
      <x:c r="C202" s="80" t="str">
        <x:v>Summit Polymers</x:v>
      </x:c>
      <x:c r="D202" s="80" t="str">
        <x:v>Raw Materials</x:v>
      </x:c>
      <x:c r="E202" s="80" t="str">
        <x:v>Direct</x:v>
      </x:c>
      <x:c r="F202" s="80" t="str">
        <x:v>Columbus</x:v>
      </x:c>
      <x:c r="G202" s="80" t="str">
        <x:v>Manufacturing</x:v>
      </x:c>
      <x:c r="H202" s="81" t="n">
        <x:v>6500</x:v>
      </x:c>
      <x:c r="I202" s="80" t="str">
        <x:v>Yes</x:v>
      </x:c>
      <x:c r="J202" s="80" t="str">
        <x:v>Yes</x:v>
      </x:c>
      <x:c r="K202" s="80" t="str">
        <x:v>No</x:v>
      </x:c>
      <x:c r="L202" s="82" t="n">
        <x:v>0.05</x:v>
      </x:c>
      <x:c r="M202" s="80" t="str">
        <x:v>COO</x:v>
      </x:c>
      <x:c r="N202" s="80" t="str">
        <x:f>IF(OR(I202="No",J202="No"),"Yes","No")</x:f>
        <x:v>No</x:v>
      </x:c>
      <x:c r="O202" s="80" t="str">
        <x:f>IF(COUNTIFS($C:$C,C202)&lt;5,"Yes","No")</x:f>
        <x:v>No</x:v>
      </x:c>
      <x:c r="P202" s="81" t="n">
        <x:f>IF(K202="Yes",H202*L202,0)</x:f>
        <x:v>0</x:v>
      </x:c>
      <x:c r="Q202" s="80" t="str">
        <x:f>IF(N202="Yes","Maverick / non-preferred",IF(O202="Yes","Tail consolidation",IF(K202="Yes","Category sourcing","Non-addressable")))</x:f>
        <x:v>Non-addressable</x:v>
      </x:c>
      <x:c r="R202" s="83" t="str">
        <x:f>IF(P202&gt;=10000,"High",IF(P202&gt;=3000,"Medium","Low"))</x:f>
        <x:v>Low</x:v>
      </x:c>
    </x:row>
    <x:row r="203">
      <x:c r="A203" s="78" t="n">
        <x:v>199</x:v>
      </x:c>
      <x:c r="B203" s="79" t="n">
        <x:v>45868</x:v>
      </x:c>
      <x:c r="C203" s="80" t="str">
        <x:v>DataGrid</x:v>
      </x:c>
      <x:c r="D203" s="80" t="str">
        <x:v>IT Software</x:v>
      </x:c>
      <x:c r="E203" s="80" t="str">
        <x:v>Indirect</x:v>
      </x:c>
      <x:c r="F203" s="80" t="str">
        <x:v>Dallas</x:v>
      </x:c>
      <x:c r="G203" s="80" t="str">
        <x:v>Manufacturing</x:v>
      </x:c>
      <x:c r="H203" s="81" t="n">
        <x:v>13760</x:v>
      </x:c>
      <x:c r="I203" s="80" t="str">
        <x:v>Yes</x:v>
      </x:c>
      <x:c r="J203" s="80" t="str">
        <x:v>No</x:v>
      </x:c>
      <x:c r="K203" s="80" t="str">
        <x:v>Yes</x:v>
      </x:c>
      <x:c r="L203" s="82" t="n">
        <x:v>0.12</x:v>
      </x:c>
      <x:c r="M203" s="80" t="str">
        <x:v>CIO</x:v>
      </x:c>
      <x:c r="N203" s="80" t="str">
        <x:f>IF(OR(I203="No",J203="No"),"Yes","No")</x:f>
        <x:v>Yes</x:v>
      </x:c>
      <x:c r="O203" s="80" t="str">
        <x:f>IF(COUNTIFS($C:$C,C203)&lt;5,"Yes","No")</x:f>
        <x:v>No</x:v>
      </x:c>
      <x:c r="P203" s="81" t="n">
        <x:f>IF(K203="Yes",H203*L203,0)</x:f>
        <x:v>1651.2</x:v>
      </x:c>
      <x:c r="Q203" s="80" t="str">
        <x:f>IF(N203="Yes","Maverick / non-preferred",IF(O203="Yes","Tail consolidation",IF(K203="Yes","Category sourcing","Non-addressable")))</x:f>
        <x:v>Maverick / non-preferred</x:v>
      </x:c>
      <x:c r="R203" s="83" t="str">
        <x:f>IF(P203&gt;=10000,"High",IF(P203&gt;=3000,"Medium","Low"))</x:f>
        <x:v>Low</x:v>
      </x:c>
    </x:row>
    <x:row r="204">
      <x:c r="A204" s="78" t="n">
        <x:v>200</x:v>
      </x:c>
      <x:c r="B204" s="79" t="n">
        <x:v>45754</x:v>
      </x:c>
      <x:c r="C204" s="80" t="str">
        <x:v>LaborFlex</x:v>
      </x:c>
      <x:c r="D204" s="80" t="str">
        <x:v>Temp Labor</x:v>
      </x:c>
      <x:c r="E204" s="80" t="str">
        <x:v>Indirect</x:v>
      </x:c>
      <x:c r="F204" s="80" t="str">
        <x:v>Atlanta</x:v>
      </x:c>
      <x:c r="G204" s="80" t="str">
        <x:v>Distribution</x:v>
      </x:c>
      <x:c r="H204" s="81" t="n">
        <x:v>5820</x:v>
      </x:c>
      <x:c r="I204" s="80" t="str">
        <x:v>Yes</x:v>
      </x:c>
      <x:c r="J204" s="80" t="str">
        <x:v>Yes</x:v>
      </x:c>
      <x:c r="K204" s="80" t="str">
        <x:v>No</x:v>
      </x:c>
      <x:c r="L204" s="82" t="n">
        <x:v>0.07</x:v>
      </x:c>
      <x:c r="M204" s="80" t="str">
        <x:v>CHRO</x:v>
      </x:c>
      <x:c r="N204" s="80" t="str">
        <x:f>IF(OR(I204="No",J204="No"),"Yes","No")</x:f>
        <x:v>No</x:v>
      </x:c>
      <x:c r="O204" s="80" t="str">
        <x:f>IF(COUNTIFS($C:$C,C204)&lt;5,"Yes","No")</x:f>
        <x:v>No</x:v>
      </x:c>
      <x:c r="P204" s="81" t="n">
        <x:f>IF(K204="Yes",H204*L204,0)</x:f>
        <x:v>0</x:v>
      </x:c>
      <x:c r="Q204" s="80" t="str">
        <x:f>IF(N204="Yes","Maverick / non-preferred",IF(O204="Yes","Tail consolidation",IF(K204="Yes","Category sourcing","Non-addressable")))</x:f>
        <x:v>Non-addressable</x:v>
      </x:c>
      <x:c r="R204" s="83" t="str">
        <x:f>IF(P204&gt;=10000,"High",IF(P204&gt;=3000,"Medium","Low"))</x:f>
        <x:v>Low</x:v>
      </x:c>
    </x:row>
    <x:row r="205">
      <x:c r="A205" s="78" t="n">
        <x:v>201</x:v>
      </x:c>
      <x:c r="B205" s="79" t="n">
        <x:v>46013</x:v>
      </x:c>
      <x:c r="C205" s="80" t="str">
        <x:v>LegalWorks</x:v>
      </x:c>
      <x:c r="D205" s="80" t="str">
        <x:v>Professional Services</x:v>
      </x:c>
      <x:c r="E205" s="80" t="str">
        <x:v>Indirect</x:v>
      </x:c>
      <x:c r="F205" s="80" t="str">
        <x:v>Dallas</x:v>
      </x:c>
      <x:c r="G205" s="80" t="str">
        <x:v>Corporate</x:v>
      </x:c>
      <x:c r="H205" s="81" t="n">
        <x:v>19190</x:v>
      </x:c>
      <x:c r="I205" s="80" t="str">
        <x:v>No</x:v>
      </x:c>
      <x:c r="J205" s="80" t="str">
        <x:v>No</x:v>
      </x:c>
      <x:c r="K205" s="80" t="str">
        <x:v>No</x:v>
      </x:c>
      <x:c r="L205" s="82" t="n">
        <x:v>0.09</x:v>
      </x:c>
      <x:c r="M205" s="80" t="str">
        <x:v>CFO</x:v>
      </x:c>
      <x:c r="N205" s="80" t="str">
        <x:f>IF(OR(I205="No",J205="No"),"Yes","No")</x:f>
        <x:v>Yes</x:v>
      </x:c>
      <x:c r="O205" s="80" t="str">
        <x:f>IF(COUNTIFS($C:$C,C205)&lt;5,"Yes","No")</x:f>
        <x:v>No</x:v>
      </x:c>
      <x:c r="P205" s="81" t="n">
        <x:f>IF(K205="Yes",H205*L205,0)</x:f>
        <x:v>0</x:v>
      </x:c>
      <x:c r="Q205" s="80" t="str">
        <x:f>IF(N205="Yes","Maverick / non-preferred",IF(O205="Yes","Tail consolidation",IF(K205="Yes","Category sourcing","Non-addressable")))</x:f>
        <x:v>Maverick / non-preferred</x:v>
      </x:c>
      <x:c r="R205" s="83" t="str">
        <x:f>IF(P205&gt;=10000,"High",IF(P205&gt;=3000,"Medium","Low"))</x:f>
        <x:v>Low</x:v>
      </x:c>
    </x:row>
    <x:row r="206">
      <x:c r="A206" s="78" t="n">
        <x:v>202</x:v>
      </x:c>
      <x:c r="B206" s="79" t="n">
        <x:v>45735</x:v>
      </x:c>
      <x:c r="C206" s="80" t="str">
        <x:v>PackRight</x:v>
      </x:c>
      <x:c r="D206" s="80" t="str">
        <x:v>Packaging</x:v>
      </x:c>
      <x:c r="E206" s="80" t="str">
        <x:v>Direct</x:v>
      </x:c>
      <x:c r="F206" s="80" t="str">
        <x:v>Chicago</x:v>
      </x:c>
      <x:c r="G206" s="80" t="str">
        <x:v>Manufacturing</x:v>
      </x:c>
      <x:c r="H206" s="81" t="n">
        <x:v>18300</x:v>
      </x:c>
      <x:c r="I206" s="80" t="str">
        <x:v>Yes</x:v>
      </x:c>
      <x:c r="J206" s="80" t="str">
        <x:v>Yes</x:v>
      </x:c>
      <x:c r="K206" s="80" t="str">
        <x:v>Yes</x:v>
      </x:c>
      <x:c r="L206" s="82" t="n">
        <x:v>0.06</x:v>
      </x:c>
      <x:c r="M206" s="80" t="str">
        <x:v>COO</x:v>
      </x:c>
      <x:c r="N206" s="80" t="str">
        <x:f>IF(OR(I206="No",J206="No"),"Yes","No")</x:f>
        <x:v>No</x:v>
      </x:c>
      <x:c r="O206" s="80" t="str">
        <x:f>IF(COUNTIFS($C:$C,C206)&lt;5,"Yes","No")</x:f>
        <x:v>Yes</x:v>
      </x:c>
      <x:c r="P206" s="81" t="n">
        <x:f>IF(K206="Yes",H206*L206,0)</x:f>
        <x:v>1098</x:v>
      </x:c>
      <x:c r="Q206" s="80" t="str">
        <x:f>IF(N206="Yes","Maverick / non-preferred",IF(O206="Yes","Tail consolidation",IF(K206="Yes","Category sourcing","Non-addressable")))</x:f>
        <x:v>Tail consolidation</x:v>
      </x:c>
      <x:c r="R206" s="83" t="str">
        <x:f>IF(P206&gt;=10000,"High",IF(P206&gt;=3000,"Medium","Low"))</x:f>
        <x:v>Low</x:v>
      </x:c>
    </x:row>
    <x:row r="207">
      <x:c r="A207" s="78" t="n">
        <x:v>203</x:v>
      </x:c>
      <x:c r="B207" s="79" t="n">
        <x:v>45883</x:v>
      </x:c>
      <x:c r="C207" s="80" t="str">
        <x:v>CoreMetals</x:v>
      </x:c>
      <x:c r="D207" s="80" t="str">
        <x:v>Raw Materials</x:v>
      </x:c>
      <x:c r="E207" s="80" t="str">
        <x:v>Direct</x:v>
      </x:c>
      <x:c r="F207" s="80" t="str">
        <x:v>Phoenix</x:v>
      </x:c>
      <x:c r="G207" s="80" t="str">
        <x:v>Corporate</x:v>
      </x:c>
      <x:c r="H207" s="81" t="n">
        <x:v>40670</x:v>
      </x:c>
      <x:c r="I207" s="80" t="str">
        <x:v>Yes</x:v>
      </x:c>
      <x:c r="J207" s="80" t="str">
        <x:v>Yes</x:v>
      </x:c>
      <x:c r="K207" s="80" t="str">
        <x:v>No</x:v>
      </x:c>
      <x:c r="L207" s="82" t="n">
        <x:v>0.05</x:v>
      </x:c>
      <x:c r="M207" s="80" t="str">
        <x:v>COO</x:v>
      </x:c>
      <x:c r="N207" s="80" t="str">
        <x:f>IF(OR(I207="No",J207="No"),"Yes","No")</x:f>
        <x:v>No</x:v>
      </x:c>
      <x:c r="O207" s="80" t="str">
        <x:f>IF(COUNTIFS($C:$C,C207)&lt;5,"Yes","No")</x:f>
        <x:v>No</x:v>
      </x:c>
      <x:c r="P207" s="81" t="n">
        <x:f>IF(K207="Yes",H207*L207,0)</x:f>
        <x:v>0</x:v>
      </x:c>
      <x:c r="Q207" s="80" t="str">
        <x:f>IF(N207="Yes","Maverick / non-preferred",IF(O207="Yes","Tail consolidation",IF(K207="Yes","Category sourcing","Non-addressable")))</x:f>
        <x:v>Non-addressable</x:v>
      </x:c>
      <x:c r="R207" s="83" t="str">
        <x:f>IF(P207&gt;=10000,"High",IF(P207&gt;=3000,"Medium","Low"))</x:f>
        <x:v>Low</x:v>
      </x:c>
    </x:row>
    <x:row r="208">
      <x:c r="A208" s="78" t="n">
        <x:v>204</x:v>
      </x:c>
      <x:c r="B208" s="79" t="n">
        <x:v>45881</x:v>
      </x:c>
      <x:c r="C208" s="80" t="str">
        <x:v>Industrial Supply</x:v>
      </x:c>
      <x:c r="D208" s="80" t="str">
        <x:v>MRO</x:v>
      </x:c>
      <x:c r="E208" s="80" t="str">
        <x:v>Direct</x:v>
      </x:c>
      <x:c r="F208" s="80" t="str">
        <x:v>Columbus</x:v>
      </x:c>
      <x:c r="G208" s="80" t="str">
        <x:v>Manufacturing</x:v>
      </x:c>
      <x:c r="H208" s="81" t="n">
        <x:v>12310</x:v>
      </x:c>
      <x:c r="I208" s="80" t="str">
        <x:v>Yes</x:v>
      </x:c>
      <x:c r="J208" s="80" t="str">
        <x:v>Yes</x:v>
      </x:c>
      <x:c r="K208" s="80" t="str">
        <x:v>No</x:v>
      </x:c>
      <x:c r="L208" s="82" t="n">
        <x:v>0.06</x:v>
      </x:c>
      <x:c r="M208" s="80" t="str">
        <x:v>COO</x:v>
      </x:c>
      <x:c r="N208" s="80" t="str">
        <x:f>IF(OR(I208="No",J208="No"),"Yes","No")</x:f>
        <x:v>No</x:v>
      </x:c>
      <x:c r="O208" s="80" t="str">
        <x:f>IF(COUNTIFS($C:$C,C208)&lt;5,"Yes","No")</x:f>
        <x:v>No</x:v>
      </x:c>
      <x:c r="P208" s="81" t="n">
        <x:f>IF(K208="Yes",H208*L208,0)</x:f>
        <x:v>0</x:v>
      </x:c>
      <x:c r="Q208" s="80" t="str">
        <x:f>IF(N208="Yes","Maverick / non-preferred",IF(O208="Yes","Tail consolidation",IF(K208="Yes","Category sourcing","Non-addressable")))</x:f>
        <x:v>Non-addressable</x:v>
      </x:c>
      <x:c r="R208" s="83" t="str">
        <x:f>IF(P208&gt;=10000,"High",IF(P208&gt;=3000,"Medium","Low"))</x:f>
        <x:v>Low</x:v>
      </x:c>
    </x:row>
    <x:row r="209">
      <x:c r="A209" s="78" t="n">
        <x:v>205</x:v>
      </x:c>
      <x:c r="B209" s="79" t="n">
        <x:v>46008</x:v>
      </x:c>
      <x:c r="C209" s="80" t="str">
        <x:v>CoreMetals</x:v>
      </x:c>
      <x:c r="D209" s="80" t="str">
        <x:v>Raw Materials</x:v>
      </x:c>
      <x:c r="E209" s="80" t="str">
        <x:v>Direct</x:v>
      </x:c>
      <x:c r="F209" s="80" t="str">
        <x:v>Chicago</x:v>
      </x:c>
      <x:c r="G209" s="80" t="str">
        <x:v>Field Operations</x:v>
      </x:c>
      <x:c r="H209" s="81" t="n">
        <x:v>67500</x:v>
      </x:c>
      <x:c r="I209" s="80" t="str">
        <x:v>Yes</x:v>
      </x:c>
      <x:c r="J209" s="80" t="str">
        <x:v>Yes</x:v>
      </x:c>
      <x:c r="K209" s="80" t="str">
        <x:v>No</x:v>
      </x:c>
      <x:c r="L209" s="82" t="n">
        <x:v>0.05</x:v>
      </x:c>
      <x:c r="M209" s="80" t="str">
        <x:v>COO</x:v>
      </x:c>
      <x:c r="N209" s="80" t="str">
        <x:f>IF(OR(I209="No",J209="No"),"Yes","No")</x:f>
        <x:v>No</x:v>
      </x:c>
      <x:c r="O209" s="80" t="str">
        <x:f>IF(COUNTIFS($C:$C,C209)&lt;5,"Yes","No")</x:f>
        <x:v>No</x:v>
      </x:c>
      <x:c r="P209" s="81" t="n">
        <x:f>IF(K209="Yes",H209*L209,0)</x:f>
        <x:v>0</x:v>
      </x:c>
      <x:c r="Q209" s="80" t="str">
        <x:f>IF(N209="Yes","Maverick / non-preferred",IF(O209="Yes","Tail consolidation",IF(K209="Yes","Category sourcing","Non-addressable")))</x:f>
        <x:v>Non-addressable</x:v>
      </x:c>
      <x:c r="R209" s="83" t="str">
        <x:f>IF(P209&gt;=10000,"High",IF(P209&gt;=3000,"Medium","Low"))</x:f>
        <x:v>Low</x:v>
      </x:c>
    </x:row>
    <x:row r="210">
      <x:c r="A210" s="78" t="n">
        <x:v>206</x:v>
      </x:c>
      <x:c r="B210" s="79" t="n">
        <x:v>45808</x:v>
      </x:c>
      <x:c r="C210" s="80" t="str">
        <x:v>SafeSite</x:v>
      </x:c>
      <x:c r="D210" s="80" t="str">
        <x:v>Facilities</x:v>
      </x:c>
      <x:c r="E210" s="80" t="str">
        <x:v>Indirect</x:v>
      </x:c>
      <x:c r="F210" s="80" t="str">
        <x:v>Phoenix</x:v>
      </x:c>
      <x:c r="G210" s="80" t="str">
        <x:v>Manufacturing</x:v>
      </x:c>
      <x:c r="H210" s="81" t="n">
        <x:v>12770</x:v>
      </x:c>
      <x:c r="I210" s="80" t="str">
        <x:v>No</x:v>
      </x:c>
      <x:c r="J210" s="80" t="str">
        <x:v>No</x:v>
      </x:c>
      <x:c r="K210" s="80" t="str">
        <x:v>Yes</x:v>
      </x:c>
      <x:c r="L210" s="82" t="n">
        <x:v>0.1</x:v>
      </x:c>
      <x:c r="M210" s="80" t="str">
        <x:v>COO</x:v>
      </x:c>
      <x:c r="N210" s="80" t="str">
        <x:f>IF(OR(I210="No",J210="No"),"Yes","No")</x:f>
        <x:v>Yes</x:v>
      </x:c>
      <x:c r="O210" s="80" t="str">
        <x:f>IF(COUNTIFS($C:$C,C210)&lt;5,"Yes","No")</x:f>
        <x:v>No</x:v>
      </x:c>
      <x:c r="P210" s="81" t="n">
        <x:f>IF(K210="Yes",H210*L210,0)</x:f>
        <x:v>1277</x:v>
      </x:c>
      <x:c r="Q210" s="80" t="str">
        <x:f>IF(N210="Yes","Maverick / non-preferred",IF(O210="Yes","Tail consolidation",IF(K210="Yes","Category sourcing","Non-addressable")))</x:f>
        <x:v>Maverick / non-preferred</x:v>
      </x:c>
      <x:c r="R210" s="83" t="str">
        <x:f>IF(P210&gt;=10000,"High",IF(P210&gt;=3000,"Medium","Low"))</x:f>
        <x:v>Low</x:v>
      </x:c>
    </x:row>
    <x:row r="211">
      <x:c r="A211" s="78" t="n">
        <x:v>207</x:v>
      </x:c>
      <x:c r="B211" s="79" t="n">
        <x:v>45900</x:v>
      </x:c>
      <x:c r="C211" s="80" t="str">
        <x:v>BrandNorth</x:v>
      </x:c>
      <x:c r="D211" s="80" t="str">
        <x:v>Professional Services</x:v>
      </x:c>
      <x:c r="E211" s="80" t="str">
        <x:v>Indirect</x:v>
      </x:c>
      <x:c r="F211" s="80" t="str">
        <x:v>Atlanta</x:v>
      </x:c>
      <x:c r="G211" s="80" t="str">
        <x:v>Distribution</x:v>
      </x:c>
      <x:c r="H211" s="81" t="n">
        <x:v>44070</x:v>
      </x:c>
      <x:c r="I211" s="80" t="str">
        <x:v>Yes</x:v>
      </x:c>
      <x:c r="J211" s="80" t="str">
        <x:v>No</x:v>
      </x:c>
      <x:c r="K211" s="80" t="str">
        <x:v>No</x:v>
      </x:c>
      <x:c r="L211" s="82" t="n">
        <x:v>0.09</x:v>
      </x:c>
      <x:c r="M211" s="80" t="str">
        <x:v>CFO</x:v>
      </x:c>
      <x:c r="N211" s="80" t="str">
        <x:f>IF(OR(I211="No",J211="No"),"Yes","No")</x:f>
        <x:v>Yes</x:v>
      </x:c>
      <x:c r="O211" s="80" t="str">
        <x:f>IF(COUNTIFS($C:$C,C211)&lt;5,"Yes","No")</x:f>
        <x:v>No</x:v>
      </x:c>
      <x:c r="P211" s="81" t="n">
        <x:f>IF(K211="Yes",H211*L211,0)</x:f>
        <x:v>0</x:v>
      </x:c>
      <x:c r="Q211" s="80" t="str">
        <x:f>IF(N211="Yes","Maverick / non-preferred",IF(O211="Yes","Tail consolidation",IF(K211="Yes","Category sourcing","Non-addressable")))</x:f>
        <x:v>Maverick / non-preferred</x:v>
      </x:c>
      <x:c r="R211" s="83" t="str">
        <x:f>IF(P211&gt;=10000,"High",IF(P211&gt;=3000,"Medium","Low"))</x:f>
        <x:v>Low</x:v>
      </x:c>
    </x:row>
    <x:row r="212">
      <x:c r="A212" s="78" t="n">
        <x:v>208</x:v>
      </x:c>
      <x:c r="B212" s="79" t="n">
        <x:v>45904</x:v>
      </x:c>
      <x:c r="C212" s="80" t="str">
        <x:v>PartsPlus</x:v>
      </x:c>
      <x:c r="D212" s="80" t="str">
        <x:v>MRO</x:v>
      </x:c>
      <x:c r="E212" s="80" t="str">
        <x:v>Direct</x:v>
      </x:c>
      <x:c r="F212" s="80" t="str">
        <x:v>Columbus</x:v>
      </x:c>
      <x:c r="G212" s="80" t="str">
        <x:v>Distribution</x:v>
      </x:c>
      <x:c r="H212" s="81" t="n">
        <x:v>10800</x:v>
      </x:c>
      <x:c r="I212" s="80" t="str">
        <x:v>Yes</x:v>
      </x:c>
      <x:c r="J212" s="80" t="str">
        <x:v>Yes</x:v>
      </x:c>
      <x:c r="K212" s="80" t="str">
        <x:v>No</x:v>
      </x:c>
      <x:c r="L212" s="82" t="n">
        <x:v>0.06</x:v>
      </x:c>
      <x:c r="M212" s="80" t="str">
        <x:v>COO</x:v>
      </x:c>
      <x:c r="N212" s="80" t="str">
        <x:f>IF(OR(I212="No",J212="No"),"Yes","No")</x:f>
        <x:v>No</x:v>
      </x:c>
      <x:c r="O212" s="80" t="str">
        <x:f>IF(COUNTIFS($C:$C,C212)&lt;5,"Yes","No")</x:f>
        <x:v>No</x:v>
      </x:c>
      <x:c r="P212" s="81" t="n">
        <x:f>IF(K212="Yes",H212*L212,0)</x:f>
        <x:v>0</x:v>
      </x:c>
      <x:c r="Q212" s="80" t="str">
        <x:f>IF(N212="Yes","Maverick / non-preferred",IF(O212="Yes","Tail consolidation",IF(K212="Yes","Category sourcing","Non-addressable")))</x:f>
        <x:v>Non-addressable</x:v>
      </x:c>
      <x:c r="R212" s="83" t="str">
        <x:f>IF(P212&gt;=10000,"High",IF(P212&gt;=3000,"Medium","Low"))</x:f>
        <x:v>Low</x:v>
      </x:c>
    </x:row>
    <x:row r="213">
      <x:c r="A213" s="78" t="n">
        <x:v>209</x:v>
      </x:c>
      <x:c r="B213" s="79" t="n">
        <x:v>45985</x:v>
      </x:c>
      <x:c r="C213" s="80" t="str">
        <x:v>PowerCare</x:v>
      </x:c>
      <x:c r="D213" s="80" t="str">
        <x:v>Facilities</x:v>
      </x:c>
      <x:c r="E213" s="80" t="str">
        <x:v>Indirect</x:v>
      </x:c>
      <x:c r="F213" s="80" t="str">
        <x:v>Columbus</x:v>
      </x:c>
      <x:c r="G213" s="80" t="str">
        <x:v>Corporate</x:v>
      </x:c>
      <x:c r="H213" s="81" t="n">
        <x:v>3140</x:v>
      </x:c>
      <x:c r="I213" s="80" t="str">
        <x:v>No</x:v>
      </x:c>
      <x:c r="J213" s="80" t="str">
        <x:v>No</x:v>
      </x:c>
      <x:c r="K213" s="80" t="str">
        <x:v>Yes</x:v>
      </x:c>
      <x:c r="L213" s="82" t="n">
        <x:v>0.1</x:v>
      </x:c>
      <x:c r="M213" s="80" t="str">
        <x:v>COO</x:v>
      </x:c>
      <x:c r="N213" s="80" t="str">
        <x:f>IF(OR(I213="No",J213="No"),"Yes","No")</x:f>
        <x:v>Yes</x:v>
      </x:c>
      <x:c r="O213" s="80" t="str">
        <x:f>IF(COUNTIFS($C:$C,C213)&lt;5,"Yes","No")</x:f>
        <x:v>No</x:v>
      </x:c>
      <x:c r="P213" s="81" t="n">
        <x:f>IF(K213="Yes",H213*L213,0)</x:f>
        <x:v>314</x:v>
      </x:c>
      <x:c r="Q213" s="80" t="str">
        <x:f>IF(N213="Yes","Maverick / non-preferred",IF(O213="Yes","Tail consolidation",IF(K213="Yes","Category sourcing","Non-addressable")))</x:f>
        <x:v>Maverick / non-preferred</x:v>
      </x:c>
      <x:c r="R213" s="83" t="str">
        <x:f>IF(P213&gt;=10000,"High",IF(P213&gt;=3000,"Medium","Low"))</x:f>
        <x:v>Low</x:v>
      </x:c>
    </x:row>
    <x:row r="214">
      <x:c r="A214" s="78" t="n">
        <x:v>210</x:v>
      </x:c>
      <x:c r="B214" s="79" t="n">
        <x:v>45990</x:v>
      </x:c>
      <x:c r="C214" s="80" t="str">
        <x:v>ConnectTel</x:v>
      </x:c>
      <x:c r="D214" s="80" t="str">
        <x:v>Telecom</x:v>
      </x:c>
      <x:c r="E214" s="80" t="str">
        <x:v>Indirect</x:v>
      </x:c>
      <x:c r="F214" s="80" t="str">
        <x:v>Dallas</x:v>
      </x:c>
      <x:c r="G214" s="80" t="str">
        <x:v>Distribution</x:v>
      </x:c>
      <x:c r="H214" s="81" t="n">
        <x:v>5880</x:v>
      </x:c>
      <x:c r="I214" s="80" t="str">
        <x:v>Yes</x:v>
      </x:c>
      <x:c r="J214" s="80" t="str">
        <x:v>Yes</x:v>
      </x:c>
      <x:c r="K214" s="80" t="str">
        <x:v>Yes</x:v>
      </x:c>
      <x:c r="L214" s="82" t="n">
        <x:v>0.15</x:v>
      </x:c>
      <x:c r="M214" s="80" t="str">
        <x:v>CIO</x:v>
      </x:c>
      <x:c r="N214" s="80" t="str">
        <x:f>IF(OR(I214="No",J214="No"),"Yes","No")</x:f>
        <x:v>No</x:v>
      </x:c>
      <x:c r="O214" s="80" t="str">
        <x:f>IF(COUNTIFS($C:$C,C214)&lt;5,"Yes","No")</x:f>
        <x:v>No</x:v>
      </x:c>
      <x:c r="P214" s="81" t="n">
        <x:f>IF(K214="Yes",H214*L214,0)</x:f>
        <x:v>882</x:v>
      </x:c>
      <x:c r="Q214" s="80" t="str">
        <x:f>IF(N214="Yes","Maverick / non-preferred",IF(O214="Yes","Tail consolidation",IF(K214="Yes","Category sourcing","Non-addressable")))</x:f>
        <x:v>Category sourcing</x:v>
      </x:c>
      <x:c r="R214" s="83" t="str">
        <x:f>IF(P214&gt;=10000,"High",IF(P214&gt;=3000,"Medium","Low"))</x:f>
        <x:v>Low</x:v>
      </x:c>
    </x:row>
    <x:row r="215">
      <x:c r="A215" s="78" t="n">
        <x:v>211</x:v>
      </x:c>
      <x:c r="B215" s="79" t="n">
        <x:v>45776</x:v>
      </x:c>
      <x:c r="C215" s="80" t="str">
        <x:v>Prime Components</x:v>
      </x:c>
      <x:c r="D215" s="80" t="str">
        <x:v>Raw Materials</x:v>
      </x:c>
      <x:c r="E215" s="80" t="str">
        <x:v>Direct</x:v>
      </x:c>
      <x:c r="F215" s="80" t="str">
        <x:v>Phoenix</x:v>
      </x:c>
      <x:c r="G215" s="80" t="str">
        <x:v>Distribution</x:v>
      </x:c>
      <x:c r="H215" s="81" t="n">
        <x:v>32470</x:v>
      </x:c>
      <x:c r="I215" s="80" t="str">
        <x:v>No</x:v>
      </x:c>
      <x:c r="J215" s="80" t="str">
        <x:v>No</x:v>
      </x:c>
      <x:c r="K215" s="80" t="str">
        <x:v>Yes</x:v>
      </x:c>
      <x:c r="L215" s="82" t="n">
        <x:v>0.05</x:v>
      </x:c>
      <x:c r="M215" s="80" t="str">
        <x:v>COO</x:v>
      </x:c>
      <x:c r="N215" s="80" t="str">
        <x:f>IF(OR(I215="No",J215="No"),"Yes","No")</x:f>
        <x:v>Yes</x:v>
      </x:c>
      <x:c r="O215" s="80" t="str">
        <x:f>IF(COUNTIFS($C:$C,C215)&lt;5,"Yes","No")</x:f>
        <x:v>No</x:v>
      </x:c>
      <x:c r="P215" s="81" t="n">
        <x:f>IF(K215="Yes",H215*L215,0)</x:f>
        <x:v>1623.5</x:v>
      </x:c>
      <x:c r="Q215" s="80" t="str">
        <x:f>IF(N215="Yes","Maverick / non-preferred",IF(O215="Yes","Tail consolidation",IF(K215="Yes","Category sourcing","Non-addressable")))</x:f>
        <x:v>Maverick / non-preferred</x:v>
      </x:c>
      <x:c r="R215" s="83" t="str">
        <x:f>IF(P215&gt;=10000,"High",IF(P215&gt;=3000,"Medium","Low"))</x:f>
        <x:v>Low</x:v>
      </x:c>
    </x:row>
    <x:row r="216">
      <x:c r="A216" s="78" t="n">
        <x:v>212</x:v>
      </x:c>
      <x:c r="B216" s="79" t="n">
        <x:v>45859</x:v>
      </x:c>
      <x:c r="C216" s="80" t="str">
        <x:v>ConnectTel</x:v>
      </x:c>
      <x:c r="D216" s="80" t="str">
        <x:v>Telecom</x:v>
      </x:c>
      <x:c r="E216" s="80" t="str">
        <x:v>Indirect</x:v>
      </x:c>
      <x:c r="F216" s="80" t="str">
        <x:v>Phoenix</x:v>
      </x:c>
      <x:c r="G216" s="80" t="str">
        <x:v>Manufacturing</x:v>
      </x:c>
      <x:c r="H216" s="81" t="n">
        <x:v>7050</x:v>
      </x:c>
      <x:c r="I216" s="80" t="str">
        <x:v>Yes</x:v>
      </x:c>
      <x:c r="J216" s="80" t="str">
        <x:v>Yes</x:v>
      </x:c>
      <x:c r="K216" s="80" t="str">
        <x:v>Yes</x:v>
      </x:c>
      <x:c r="L216" s="82" t="n">
        <x:v>0.15</x:v>
      </x:c>
      <x:c r="M216" s="80" t="str">
        <x:v>CIO</x:v>
      </x:c>
      <x:c r="N216" s="80" t="str">
        <x:f>IF(OR(I216="No",J216="No"),"Yes","No")</x:f>
        <x:v>No</x:v>
      </x:c>
      <x:c r="O216" s="80" t="str">
        <x:f>IF(COUNTIFS($C:$C,C216)&lt;5,"Yes","No")</x:f>
        <x:v>No</x:v>
      </x:c>
      <x:c r="P216" s="81" t="n">
        <x:f>IF(K216="Yes",H216*L216,0)</x:f>
        <x:v>1057.5</x:v>
      </x:c>
      <x:c r="Q216" s="80" t="str">
        <x:f>IF(N216="Yes","Maverick / non-preferred",IF(O216="Yes","Tail consolidation",IF(K216="Yes","Category sourcing","Non-addressable")))</x:f>
        <x:v>Category sourcing</x:v>
      </x:c>
      <x:c r="R216" s="83" t="str">
        <x:f>IF(P216&gt;=10000,"High",IF(P216&gt;=3000,"Medium","Low"))</x:f>
        <x:v>Low</x:v>
      </x:c>
    </x:row>
    <x:row r="217">
      <x:c r="A217" s="78" t="n">
        <x:v>213</x:v>
      </x:c>
      <x:c r="B217" s="79" t="n">
        <x:v>45773</x:v>
      </x:c>
      <x:c r="C217" s="80" t="str">
        <x:v>MobileWorks</x:v>
      </x:c>
      <x:c r="D217" s="80" t="str">
        <x:v>Telecom</x:v>
      </x:c>
      <x:c r="E217" s="80" t="str">
        <x:v>Indirect</x:v>
      </x:c>
      <x:c r="F217" s="80" t="str">
        <x:v>Atlanta</x:v>
      </x:c>
      <x:c r="G217" s="80" t="str">
        <x:v>Manufacturing</x:v>
      </x:c>
      <x:c r="H217" s="81" t="n">
        <x:v>7920</x:v>
      </x:c>
      <x:c r="I217" s="80" t="str">
        <x:v>Yes</x:v>
      </x:c>
      <x:c r="J217" s="80" t="str">
        <x:v>No</x:v>
      </x:c>
      <x:c r="K217" s="80" t="str">
        <x:v>Yes</x:v>
      </x:c>
      <x:c r="L217" s="82" t="n">
        <x:v>0.15</x:v>
      </x:c>
      <x:c r="M217" s="80" t="str">
        <x:v>CIO</x:v>
      </x:c>
      <x:c r="N217" s="80" t="str">
        <x:f>IF(OR(I217="No",J217="No"),"Yes","No")</x:f>
        <x:v>Yes</x:v>
      </x:c>
      <x:c r="O217" s="80" t="str">
        <x:f>IF(COUNTIFS($C:$C,C217)&lt;5,"Yes","No")</x:f>
        <x:v>No</x:v>
      </x:c>
      <x:c r="P217" s="81" t="n">
        <x:f>IF(K217="Yes",H217*L217,0)</x:f>
        <x:v>1188</x:v>
      </x:c>
      <x:c r="Q217" s="80" t="str">
        <x:f>IF(N217="Yes","Maverick / non-preferred",IF(O217="Yes","Tail consolidation",IF(K217="Yes","Category sourcing","Non-addressable")))</x:f>
        <x:v>Maverick / non-preferred</x:v>
      </x:c>
      <x:c r="R217" s="83" t="str">
        <x:f>IF(P217&gt;=10000,"High",IF(P217&gt;=3000,"Medium","Low"))</x:f>
        <x:v>Low</x:v>
      </x:c>
    </x:row>
    <x:row r="218">
      <x:c r="A218" s="78" t="n">
        <x:v>214</x:v>
      </x:c>
      <x:c r="B218" s="79" t="n">
        <x:v>45788</x:v>
      </x:c>
      <x:c r="C218" s="80" t="str">
        <x:v>SecureID</x:v>
      </x:c>
      <x:c r="D218" s="80" t="str">
        <x:v>IT Software</x:v>
      </x:c>
      <x:c r="E218" s="80" t="str">
        <x:v>Indirect</x:v>
      </x:c>
      <x:c r="F218" s="80" t="str">
        <x:v>Columbus</x:v>
      </x:c>
      <x:c r="G218" s="80" t="str">
        <x:v>Distribution</x:v>
      </x:c>
      <x:c r="H218" s="81" t="n">
        <x:v>11580</x:v>
      </x:c>
      <x:c r="I218" s="80" t="str">
        <x:v>Yes</x:v>
      </x:c>
      <x:c r="J218" s="80" t="str">
        <x:v>Yes</x:v>
      </x:c>
      <x:c r="K218" s="80" t="str">
        <x:v>Yes</x:v>
      </x:c>
      <x:c r="L218" s="82" t="n">
        <x:v>0.12</x:v>
      </x:c>
      <x:c r="M218" s="80" t="str">
        <x:v>CIO</x:v>
      </x:c>
      <x:c r="N218" s="80" t="str">
        <x:f>IF(OR(I218="No",J218="No"),"Yes","No")</x:f>
        <x:v>No</x:v>
      </x:c>
      <x:c r="O218" s="80" t="str">
        <x:f>IF(COUNTIFS($C:$C,C218)&lt;5,"Yes","No")</x:f>
        <x:v>No</x:v>
      </x:c>
      <x:c r="P218" s="81" t="n">
        <x:f>IF(K218="Yes",H218*L218,0)</x:f>
        <x:v>1389.6</x:v>
      </x:c>
      <x:c r="Q218" s="80" t="str">
        <x:f>IF(N218="Yes","Maverick / non-preferred",IF(O218="Yes","Tail consolidation",IF(K218="Yes","Category sourcing","Non-addressable")))</x:f>
        <x:v>Category sourcing</x:v>
      </x:c>
      <x:c r="R218" s="83" t="str">
        <x:f>IF(P218&gt;=10000,"High",IF(P218&gt;=3000,"Medium","Low"))</x:f>
        <x:v>Low</x:v>
      </x:c>
    </x:row>
    <x:row r="219">
      <x:c r="A219" s="78" t="n">
        <x:v>215</x:v>
      </x:c>
      <x:c r="B219" s="79" t="n">
        <x:v>45836</x:v>
      </x:c>
      <x:c r="C219" s="80" t="str">
        <x:v>Workplace Mart</x:v>
      </x:c>
      <x:c r="D219" s="80" t="str">
        <x:v>Office Supplies</x:v>
      </x:c>
      <x:c r="E219" s="80" t="str">
        <x:v>Indirect</x:v>
      </x:c>
      <x:c r="F219" s="80" t="str">
        <x:v>Chicago</x:v>
      </x:c>
      <x:c r="G219" s="80" t="str">
        <x:v>Corporate</x:v>
      </x:c>
      <x:c r="H219" s="81" t="n">
        <x:v>5820</x:v>
      </x:c>
      <x:c r="I219" s="80" t="str">
        <x:v>Yes</x:v>
      </x:c>
      <x:c r="J219" s="80" t="str">
        <x:v>No</x:v>
      </x:c>
      <x:c r="K219" s="80" t="str">
        <x:v>Yes</x:v>
      </x:c>
      <x:c r="L219" s="82" t="n">
        <x:v>0.18</x:v>
      </x:c>
      <x:c r="M219" s="80" t="str">
        <x:v>CFO</x:v>
      </x:c>
      <x:c r="N219" s="80" t="str">
        <x:f>IF(OR(I219="No",J219="No"),"Yes","No")</x:f>
        <x:v>Yes</x:v>
      </x:c>
      <x:c r="O219" s="80" t="str">
        <x:f>IF(COUNTIFS($C:$C,C219)&lt;5,"Yes","No")</x:f>
        <x:v>No</x:v>
      </x:c>
      <x:c r="P219" s="81" t="n">
        <x:f>IF(K219="Yes",H219*L219,0)</x:f>
        <x:v>1047.6</x:v>
      </x:c>
      <x:c r="Q219" s="80" t="str">
        <x:f>IF(N219="Yes","Maverick / non-preferred",IF(O219="Yes","Tail consolidation",IF(K219="Yes","Category sourcing","Non-addressable")))</x:f>
        <x:v>Maverick / non-preferred</x:v>
      </x:c>
      <x:c r="R219" s="83" t="str">
        <x:f>IF(P219&gt;=10000,"High",IF(P219&gt;=3000,"Medium","Low"))</x:f>
        <x:v>Low</x:v>
      </x:c>
    </x:row>
    <x:row r="220">
      <x:c r="A220" s="78" t="n">
        <x:v>216</x:v>
      </x:c>
      <x:c r="B220" s="79" t="n">
        <x:v>45755</x:v>
      </x:c>
      <x:c r="C220" s="80" t="str">
        <x:v>CloudSuite</x:v>
      </x:c>
      <x:c r="D220" s="80" t="str">
        <x:v>IT Software</x:v>
      </x:c>
      <x:c r="E220" s="80" t="str">
        <x:v>Indirect</x:v>
      </x:c>
      <x:c r="F220" s="80" t="str">
        <x:v>Dallas</x:v>
      </x:c>
      <x:c r="G220" s="80" t="str">
        <x:v>Manufacturing</x:v>
      </x:c>
      <x:c r="H220" s="81" t="n">
        <x:v>7420</x:v>
      </x:c>
      <x:c r="I220" s="80" t="str">
        <x:v>Yes</x:v>
      </x:c>
      <x:c r="J220" s="80" t="str">
        <x:v>Yes</x:v>
      </x:c>
      <x:c r="K220" s="80" t="str">
        <x:v>Yes</x:v>
      </x:c>
      <x:c r="L220" s="82" t="n">
        <x:v>0.12</x:v>
      </x:c>
      <x:c r="M220" s="80" t="str">
        <x:v>CIO</x:v>
      </x:c>
      <x:c r="N220" s="80" t="str">
        <x:f>IF(OR(I220="No",J220="No"),"Yes","No")</x:f>
        <x:v>No</x:v>
      </x:c>
      <x:c r="O220" s="80" t="str">
        <x:f>IF(COUNTIFS($C:$C,C220)&lt;5,"Yes","No")</x:f>
        <x:v>No</x:v>
      </x:c>
      <x:c r="P220" s="81" t="n">
        <x:f>IF(K220="Yes",H220*L220,0)</x:f>
        <x:v>890.4</x:v>
      </x:c>
      <x:c r="Q220" s="80" t="str">
        <x:f>IF(N220="Yes","Maverick / non-preferred",IF(O220="Yes","Tail consolidation",IF(K220="Yes","Category sourcing","Non-addressable")))</x:f>
        <x:v>Category sourcing</x:v>
      </x:c>
      <x:c r="R220" s="83" t="str">
        <x:f>IF(P220&gt;=10000,"High",IF(P220&gt;=3000,"Medium","Low"))</x:f>
        <x:v>Low</x:v>
      </x:c>
    </x:row>
    <x:row r="221">
      <x:c r="A221" s="78" t="n">
        <x:v>217</x:v>
      </x:c>
      <x:c r="B221" s="79" t="n">
        <x:v>45665</x:v>
      </x:c>
      <x:c r="C221" s="80" t="str">
        <x:v>MaintainCo</x:v>
      </x:c>
      <x:c r="D221" s="80" t="str">
        <x:v>MRO</x:v>
      </x:c>
      <x:c r="E221" s="80" t="str">
        <x:v>Direct</x:v>
      </x:c>
      <x:c r="F221" s="80" t="str">
        <x:v>Chicago</x:v>
      </x:c>
      <x:c r="G221" s="80" t="str">
        <x:v>Distribution</x:v>
      </x:c>
      <x:c r="H221" s="81" t="n">
        <x:v>8710</x:v>
      </x:c>
      <x:c r="I221" s="80" t="str">
        <x:v>Yes</x:v>
      </x:c>
      <x:c r="J221" s="80" t="str">
        <x:v>No</x:v>
      </x:c>
      <x:c r="K221" s="80" t="str">
        <x:v>No</x:v>
      </x:c>
      <x:c r="L221" s="82" t="n">
        <x:v>0.06</x:v>
      </x:c>
      <x:c r="M221" s="80" t="str">
        <x:v>COO</x:v>
      </x:c>
      <x:c r="N221" s="80" t="str">
        <x:f>IF(OR(I221="No",J221="No"),"Yes","No")</x:f>
        <x:v>Yes</x:v>
      </x:c>
      <x:c r="O221" s="80" t="str">
        <x:f>IF(COUNTIFS($C:$C,C221)&lt;5,"Yes","No")</x:f>
        <x:v>No</x:v>
      </x:c>
      <x:c r="P221" s="81" t="n">
        <x:f>IF(K221="Yes",H221*L221,0)</x:f>
        <x:v>0</x:v>
      </x:c>
      <x:c r="Q221" s="80" t="str">
        <x:f>IF(N221="Yes","Maverick / non-preferred",IF(O221="Yes","Tail consolidation",IF(K221="Yes","Category sourcing","Non-addressable")))</x:f>
        <x:v>Maverick / non-preferred</x:v>
      </x:c>
      <x:c r="R221" s="83" t="str">
        <x:f>IF(P221&gt;=10000,"High",IF(P221&gt;=3000,"Medium","Low"))</x:f>
        <x:v>Low</x:v>
      </x:c>
    </x:row>
    <x:row r="222">
      <x:c r="A222" s="78" t="n">
        <x:v>218</x:v>
      </x:c>
      <x:c r="B222" s="79" t="n">
        <x:v>45659</x:v>
      </x:c>
      <x:c r="C222" s="80" t="str">
        <x:v>United Materials</x:v>
      </x:c>
      <x:c r="D222" s="80" t="str">
        <x:v>Raw Materials</x:v>
      </x:c>
      <x:c r="E222" s="80" t="str">
        <x:v>Direct</x:v>
      </x:c>
      <x:c r="F222" s="80" t="str">
        <x:v>Atlanta</x:v>
      </x:c>
      <x:c r="G222" s="80" t="str">
        <x:v>Field Operations</x:v>
      </x:c>
      <x:c r="H222" s="81" t="n">
        <x:v>11260</x:v>
      </x:c>
      <x:c r="I222" s="80" t="str">
        <x:v>Yes</x:v>
      </x:c>
      <x:c r="J222" s="80" t="str">
        <x:v>No</x:v>
      </x:c>
      <x:c r="K222" s="80" t="str">
        <x:v>Yes</x:v>
      </x:c>
      <x:c r="L222" s="82" t="n">
        <x:v>0.05</x:v>
      </x:c>
      <x:c r="M222" s="80" t="str">
        <x:v>COO</x:v>
      </x:c>
      <x:c r="N222" s="80" t="str">
        <x:f>IF(OR(I222="No",J222="No"),"Yes","No")</x:f>
        <x:v>Yes</x:v>
      </x:c>
      <x:c r="O222" s="80" t="str">
        <x:f>IF(COUNTIFS($C:$C,C222)&lt;5,"Yes","No")</x:f>
        <x:v>Yes</x:v>
      </x:c>
      <x:c r="P222" s="81" t="n">
        <x:f>IF(K222="Yes",H222*L222,0)</x:f>
        <x:v>563</x:v>
      </x:c>
      <x:c r="Q222" s="80" t="str">
        <x:f>IF(N222="Yes","Maverick / non-preferred",IF(O222="Yes","Tail consolidation",IF(K222="Yes","Category sourcing","Non-addressable")))</x:f>
        <x:v>Maverick / non-preferred</x:v>
      </x:c>
      <x:c r="R222" s="83" t="str">
        <x:f>IF(P222&gt;=10000,"High",IF(P222&gt;=3000,"Medium","Low"))</x:f>
        <x:v>Low</x:v>
      </x:c>
    </x:row>
    <x:row r="223">
      <x:c r="A223" s="78" t="n">
        <x:v>219</x:v>
      </x:c>
      <x:c r="B223" s="79" t="n">
        <x:v>45807</x:v>
      </x:c>
      <x:c r="C223" s="80" t="str">
        <x:v>BoxWorks</x:v>
      </x:c>
      <x:c r="D223" s="80" t="str">
        <x:v>Packaging</x:v>
      </x:c>
      <x:c r="E223" s="80" t="str">
        <x:v>Direct</x:v>
      </x:c>
      <x:c r="F223" s="80" t="str">
        <x:v>Dallas</x:v>
      </x:c>
      <x:c r="G223" s="80" t="str">
        <x:v>Corporate</x:v>
      </x:c>
      <x:c r="H223" s="81" t="n">
        <x:v>14090</x:v>
      </x:c>
      <x:c r="I223" s="80" t="str">
        <x:v>Yes</x:v>
      </x:c>
      <x:c r="J223" s="80" t="str">
        <x:v>Yes</x:v>
      </x:c>
      <x:c r="K223" s="80" t="str">
        <x:v>Yes</x:v>
      </x:c>
      <x:c r="L223" s="82" t="n">
        <x:v>0.06</x:v>
      </x:c>
      <x:c r="M223" s="80" t="str">
        <x:v>COO</x:v>
      </x:c>
      <x:c r="N223" s="80" t="str">
        <x:f>IF(OR(I223="No",J223="No"),"Yes","No")</x:f>
        <x:v>No</x:v>
      </x:c>
      <x:c r="O223" s="80" t="str">
        <x:f>IF(COUNTIFS($C:$C,C223)&lt;5,"Yes","No")</x:f>
        <x:v>No</x:v>
      </x:c>
      <x:c r="P223" s="81" t="n">
        <x:f>IF(K223="Yes",H223*L223,0)</x:f>
        <x:v>845.4</x:v>
      </x:c>
      <x:c r="Q223" s="80" t="str">
        <x:f>IF(N223="Yes","Maverick / non-preferred",IF(O223="Yes","Tail consolidation",IF(K223="Yes","Category sourcing","Non-addressable")))</x:f>
        <x:v>Category sourcing</x:v>
      </x:c>
      <x:c r="R223" s="83" t="str">
        <x:f>IF(P223&gt;=10000,"High",IF(P223&gt;=3000,"Medium","Low"))</x:f>
        <x:v>Low</x:v>
      </x:c>
    </x:row>
    <x:row r="224">
      <x:c r="A224" s="78" t="n">
        <x:v>220</x:v>
      </x:c>
      <x:c r="B224" s="79" t="n">
        <x:v>45724</x:v>
      </x:c>
      <x:c r="C224" s="80" t="str">
        <x:v>Summit Polymers</x:v>
      </x:c>
      <x:c r="D224" s="80" t="str">
        <x:v>Raw Materials</x:v>
      </x:c>
      <x:c r="E224" s="80" t="str">
        <x:v>Direct</x:v>
      </x:c>
      <x:c r="F224" s="80" t="str">
        <x:v>Dallas</x:v>
      </x:c>
      <x:c r="G224" s="80" t="str">
        <x:v>Field Operations</x:v>
      </x:c>
      <x:c r="H224" s="81" t="n">
        <x:v>10650</x:v>
      </x:c>
      <x:c r="I224" s="80" t="str">
        <x:v>Yes</x:v>
      </x:c>
      <x:c r="J224" s="80" t="str">
        <x:v>Yes</x:v>
      </x:c>
      <x:c r="K224" s="80" t="str">
        <x:v>No</x:v>
      </x:c>
      <x:c r="L224" s="82" t="n">
        <x:v>0.05</x:v>
      </x:c>
      <x:c r="M224" s="80" t="str">
        <x:v>COO</x:v>
      </x:c>
      <x:c r="N224" s="80" t="str">
        <x:f>IF(OR(I224="No",J224="No"),"Yes","No")</x:f>
        <x:v>No</x:v>
      </x:c>
      <x:c r="O224" s="80" t="str">
        <x:f>IF(COUNTIFS($C:$C,C224)&lt;5,"Yes","No")</x:f>
        <x:v>No</x:v>
      </x:c>
      <x:c r="P224" s="81" t="n">
        <x:f>IF(K224="Yes",H224*L224,0)</x:f>
        <x:v>0</x:v>
      </x:c>
      <x:c r="Q224" s="80" t="str">
        <x:f>IF(N224="Yes","Maverick / non-preferred",IF(O224="Yes","Tail consolidation",IF(K224="Yes","Category sourcing","Non-addressable")))</x:f>
        <x:v>Non-addressable</x:v>
      </x:c>
      <x:c r="R224" s="83" t="str">
        <x:f>IF(P224&gt;=10000,"High",IF(P224&gt;=3000,"Medium","Low"))</x:f>
        <x:v>Low</x:v>
      </x:c>
    </x:row>
    <x:row r="225">
      <x:c r="A225" s="78" t="n">
        <x:v>221</x:v>
      </x:c>
      <x:c r="B225" s="79" t="n">
        <x:v>45744</x:v>
      </x:c>
      <x:c r="C225" s="80" t="str">
        <x:v>WorkforceOne</x:v>
      </x:c>
      <x:c r="D225" s="80" t="str">
        <x:v>Temp Labor</x:v>
      </x:c>
      <x:c r="E225" s="80" t="str">
        <x:v>Indirect</x:v>
      </x:c>
      <x:c r="F225" s="80" t="str">
        <x:v>Atlanta</x:v>
      </x:c>
      <x:c r="G225" s="80" t="str">
        <x:v>Manufacturing</x:v>
      </x:c>
      <x:c r="H225" s="81" t="n">
        <x:v>41550</x:v>
      </x:c>
      <x:c r="I225" s="80" t="str">
        <x:v>No</x:v>
      </x:c>
      <x:c r="J225" s="80" t="str">
        <x:v>No</x:v>
      </x:c>
      <x:c r="K225" s="80" t="str">
        <x:v>No</x:v>
      </x:c>
      <x:c r="L225" s="82" t="n">
        <x:v>0.07</x:v>
      </x:c>
      <x:c r="M225" s="80" t="str">
        <x:v>CHRO</x:v>
      </x:c>
      <x:c r="N225" s="80" t="str">
        <x:f>IF(OR(I225="No",J225="No"),"Yes","No")</x:f>
        <x:v>Yes</x:v>
      </x:c>
      <x:c r="O225" s="80" t="str">
        <x:f>IF(COUNTIFS($C:$C,C225)&lt;5,"Yes","No")</x:f>
        <x:v>No</x:v>
      </x:c>
      <x:c r="P225" s="81" t="n">
        <x:f>IF(K225="Yes",H225*L225,0)</x:f>
        <x:v>0</x:v>
      </x:c>
      <x:c r="Q225" s="80" t="str">
        <x:f>IF(N225="Yes","Maverick / non-preferred",IF(O225="Yes","Tail consolidation",IF(K225="Yes","Category sourcing","Non-addressable")))</x:f>
        <x:v>Maverick / non-preferred</x:v>
      </x:c>
      <x:c r="R225" s="83" t="str">
        <x:f>IF(P225&gt;=10000,"High",IF(P225&gt;=3000,"Medium","Low"))</x:f>
        <x:v>Low</x:v>
      </x:c>
    </x:row>
    <x:row r="226">
      <x:c r="A226" s="78" t="n">
        <x:v>222</x:v>
      </x:c>
      <x:c r="B226" s="79" t="n">
        <x:v>45719</x:v>
      </x:c>
      <x:c r="C226" s="80" t="str">
        <x:v>WorkforceOne</x:v>
      </x:c>
      <x:c r="D226" s="80" t="str">
        <x:v>Temp Labor</x:v>
      </x:c>
      <x:c r="E226" s="80" t="str">
        <x:v>Indirect</x:v>
      </x:c>
      <x:c r="F226" s="80" t="str">
        <x:v>Chicago</x:v>
      </x:c>
      <x:c r="G226" s="80" t="str">
        <x:v>Field Operations</x:v>
      </x:c>
      <x:c r="H226" s="81" t="n">
        <x:v>22630</x:v>
      </x:c>
      <x:c r="I226" s="80" t="str">
        <x:v>No</x:v>
      </x:c>
      <x:c r="J226" s="80" t="str">
        <x:v>No</x:v>
      </x:c>
      <x:c r="K226" s="80" t="str">
        <x:v>No</x:v>
      </x:c>
      <x:c r="L226" s="82" t="n">
        <x:v>0.07</x:v>
      </x:c>
      <x:c r="M226" s="80" t="str">
        <x:v>CHRO</x:v>
      </x:c>
      <x:c r="N226" s="80" t="str">
        <x:f>IF(OR(I226="No",J226="No"),"Yes","No")</x:f>
        <x:v>Yes</x:v>
      </x:c>
      <x:c r="O226" s="80" t="str">
        <x:f>IF(COUNTIFS($C:$C,C226)&lt;5,"Yes","No")</x:f>
        <x:v>No</x:v>
      </x:c>
      <x:c r="P226" s="81" t="n">
        <x:f>IF(K226="Yes",H226*L226,0)</x:f>
        <x:v>0</x:v>
      </x:c>
      <x:c r="Q226" s="80" t="str">
        <x:f>IF(N226="Yes","Maverick / non-preferred",IF(O226="Yes","Tail consolidation",IF(K226="Yes","Category sourcing","Non-addressable")))</x:f>
        <x:v>Maverick / non-preferred</x:v>
      </x:c>
      <x:c r="R226" s="83" t="str">
        <x:f>IF(P226&gt;=10000,"High",IF(P226&gt;=3000,"Medium","Low"))</x:f>
        <x:v>Low</x:v>
      </x:c>
    </x:row>
    <x:row r="227">
      <x:c r="A227" s="78" t="n">
        <x:v>223</x:v>
      </x:c>
      <x:c r="B227" s="79" t="n">
        <x:v>45956</x:v>
      </x:c>
      <x:c r="C227" s="80" t="str">
        <x:v>MaintainCo</x:v>
      </x:c>
      <x:c r="D227" s="80" t="str">
        <x:v>MRO</x:v>
      </x:c>
      <x:c r="E227" s="80" t="str">
        <x:v>Direct</x:v>
      </x:c>
      <x:c r="F227" s="80" t="str">
        <x:v>Columbus</x:v>
      </x:c>
      <x:c r="G227" s="80" t="str">
        <x:v>Distribution</x:v>
      </x:c>
      <x:c r="H227" s="81" t="n">
        <x:v>1730</x:v>
      </x:c>
      <x:c r="I227" s="80" t="str">
        <x:v>Yes</x:v>
      </x:c>
      <x:c r="J227" s="80" t="str">
        <x:v>No</x:v>
      </x:c>
      <x:c r="K227" s="80" t="str">
        <x:v>No</x:v>
      </x:c>
      <x:c r="L227" s="82" t="n">
        <x:v>0.06</x:v>
      </x:c>
      <x:c r="M227" s="80" t="str">
        <x:v>COO</x:v>
      </x:c>
      <x:c r="N227" s="80" t="str">
        <x:f>IF(OR(I227="No",J227="No"),"Yes","No")</x:f>
        <x:v>Yes</x:v>
      </x:c>
      <x:c r="O227" s="80" t="str">
        <x:f>IF(COUNTIFS($C:$C,C227)&lt;5,"Yes","No")</x:f>
        <x:v>No</x:v>
      </x:c>
      <x:c r="P227" s="81" t="n">
        <x:f>IF(K227="Yes",H227*L227,0)</x:f>
        <x:v>0</x:v>
      </x:c>
      <x:c r="Q227" s="80" t="str">
        <x:f>IF(N227="Yes","Maverick / non-preferred",IF(O227="Yes","Tail consolidation",IF(K227="Yes","Category sourcing","Non-addressable")))</x:f>
        <x:v>Maverick / non-preferred</x:v>
      </x:c>
      <x:c r="R227" s="83" t="str">
        <x:f>IF(P227&gt;=10000,"High",IF(P227&gt;=3000,"Medium","Low"))</x:f>
        <x:v>Low</x:v>
      </x:c>
    </x:row>
    <x:row r="228">
      <x:c r="A228" s="78" t="n">
        <x:v>224</x:v>
      </x:c>
      <x:c r="B228" s="79" t="n">
        <x:v>45699</x:v>
      </x:c>
      <x:c r="C228" s="80" t="str">
        <x:v>OfficeCloud</x:v>
      </x:c>
      <x:c r="D228" s="80" t="str">
        <x:v>IT Software</x:v>
      </x:c>
      <x:c r="E228" s="80" t="str">
        <x:v>Indirect</x:v>
      </x:c>
      <x:c r="F228" s="80" t="str">
        <x:v>Atlanta</x:v>
      </x:c>
      <x:c r="G228" s="80" t="str">
        <x:v>Distribution</x:v>
      </x:c>
      <x:c r="H228" s="81" t="n">
        <x:v>10870</x:v>
      </x:c>
      <x:c r="I228" s="80" t="str">
        <x:v>No</x:v>
      </x:c>
      <x:c r="J228" s="80" t="str">
        <x:v>No</x:v>
      </x:c>
      <x:c r="K228" s="80" t="str">
        <x:v>Yes</x:v>
      </x:c>
      <x:c r="L228" s="82" t="n">
        <x:v>0.12</x:v>
      </x:c>
      <x:c r="M228" s="80" t="str">
        <x:v>CIO</x:v>
      </x:c>
      <x:c r="N228" s="80" t="str">
        <x:f>IF(OR(I228="No",J228="No"),"Yes","No")</x:f>
        <x:v>Yes</x:v>
      </x:c>
      <x:c r="O228" s="80" t="str">
        <x:f>IF(COUNTIFS($C:$C,C228)&lt;5,"Yes","No")</x:f>
        <x:v>No</x:v>
      </x:c>
      <x:c r="P228" s="81" t="n">
        <x:f>IF(K228="Yes",H228*L228,0)</x:f>
        <x:v>1304.3999999999999</x:v>
      </x:c>
      <x:c r="Q228" s="80" t="str">
        <x:f>IF(N228="Yes","Maverick / non-preferred",IF(O228="Yes","Tail consolidation",IF(K228="Yes","Category sourcing","Non-addressable")))</x:f>
        <x:v>Maverick / non-preferred</x:v>
      </x:c>
      <x:c r="R228" s="83" t="str">
        <x:f>IF(P228&gt;=10000,"High",IF(P228&gt;=3000,"Medium","Low"))</x:f>
        <x:v>Low</x:v>
      </x:c>
    </x:row>
    <x:row r="229">
      <x:c r="A229" s="78" t="n">
        <x:v>225</x:v>
      </x:c>
      <x:c r="B229" s="79" t="n">
        <x:v>45735</x:v>
      </x:c>
      <x:c r="C229" s="80" t="str">
        <x:v>National Packaging</x:v>
      </x:c>
      <x:c r="D229" s="80" t="str">
        <x:v>Packaging</x:v>
      </x:c>
      <x:c r="E229" s="80" t="str">
        <x:v>Direct</x:v>
      </x:c>
      <x:c r="F229" s="80" t="str">
        <x:v>Dallas</x:v>
      </x:c>
      <x:c r="G229" s="80" t="str">
        <x:v>Corporate</x:v>
      </x:c>
      <x:c r="H229" s="81" t="n">
        <x:v>12670</x:v>
      </x:c>
      <x:c r="I229" s="80" t="str">
        <x:v>No</x:v>
      </x:c>
      <x:c r="J229" s="80" t="str">
        <x:v>No</x:v>
      </x:c>
      <x:c r="K229" s="80" t="str">
        <x:v>Yes</x:v>
      </x:c>
      <x:c r="L229" s="82" t="n">
        <x:v>0.06</x:v>
      </x:c>
      <x:c r="M229" s="80" t="str">
        <x:v>COO</x:v>
      </x:c>
      <x:c r="N229" s="80" t="str">
        <x:f>IF(OR(I229="No",J229="No"),"Yes","No")</x:f>
        <x:v>Yes</x:v>
      </x:c>
      <x:c r="O229" s="80" t="str">
        <x:f>IF(COUNTIFS($C:$C,C229)&lt;5,"Yes","No")</x:f>
        <x:v>Yes</x:v>
      </x:c>
      <x:c r="P229" s="81" t="n">
        <x:f>IF(K229="Yes",H229*L229,0)</x:f>
        <x:v>760.1999999999999</x:v>
      </x:c>
      <x:c r="Q229" s="80" t="str">
        <x:f>IF(N229="Yes","Maverick / non-preferred",IF(O229="Yes","Tail consolidation",IF(K229="Yes","Category sourcing","Non-addressable")))</x:f>
        <x:v>Maverick / non-preferred</x:v>
      </x:c>
      <x:c r="R229" s="83" t="str">
        <x:f>IF(P229&gt;=10000,"High",IF(P229&gt;=3000,"Medium","Low"))</x:f>
        <x:v>Low</x:v>
      </x:c>
    </x:row>
    <x:row r="230">
      <x:c r="A230" s="78" t="n">
        <x:v>226</x:v>
      </x:c>
      <x:c r="B230" s="79" t="n">
        <x:v>45964</x:v>
      </x:c>
      <x:c r="C230" s="80" t="str">
        <x:v>ToolWorks</x:v>
      </x:c>
      <x:c r="D230" s="80" t="str">
        <x:v>MRO</x:v>
      </x:c>
      <x:c r="E230" s="80" t="str">
        <x:v>Direct</x:v>
      </x:c>
      <x:c r="F230" s="80" t="str">
        <x:v>Dallas</x:v>
      </x:c>
      <x:c r="G230" s="80" t="str">
        <x:v>Manufacturing</x:v>
      </x:c>
      <x:c r="H230" s="81" t="n">
        <x:v>7800</x:v>
      </x:c>
      <x:c r="I230" s="80" t="str">
        <x:v>Yes</x:v>
      </x:c>
      <x:c r="J230" s="80" t="str">
        <x:v>No</x:v>
      </x:c>
      <x:c r="K230" s="80" t="str">
        <x:v>No</x:v>
      </x:c>
      <x:c r="L230" s="82" t="n">
        <x:v>0.06</x:v>
      </x:c>
      <x:c r="M230" s="80" t="str">
        <x:v>COO</x:v>
      </x:c>
      <x:c r="N230" s="80" t="str">
        <x:f>IF(OR(I230="No",J230="No"),"Yes","No")</x:f>
        <x:v>Yes</x:v>
      </x:c>
      <x:c r="O230" s="80" t="str">
        <x:f>IF(COUNTIFS($C:$C,C230)&lt;5,"Yes","No")</x:f>
        <x:v>No</x:v>
      </x:c>
      <x:c r="P230" s="81" t="n">
        <x:f>IF(K230="Yes",H230*L230,0)</x:f>
        <x:v>0</x:v>
      </x:c>
      <x:c r="Q230" s="80" t="str">
        <x:f>IF(N230="Yes","Maverick / non-preferred",IF(O230="Yes","Tail consolidation",IF(K230="Yes","Category sourcing","Non-addressable")))</x:f>
        <x:v>Maverick / non-preferred</x:v>
      </x:c>
      <x:c r="R230" s="83" t="str">
        <x:f>IF(P230&gt;=10000,"High",IF(P230&gt;=3000,"Medium","Low"))</x:f>
        <x:v>Low</x:v>
      </x:c>
    </x:row>
    <x:row r="231">
      <x:c r="A231" s="78" t="n">
        <x:v>227</x:v>
      </x:c>
      <x:c r="B231" s="79" t="n">
        <x:v>45968</x:v>
      </x:c>
      <x:c r="C231" s="80" t="str">
        <x:v>FlexPack</x:v>
      </x:c>
      <x:c r="D231" s="80" t="str">
        <x:v>Packaging</x:v>
      </x:c>
      <x:c r="E231" s="80" t="str">
        <x:v>Direct</x:v>
      </x:c>
      <x:c r="F231" s="80" t="str">
        <x:v>Atlanta</x:v>
      </x:c>
      <x:c r="G231" s="80" t="str">
        <x:v>Corporate</x:v>
      </x:c>
      <x:c r="H231" s="81" t="n">
        <x:v>15360</x:v>
      </x:c>
      <x:c r="I231" s="80" t="str">
        <x:v>Yes</x:v>
      </x:c>
      <x:c r="J231" s="80" t="str">
        <x:v>No</x:v>
      </x:c>
      <x:c r="K231" s="80" t="str">
        <x:v>Yes</x:v>
      </x:c>
      <x:c r="L231" s="82" t="n">
        <x:v>0.06</x:v>
      </x:c>
      <x:c r="M231" s="80" t="str">
        <x:v>COO</x:v>
      </x:c>
      <x:c r="N231" s="80" t="str">
        <x:f>IF(OR(I231="No",J231="No"),"Yes","No")</x:f>
        <x:v>Yes</x:v>
      </x:c>
      <x:c r="O231" s="80" t="str">
        <x:f>IF(COUNTIFS($C:$C,C231)&lt;5,"Yes","No")</x:f>
        <x:v>No</x:v>
      </x:c>
      <x:c r="P231" s="81" t="n">
        <x:f>IF(K231="Yes",H231*L231,0)</x:f>
        <x:v>921.5999999999999</x:v>
      </x:c>
      <x:c r="Q231" s="80" t="str">
        <x:f>IF(N231="Yes","Maverick / non-preferred",IF(O231="Yes","Tail consolidation",IF(K231="Yes","Category sourcing","Non-addressable")))</x:f>
        <x:v>Maverick / non-preferred</x:v>
      </x:c>
      <x:c r="R231" s="83" t="str">
        <x:f>IF(P231&gt;=10000,"High",IF(P231&gt;=3000,"Medium","Low"))</x:f>
        <x:v>Low</x:v>
      </x:c>
    </x:row>
    <x:row r="232">
      <x:c r="A232" s="78" t="n">
        <x:v>228</x:v>
      </x:c>
      <x:c r="B232" s="79" t="n">
        <x:v>45954</x:v>
      </x:c>
      <x:c r="C232" s="80" t="str">
        <x:v>Industrial Supply</x:v>
      </x:c>
      <x:c r="D232" s="80" t="str">
        <x:v>MRO</x:v>
      </x:c>
      <x:c r="E232" s="80" t="str">
        <x:v>Direct</x:v>
      </x:c>
      <x:c r="F232" s="80" t="str">
        <x:v>Atlanta</x:v>
      </x:c>
      <x:c r="G232" s="80" t="str">
        <x:v>Corporate</x:v>
      </x:c>
      <x:c r="H232" s="81" t="n">
        <x:v>15180</x:v>
      </x:c>
      <x:c r="I232" s="80" t="str">
        <x:v>No</x:v>
      </x:c>
      <x:c r="J232" s="80" t="str">
        <x:v>Yes</x:v>
      </x:c>
      <x:c r="K232" s="80" t="str">
        <x:v>No</x:v>
      </x:c>
      <x:c r="L232" s="82" t="n">
        <x:v>0.06</x:v>
      </x:c>
      <x:c r="M232" s="80" t="str">
        <x:v>COO</x:v>
      </x:c>
      <x:c r="N232" s="80" t="str">
        <x:f>IF(OR(I232="No",J232="No"),"Yes","No")</x:f>
        <x:v>Yes</x:v>
      </x:c>
      <x:c r="O232" s="80" t="str">
        <x:f>IF(COUNTIFS($C:$C,C232)&lt;5,"Yes","No")</x:f>
        <x:v>No</x:v>
      </x:c>
      <x:c r="P232" s="81" t="n">
        <x:f>IF(K232="Yes",H232*L232,0)</x:f>
        <x:v>0</x:v>
      </x:c>
      <x:c r="Q232" s="80" t="str">
        <x:f>IF(N232="Yes","Maverick / non-preferred",IF(O232="Yes","Tail consolidation",IF(K232="Yes","Category sourcing","Non-addressable")))</x:f>
        <x:v>Maverick / non-preferred</x:v>
      </x:c>
      <x:c r="R232" s="83" t="str">
        <x:f>IF(P232&gt;=10000,"High",IF(P232&gt;=3000,"Medium","Low"))</x:f>
        <x:v>Low</x:v>
      </x:c>
    </x:row>
    <x:row r="233">
      <x:c r="A233" s="78" t="n">
        <x:v>229</x:v>
      </x:c>
      <x:c r="B233" s="79" t="n">
        <x:v>45680</x:v>
      </x:c>
      <x:c r="C233" s="80" t="str">
        <x:v>BrandNorth</x:v>
      </x:c>
      <x:c r="D233" s="80" t="str">
        <x:v>Professional Services</x:v>
      </x:c>
      <x:c r="E233" s="80" t="str">
        <x:v>Indirect</x:v>
      </x:c>
      <x:c r="F233" s="80" t="str">
        <x:v>Chicago</x:v>
      </x:c>
      <x:c r="G233" s="80" t="str">
        <x:v>Field Operations</x:v>
      </x:c>
      <x:c r="H233" s="81" t="n">
        <x:v>12850</x:v>
      </x:c>
      <x:c r="I233" s="80" t="str">
        <x:v>No</x:v>
      </x:c>
      <x:c r="J233" s="80" t="str">
        <x:v>No</x:v>
      </x:c>
      <x:c r="K233" s="80" t="str">
        <x:v>No</x:v>
      </x:c>
      <x:c r="L233" s="82" t="n">
        <x:v>0.09</x:v>
      </x:c>
      <x:c r="M233" s="80" t="str">
        <x:v>CFO</x:v>
      </x:c>
      <x:c r="N233" s="80" t="str">
        <x:f>IF(OR(I233="No",J233="No"),"Yes","No")</x:f>
        <x:v>Yes</x:v>
      </x:c>
      <x:c r="O233" s="80" t="str">
        <x:f>IF(COUNTIFS($C:$C,C233)&lt;5,"Yes","No")</x:f>
        <x:v>No</x:v>
      </x:c>
      <x:c r="P233" s="81" t="n">
        <x:f>IF(K233="Yes",H233*L233,0)</x:f>
        <x:v>0</x:v>
      </x:c>
      <x:c r="Q233" s="80" t="str">
        <x:f>IF(N233="Yes","Maverick / non-preferred",IF(O233="Yes","Tail consolidation",IF(K233="Yes","Category sourcing","Non-addressable")))</x:f>
        <x:v>Maverick / non-preferred</x:v>
      </x:c>
      <x:c r="R233" s="83" t="str">
        <x:f>IF(P233&gt;=10000,"High",IF(P233&gt;=3000,"Medium","Low"))</x:f>
        <x:v>Low</x:v>
      </x:c>
    </x:row>
    <x:row r="234">
      <x:c r="A234" s="78" t="n">
        <x:v>230</x:v>
      </x:c>
      <x:c r="B234" s="79" t="n">
        <x:v>45935</x:v>
      </x:c>
      <x:c r="C234" s="80" t="str">
        <x:v>MobileWorks</x:v>
      </x:c>
      <x:c r="D234" s="80" t="str">
        <x:v>Telecom</x:v>
      </x:c>
      <x:c r="E234" s="80" t="str">
        <x:v>Indirect</x:v>
      </x:c>
      <x:c r="F234" s="80" t="str">
        <x:v>Phoenix</x:v>
      </x:c>
      <x:c r="G234" s="80" t="str">
        <x:v>Distribution</x:v>
      </x:c>
      <x:c r="H234" s="81" t="n">
        <x:v>3600</x:v>
      </x:c>
      <x:c r="I234" s="80" t="str">
        <x:v>No</x:v>
      </x:c>
      <x:c r="J234" s="80" t="str">
        <x:v>No</x:v>
      </x:c>
      <x:c r="K234" s="80" t="str">
        <x:v>Yes</x:v>
      </x:c>
      <x:c r="L234" s="82" t="n">
        <x:v>0.15</x:v>
      </x:c>
      <x:c r="M234" s="80" t="str">
        <x:v>CIO</x:v>
      </x:c>
      <x:c r="N234" s="80" t="str">
        <x:f>IF(OR(I234="No",J234="No"),"Yes","No")</x:f>
        <x:v>Yes</x:v>
      </x:c>
      <x:c r="O234" s="80" t="str">
        <x:f>IF(COUNTIFS($C:$C,C234)&lt;5,"Yes","No")</x:f>
        <x:v>No</x:v>
      </x:c>
      <x:c r="P234" s="81" t="n">
        <x:f>IF(K234="Yes",H234*L234,0)</x:f>
        <x:v>540</x:v>
      </x:c>
      <x:c r="Q234" s="80" t="str">
        <x:f>IF(N234="Yes","Maverick / non-preferred",IF(O234="Yes","Tail consolidation",IF(K234="Yes","Category sourcing","Non-addressable")))</x:f>
        <x:v>Maverick / non-preferred</x:v>
      </x:c>
      <x:c r="R234" s="83" t="str">
        <x:f>IF(P234&gt;=10000,"High",IF(P234&gt;=3000,"Medium","Low"))</x:f>
        <x:v>Low</x:v>
      </x:c>
    </x:row>
    <x:row r="235">
      <x:c r="A235" s="78" t="n">
        <x:v>231</x:v>
      </x:c>
      <x:c r="B235" s="79" t="n">
        <x:v>45964</x:v>
      </x:c>
      <x:c r="C235" s="80" t="str">
        <x:v>BrandNorth</x:v>
      </x:c>
      <x:c r="D235" s="80" t="str">
        <x:v>Professional Services</x:v>
      </x:c>
      <x:c r="E235" s="80" t="str">
        <x:v>Indirect</x:v>
      </x:c>
      <x:c r="F235" s="80" t="str">
        <x:v>Chicago</x:v>
      </x:c>
      <x:c r="G235" s="80" t="str">
        <x:v>Distribution</x:v>
      </x:c>
      <x:c r="H235" s="81" t="n">
        <x:v>38870</x:v>
      </x:c>
      <x:c r="I235" s="80" t="str">
        <x:v>No</x:v>
      </x:c>
      <x:c r="J235" s="80" t="str">
        <x:v>No</x:v>
      </x:c>
      <x:c r="K235" s="80" t="str">
        <x:v>No</x:v>
      </x:c>
      <x:c r="L235" s="82" t="n">
        <x:v>0.09</x:v>
      </x:c>
      <x:c r="M235" s="80" t="str">
        <x:v>CFO</x:v>
      </x:c>
      <x:c r="N235" s="80" t="str">
        <x:f>IF(OR(I235="No",J235="No"),"Yes","No")</x:f>
        <x:v>Yes</x:v>
      </x:c>
      <x:c r="O235" s="80" t="str">
        <x:f>IF(COUNTIFS($C:$C,C235)&lt;5,"Yes","No")</x:f>
        <x:v>No</x:v>
      </x:c>
      <x:c r="P235" s="81" t="n">
        <x:f>IF(K235="Yes",H235*L235,0)</x:f>
        <x:v>0</x:v>
      </x:c>
      <x:c r="Q235" s="80" t="str">
        <x:f>IF(N235="Yes","Maverick / non-preferred",IF(O235="Yes","Tail consolidation",IF(K235="Yes","Category sourcing","Non-addressable")))</x:f>
        <x:v>Maverick / non-preferred</x:v>
      </x:c>
      <x:c r="R235" s="83" t="str">
        <x:f>IF(P235&gt;=10000,"High",IF(P235&gt;=3000,"Medium","Low"))</x:f>
        <x:v>Low</x:v>
      </x:c>
    </x:row>
    <x:row r="236">
      <x:c r="A236" s="78" t="n">
        <x:v>232</x:v>
      </x:c>
      <x:c r="B236" s="79" t="n">
        <x:v>45678</x:v>
      </x:c>
      <x:c r="C236" s="80" t="str">
        <x:v>Summit Polymers</x:v>
      </x:c>
      <x:c r="D236" s="80" t="str">
        <x:v>Raw Materials</x:v>
      </x:c>
      <x:c r="E236" s="80" t="str">
        <x:v>Direct</x:v>
      </x:c>
      <x:c r="F236" s="80" t="str">
        <x:v>Chicago</x:v>
      </x:c>
      <x:c r="G236" s="80" t="str">
        <x:v>Distribution</x:v>
      </x:c>
      <x:c r="H236" s="81" t="n">
        <x:v>38240</x:v>
      </x:c>
      <x:c r="I236" s="80" t="str">
        <x:v>Yes</x:v>
      </x:c>
      <x:c r="J236" s="80" t="str">
        <x:v>Yes</x:v>
      </x:c>
      <x:c r="K236" s="80" t="str">
        <x:v>Yes</x:v>
      </x:c>
      <x:c r="L236" s="82" t="n">
        <x:v>0.05</x:v>
      </x:c>
      <x:c r="M236" s="80" t="str">
        <x:v>COO</x:v>
      </x:c>
      <x:c r="N236" s="80" t="str">
        <x:f>IF(OR(I236="No",J236="No"),"Yes","No")</x:f>
        <x:v>No</x:v>
      </x:c>
      <x:c r="O236" s="80" t="str">
        <x:f>IF(COUNTIFS($C:$C,C236)&lt;5,"Yes","No")</x:f>
        <x:v>No</x:v>
      </x:c>
      <x:c r="P236" s="81" t="n">
        <x:f>IF(K236="Yes",H236*L236,0)</x:f>
        <x:v>1912</x:v>
      </x:c>
      <x:c r="Q236" s="80" t="str">
        <x:f>IF(N236="Yes","Maverick / non-preferred",IF(O236="Yes","Tail consolidation",IF(K236="Yes","Category sourcing","Non-addressable")))</x:f>
        <x:v>Category sourcing</x:v>
      </x:c>
      <x:c r="R236" s="83" t="str">
        <x:f>IF(P236&gt;=10000,"High",IF(P236&gt;=3000,"Medium","Low"))</x:f>
        <x:v>Low</x:v>
      </x:c>
    </x:row>
    <x:row r="237">
      <x:c r="A237" s="78" t="n">
        <x:v>233</x:v>
      </x:c>
      <x:c r="B237" s="79" t="n">
        <x:v>45947</x:v>
      </x:c>
      <x:c r="C237" s="80" t="str">
        <x:v>Workplace Mart</x:v>
      </x:c>
      <x:c r="D237" s="80" t="str">
        <x:v>Office Supplies</x:v>
      </x:c>
      <x:c r="E237" s="80" t="str">
        <x:v>Indirect</x:v>
      </x:c>
      <x:c r="F237" s="80" t="str">
        <x:v>Atlanta</x:v>
      </x:c>
      <x:c r="G237" s="80" t="str">
        <x:v>Field Operations</x:v>
      </x:c>
      <x:c r="H237" s="81" t="n">
        <x:v>1100</x:v>
      </x:c>
      <x:c r="I237" s="80" t="str">
        <x:v>No</x:v>
      </x:c>
      <x:c r="J237" s="80" t="str">
        <x:v>No</x:v>
      </x:c>
      <x:c r="K237" s="80" t="str">
        <x:v>Yes</x:v>
      </x:c>
      <x:c r="L237" s="82" t="n">
        <x:v>0.18</x:v>
      </x:c>
      <x:c r="M237" s="80" t="str">
        <x:v>CFO</x:v>
      </x:c>
      <x:c r="N237" s="80" t="str">
        <x:f>IF(OR(I237="No",J237="No"),"Yes","No")</x:f>
        <x:v>Yes</x:v>
      </x:c>
      <x:c r="O237" s="80" t="str">
        <x:f>IF(COUNTIFS($C:$C,C237)&lt;5,"Yes","No")</x:f>
        <x:v>No</x:v>
      </x:c>
      <x:c r="P237" s="81" t="n">
        <x:f>IF(K237="Yes",H237*L237,0)</x:f>
        <x:v>198</x:v>
      </x:c>
      <x:c r="Q237" s="80" t="str">
        <x:f>IF(N237="Yes","Maverick / non-preferred",IF(O237="Yes","Tail consolidation",IF(K237="Yes","Category sourcing","Non-addressable")))</x:f>
        <x:v>Maverick / non-preferred</x:v>
      </x:c>
      <x:c r="R237" s="83" t="str">
        <x:f>IF(P237&gt;=10000,"High",IF(P237&gt;=3000,"Medium","Low"))</x:f>
        <x:v>Low</x:v>
      </x:c>
    </x:row>
    <x:row r="238">
      <x:c r="A238" s="78" t="n">
        <x:v>234</x:v>
      </x:c>
      <x:c r="B238" s="79" t="n">
        <x:v>45788</x:v>
      </x:c>
      <x:c r="C238" s="80" t="str">
        <x:v>Workplace Mart</x:v>
      </x:c>
      <x:c r="D238" s="80" t="str">
        <x:v>Office Supplies</x:v>
      </x:c>
      <x:c r="E238" s="80" t="str">
        <x:v>Indirect</x:v>
      </x:c>
      <x:c r="F238" s="80" t="str">
        <x:v>Phoenix</x:v>
      </x:c>
      <x:c r="G238" s="80" t="str">
        <x:v>Distribution</x:v>
      </x:c>
      <x:c r="H238" s="81" t="n">
        <x:v>4050</x:v>
      </x:c>
      <x:c r="I238" s="80" t="str">
        <x:v>No</x:v>
      </x:c>
      <x:c r="J238" s="80" t="str">
        <x:v>No</x:v>
      </x:c>
      <x:c r="K238" s="80" t="str">
        <x:v>Yes</x:v>
      </x:c>
      <x:c r="L238" s="82" t="n">
        <x:v>0.18</x:v>
      </x:c>
      <x:c r="M238" s="80" t="str">
        <x:v>CFO</x:v>
      </x:c>
      <x:c r="N238" s="80" t="str">
        <x:f>IF(OR(I238="No",J238="No"),"Yes","No")</x:f>
        <x:v>Yes</x:v>
      </x:c>
      <x:c r="O238" s="80" t="str">
        <x:f>IF(COUNTIFS($C:$C,C238)&lt;5,"Yes","No")</x:f>
        <x:v>No</x:v>
      </x:c>
      <x:c r="P238" s="81" t="n">
        <x:f>IF(K238="Yes",H238*L238,0)</x:f>
        <x:v>729</x:v>
      </x:c>
      <x:c r="Q238" s="80" t="str">
        <x:f>IF(N238="Yes","Maverick / non-preferred",IF(O238="Yes","Tail consolidation",IF(K238="Yes","Category sourcing","Non-addressable")))</x:f>
        <x:v>Maverick / non-preferred</x:v>
      </x:c>
      <x:c r="R238" s="83" t="str">
        <x:f>IF(P238&gt;=10000,"High",IF(P238&gt;=3000,"Medium","Low"))</x:f>
        <x:v>Low</x:v>
      </x:c>
    </x:row>
    <x:row r="239">
      <x:c r="A239" s="78" t="n">
        <x:v>235</x:v>
      </x:c>
      <x:c r="B239" s="79" t="n">
        <x:v>45905</x:v>
      </x:c>
      <x:c r="C239" s="80" t="str">
        <x:v>BoxWorks</x:v>
      </x:c>
      <x:c r="D239" s="80" t="str">
        <x:v>Packaging</x:v>
      </x:c>
      <x:c r="E239" s="80" t="str">
        <x:v>Direct</x:v>
      </x:c>
      <x:c r="F239" s="80" t="str">
        <x:v>Chicago</x:v>
      </x:c>
      <x:c r="G239" s="80" t="str">
        <x:v>Manufacturing</x:v>
      </x:c>
      <x:c r="H239" s="81" t="n">
        <x:v>13960</x:v>
      </x:c>
      <x:c r="I239" s="80" t="str">
        <x:v>Yes</x:v>
      </x:c>
      <x:c r="J239" s="80" t="str">
        <x:v>Yes</x:v>
      </x:c>
      <x:c r="K239" s="80" t="str">
        <x:v>Yes</x:v>
      </x:c>
      <x:c r="L239" s="82" t="n">
        <x:v>0.06</x:v>
      </x:c>
      <x:c r="M239" s="80" t="str">
        <x:v>COO</x:v>
      </x:c>
      <x:c r="N239" s="80" t="str">
        <x:f>IF(OR(I239="No",J239="No"),"Yes","No")</x:f>
        <x:v>No</x:v>
      </x:c>
      <x:c r="O239" s="80" t="str">
        <x:f>IF(COUNTIFS($C:$C,C239)&lt;5,"Yes","No")</x:f>
        <x:v>No</x:v>
      </x:c>
      <x:c r="P239" s="81" t="n">
        <x:f>IF(K239="Yes",H239*L239,0)</x:f>
        <x:v>837.6</x:v>
      </x:c>
      <x:c r="Q239" s="80" t="str">
        <x:f>IF(N239="Yes","Maverick / non-preferred",IF(O239="Yes","Tail consolidation",IF(K239="Yes","Category sourcing","Non-addressable")))</x:f>
        <x:v>Category sourcing</x:v>
      </x:c>
      <x:c r="R239" s="83" t="str">
        <x:f>IF(P239&gt;=10000,"High",IF(P239&gt;=3000,"Medium","Low"))</x:f>
        <x:v>Low</x:v>
      </x:c>
    </x:row>
    <x:row r="240">
      <x:c r="A240" s="78" t="n">
        <x:v>236</x:v>
      </x:c>
      <x:c r="B240" s="79" t="n">
        <x:v>45889</x:v>
      </x:c>
      <x:c r="C240" s="80" t="str">
        <x:v>National Packaging</x:v>
      </x:c>
      <x:c r="D240" s="80" t="str">
        <x:v>Packaging</x:v>
      </x:c>
      <x:c r="E240" s="80" t="str">
        <x:v>Direct</x:v>
      </x:c>
      <x:c r="F240" s="80" t="str">
        <x:v>Phoenix</x:v>
      </x:c>
      <x:c r="G240" s="80" t="str">
        <x:v>Field Operations</x:v>
      </x:c>
      <x:c r="H240" s="81" t="n">
        <x:v>8900</x:v>
      </x:c>
      <x:c r="I240" s="80" t="str">
        <x:v>No</x:v>
      </x:c>
      <x:c r="J240" s="80" t="str">
        <x:v>No</x:v>
      </x:c>
      <x:c r="K240" s="80" t="str">
        <x:v>Yes</x:v>
      </x:c>
      <x:c r="L240" s="82" t="n">
        <x:v>0.06</x:v>
      </x:c>
      <x:c r="M240" s="80" t="str">
        <x:v>COO</x:v>
      </x:c>
      <x:c r="N240" s="80" t="str">
        <x:f>IF(OR(I240="No",J240="No"),"Yes","No")</x:f>
        <x:v>Yes</x:v>
      </x:c>
      <x:c r="O240" s="80" t="str">
        <x:f>IF(COUNTIFS($C:$C,C240)&lt;5,"Yes","No")</x:f>
        <x:v>Yes</x:v>
      </x:c>
      <x:c r="P240" s="81" t="n">
        <x:f>IF(K240="Yes",H240*L240,0)</x:f>
        <x:v>534</x:v>
      </x:c>
      <x:c r="Q240" s="80" t="str">
        <x:f>IF(N240="Yes","Maverick / non-preferred",IF(O240="Yes","Tail consolidation",IF(K240="Yes","Category sourcing","Non-addressable")))</x:f>
        <x:v>Maverick / non-preferred</x:v>
      </x:c>
      <x:c r="R240" s="83" t="str">
        <x:f>IF(P240&gt;=10000,"High",IF(P240&gt;=3000,"Medium","Low"))</x:f>
        <x:v>Low</x:v>
      </x:c>
    </x:row>
    <x:row r="241">
      <x:c r="A241" s="78" t="n">
        <x:v>237</x:v>
      </x:c>
      <x:c r="B241" s="79" t="n">
        <x:v>45919</x:v>
      </x:c>
      <x:c r="C241" s="80" t="str">
        <x:v>ShipMax</x:v>
      </x:c>
      <x:c r="D241" s="80" t="str">
        <x:v>Freight &amp; Logistics</x:v>
      </x:c>
      <x:c r="E241" s="80" t="str">
        <x:v>Direct</x:v>
      </x:c>
      <x:c r="F241" s="80" t="str">
        <x:v>Columbus</x:v>
      </x:c>
      <x:c r="G241" s="80" t="str">
        <x:v>Manufacturing</x:v>
      </x:c>
      <x:c r="H241" s="81" t="n">
        <x:v>57100</x:v>
      </x:c>
      <x:c r="I241" s="80" t="str">
        <x:v>Yes</x:v>
      </x:c>
      <x:c r="J241" s="80" t="str">
        <x:v>Yes</x:v>
      </x:c>
      <x:c r="K241" s="80" t="str">
        <x:v>Yes</x:v>
      </x:c>
      <x:c r="L241" s="82" t="n">
        <x:v>0.08</x:v>
      </x:c>
      <x:c r="M241" s="80" t="str">
        <x:v>COO</x:v>
      </x:c>
      <x:c r="N241" s="80" t="str">
        <x:f>IF(OR(I241="No",J241="No"),"Yes","No")</x:f>
        <x:v>No</x:v>
      </x:c>
      <x:c r="O241" s="80" t="str">
        <x:f>IF(COUNTIFS($C:$C,C241)&lt;5,"Yes","No")</x:f>
        <x:v>No</x:v>
      </x:c>
      <x:c r="P241" s="81" t="n">
        <x:f>IF(K241="Yes",H241*L241,0)</x:f>
        <x:v>4568</x:v>
      </x:c>
      <x:c r="Q241" s="80" t="str">
        <x:f>IF(N241="Yes","Maverick / non-preferred",IF(O241="Yes","Tail consolidation",IF(K241="Yes","Category sourcing","Non-addressable")))</x:f>
        <x:v>Category sourcing</x:v>
      </x:c>
      <x:c r="R241" s="83" t="str">
        <x:f>IF(P241&gt;=10000,"High",IF(P241&gt;=3000,"Medium","Low"))</x:f>
        <x:v>Medium</x:v>
      </x:c>
    </x:row>
    <x:row r="242">
      <x:c r="A242" s="78" t="n">
        <x:v>238</x:v>
      </x:c>
      <x:c r="B242" s="79" t="n">
        <x:v>45951</x:v>
      </x:c>
      <x:c r="C242" s="80" t="str">
        <x:v>SecureWrap</x:v>
      </x:c>
      <x:c r="D242" s="80" t="str">
        <x:v>Packaging</x:v>
      </x:c>
      <x:c r="E242" s="80" t="str">
        <x:v>Direct</x:v>
      </x:c>
      <x:c r="F242" s="80" t="str">
        <x:v>Atlanta</x:v>
      </x:c>
      <x:c r="G242" s="80" t="str">
        <x:v>Field Operations</x:v>
      </x:c>
      <x:c r="H242" s="81" t="n">
        <x:v>10380</x:v>
      </x:c>
      <x:c r="I242" s="80" t="str">
        <x:v>No</x:v>
      </x:c>
      <x:c r="J242" s="80" t="str">
        <x:v>No</x:v>
      </x:c>
      <x:c r="K242" s="80" t="str">
        <x:v>Yes</x:v>
      </x:c>
      <x:c r="L242" s="82" t="n">
        <x:v>0.06</x:v>
      </x:c>
      <x:c r="M242" s="80" t="str">
        <x:v>COO</x:v>
      </x:c>
      <x:c r="N242" s="80" t="str">
        <x:f>IF(OR(I242="No",J242="No"),"Yes","No")</x:f>
        <x:v>Yes</x:v>
      </x:c>
      <x:c r="O242" s="80" t="str">
        <x:f>IF(COUNTIFS($C:$C,C242)&lt;5,"Yes","No")</x:f>
        <x:v>No</x:v>
      </x:c>
      <x:c r="P242" s="81" t="n">
        <x:f>IF(K242="Yes",H242*L242,0)</x:f>
        <x:v>622.8</x:v>
      </x:c>
      <x:c r="Q242" s="80" t="str">
        <x:f>IF(N242="Yes","Maverick / non-preferred",IF(O242="Yes","Tail consolidation",IF(K242="Yes","Category sourcing","Non-addressable")))</x:f>
        <x:v>Maverick / non-preferred</x:v>
      </x:c>
      <x:c r="R242" s="83" t="str">
        <x:f>IF(P242&gt;=10000,"High",IF(P242&gt;=3000,"Medium","Low"))</x:f>
        <x:v>Low</x:v>
      </x:c>
    </x:row>
    <x:row r="243">
      <x:c r="A243" s="78" t="n">
        <x:v>239</x:v>
      </x:c>
      <x:c r="B243" s="79" t="n">
        <x:v>45899</x:v>
      </x:c>
      <x:c r="C243" s="80" t="str">
        <x:v>LegalWorks</x:v>
      </x:c>
      <x:c r="D243" s="80" t="str">
        <x:v>Professional Services</x:v>
      </x:c>
      <x:c r="E243" s="80" t="str">
        <x:v>Indirect</x:v>
      </x:c>
      <x:c r="F243" s="80" t="str">
        <x:v>Columbus</x:v>
      </x:c>
      <x:c r="G243" s="80" t="str">
        <x:v>Field Operations</x:v>
      </x:c>
      <x:c r="H243" s="81" t="n">
        <x:v>5640</x:v>
      </x:c>
      <x:c r="I243" s="80" t="str">
        <x:v>Yes</x:v>
      </x:c>
      <x:c r="J243" s="80" t="str">
        <x:v>No</x:v>
      </x:c>
      <x:c r="K243" s="80" t="str">
        <x:v>No</x:v>
      </x:c>
      <x:c r="L243" s="82" t="n">
        <x:v>0.09</x:v>
      </x:c>
      <x:c r="M243" s="80" t="str">
        <x:v>CFO</x:v>
      </x:c>
      <x:c r="N243" s="80" t="str">
        <x:f>IF(OR(I243="No",J243="No"),"Yes","No")</x:f>
        <x:v>Yes</x:v>
      </x:c>
      <x:c r="O243" s="80" t="str">
        <x:f>IF(COUNTIFS($C:$C,C243)&lt;5,"Yes","No")</x:f>
        <x:v>No</x:v>
      </x:c>
      <x:c r="P243" s="81" t="n">
        <x:f>IF(K243="Yes",H243*L243,0)</x:f>
        <x:v>0</x:v>
      </x:c>
      <x:c r="Q243" s="80" t="str">
        <x:f>IF(N243="Yes","Maverick / non-preferred",IF(O243="Yes","Tail consolidation",IF(K243="Yes","Category sourcing","Non-addressable")))</x:f>
        <x:v>Maverick / non-preferred</x:v>
      </x:c>
      <x:c r="R243" s="83" t="str">
        <x:f>IF(P243&gt;=10000,"High",IF(P243&gt;=3000,"Medium","Low"))</x:f>
        <x:v>Low</x:v>
      </x:c>
    </x:row>
    <x:row r="244">
      <x:c r="A244" s="78" t="n">
        <x:v>240</x:v>
      </x:c>
      <x:c r="B244" s="79" t="n">
        <x:v>45767</x:v>
      </x:c>
      <x:c r="C244" s="80" t="str">
        <x:v>RoadPro Logistics</x:v>
      </x:c>
      <x:c r="D244" s="80" t="str">
        <x:v>Freight &amp; Logistics</x:v>
      </x:c>
      <x:c r="E244" s="80" t="str">
        <x:v>Direct</x:v>
      </x:c>
      <x:c r="F244" s="80" t="str">
        <x:v>Dallas</x:v>
      </x:c>
      <x:c r="G244" s="80" t="str">
        <x:v>Distribution</x:v>
      </x:c>
      <x:c r="H244" s="81" t="n">
        <x:v>17800</x:v>
      </x:c>
      <x:c r="I244" s="80" t="str">
        <x:v>No</x:v>
      </x:c>
      <x:c r="J244" s="80" t="str">
        <x:v>No</x:v>
      </x:c>
      <x:c r="K244" s="80" t="str">
        <x:v>Yes</x:v>
      </x:c>
      <x:c r="L244" s="82" t="n">
        <x:v>0.08</x:v>
      </x:c>
      <x:c r="M244" s="80" t="str">
        <x:v>COO</x:v>
      </x:c>
      <x:c r="N244" s="80" t="str">
        <x:f>IF(OR(I244="No",J244="No"),"Yes","No")</x:f>
        <x:v>Yes</x:v>
      </x:c>
      <x:c r="O244" s="80" t="str">
        <x:f>IF(COUNTIFS($C:$C,C244)&lt;5,"Yes","No")</x:f>
        <x:v>No</x:v>
      </x:c>
      <x:c r="P244" s="81" t="n">
        <x:f>IF(K244="Yes",H244*L244,0)</x:f>
        <x:v>1424</x:v>
      </x:c>
      <x:c r="Q244" s="80" t="str">
        <x:f>IF(N244="Yes","Maverick / non-preferred",IF(O244="Yes","Tail consolidation",IF(K244="Yes","Category sourcing","Non-addressable")))</x:f>
        <x:v>Maverick / non-preferred</x:v>
      </x:c>
      <x:c r="R244" s="83" t="str">
        <x:f>IF(P244&gt;=10000,"High",IF(P244&gt;=3000,"Medium","Low"))</x:f>
        <x:v>Low</x:v>
      </x:c>
    </x:row>
    <x:row r="245">
      <x:c r="A245" s="78" t="n">
        <x:v>241</x:v>
      </x:c>
      <x:c r="B245" s="79" t="n">
        <x:v>45982</x:v>
      </x:c>
      <x:c r="C245" s="80" t="str">
        <x:v>LaborFlex</x:v>
      </x:c>
      <x:c r="D245" s="80" t="str">
        <x:v>Temp Labor</x:v>
      </x:c>
      <x:c r="E245" s="80" t="str">
        <x:v>Indirect</x:v>
      </x:c>
      <x:c r="F245" s="80" t="str">
        <x:v>Chicago</x:v>
      </x:c>
      <x:c r="G245" s="80" t="str">
        <x:v>Field Operations</x:v>
      </x:c>
      <x:c r="H245" s="81" t="n">
        <x:v>5020</x:v>
      </x:c>
      <x:c r="I245" s="80" t="str">
        <x:v>Yes</x:v>
      </x:c>
      <x:c r="J245" s="80" t="str">
        <x:v>Yes</x:v>
      </x:c>
      <x:c r="K245" s="80" t="str">
        <x:v>No</x:v>
      </x:c>
      <x:c r="L245" s="82" t="n">
        <x:v>0.07</x:v>
      </x:c>
      <x:c r="M245" s="80" t="str">
        <x:v>CHRO</x:v>
      </x:c>
      <x:c r="N245" s="80" t="str">
        <x:f>IF(OR(I245="No",J245="No"),"Yes","No")</x:f>
        <x:v>No</x:v>
      </x:c>
      <x:c r="O245" s="80" t="str">
        <x:f>IF(COUNTIFS($C:$C,C245)&lt;5,"Yes","No")</x:f>
        <x:v>No</x:v>
      </x:c>
      <x:c r="P245" s="81" t="n">
        <x:f>IF(K245="Yes",H245*L245,0)</x:f>
        <x:v>0</x:v>
      </x:c>
      <x:c r="Q245" s="80" t="str">
        <x:f>IF(N245="Yes","Maverick / non-preferred",IF(O245="Yes","Tail consolidation",IF(K245="Yes","Category sourcing","Non-addressable")))</x:f>
        <x:v>Non-addressable</x:v>
      </x:c>
      <x:c r="R245" s="83" t="str">
        <x:f>IF(P245&gt;=10000,"High",IF(P245&gt;=3000,"Medium","Low"))</x:f>
        <x:v>Low</x:v>
      </x:c>
    </x:row>
    <x:row r="246">
      <x:c r="A246" s="78" t="n">
        <x:v>242</x:v>
      </x:c>
      <x:c r="B246" s="79" t="n">
        <x:v>45805</x:v>
      </x:c>
      <x:c r="C246" s="80" t="str">
        <x:v>PowerCare</x:v>
      </x:c>
      <x:c r="D246" s="80" t="str">
        <x:v>Facilities</x:v>
      </x:c>
      <x:c r="E246" s="80" t="str">
        <x:v>Indirect</x:v>
      </x:c>
      <x:c r="F246" s="80" t="str">
        <x:v>Atlanta</x:v>
      </x:c>
      <x:c r="G246" s="80" t="str">
        <x:v>Field Operations</x:v>
      </x:c>
      <x:c r="H246" s="81" t="n">
        <x:v>4420</x:v>
      </x:c>
      <x:c r="I246" s="80" t="str">
        <x:v>No</x:v>
      </x:c>
      <x:c r="J246" s="80" t="str">
        <x:v>No</x:v>
      </x:c>
      <x:c r="K246" s="80" t="str">
        <x:v>Yes</x:v>
      </x:c>
      <x:c r="L246" s="82" t="n">
        <x:v>0.1</x:v>
      </x:c>
      <x:c r="M246" s="80" t="str">
        <x:v>COO</x:v>
      </x:c>
      <x:c r="N246" s="80" t="str">
        <x:f>IF(OR(I246="No",J246="No"),"Yes","No")</x:f>
        <x:v>Yes</x:v>
      </x:c>
      <x:c r="O246" s="80" t="str">
        <x:f>IF(COUNTIFS($C:$C,C246)&lt;5,"Yes","No")</x:f>
        <x:v>No</x:v>
      </x:c>
      <x:c r="P246" s="81" t="n">
        <x:f>IF(K246="Yes",H246*L246,0)</x:f>
        <x:v>442</x:v>
      </x:c>
      <x:c r="Q246" s="80" t="str">
        <x:f>IF(N246="Yes","Maverick / non-preferred",IF(O246="Yes","Tail consolidation",IF(K246="Yes","Category sourcing","Non-addressable")))</x:f>
        <x:v>Maverick / non-preferred</x:v>
      </x:c>
      <x:c r="R246" s="83" t="str">
        <x:f>IF(P246&gt;=10000,"High",IF(P246&gt;=3000,"Medium","Low"))</x:f>
        <x:v>Low</x:v>
      </x:c>
    </x:row>
    <x:row r="247">
      <x:c r="A247" s="78" t="n">
        <x:v>243</x:v>
      </x:c>
      <x:c r="B247" s="79" t="n">
        <x:v>45794</x:v>
      </x:c>
      <x:c r="C247" s="80" t="str">
        <x:v>PeopleNow</x:v>
      </x:c>
      <x:c r="D247" s="80" t="str">
        <x:v>Temp Labor</x:v>
      </x:c>
      <x:c r="E247" s="80" t="str">
        <x:v>Indirect</x:v>
      </x:c>
      <x:c r="F247" s="80" t="str">
        <x:v>Columbus</x:v>
      </x:c>
      <x:c r="G247" s="80" t="str">
        <x:v>Corporate</x:v>
      </x:c>
      <x:c r="H247" s="81" t="n">
        <x:v>26390</x:v>
      </x:c>
      <x:c r="I247" s="80" t="str">
        <x:v>No</x:v>
      </x:c>
      <x:c r="J247" s="80" t="str">
        <x:v>No</x:v>
      </x:c>
      <x:c r="K247" s="80" t="str">
        <x:v>No</x:v>
      </x:c>
      <x:c r="L247" s="82" t="n">
        <x:v>0.07</x:v>
      </x:c>
      <x:c r="M247" s="80" t="str">
        <x:v>CHRO</x:v>
      </x:c>
      <x:c r="N247" s="80" t="str">
        <x:f>IF(OR(I247="No",J247="No"),"Yes","No")</x:f>
        <x:v>Yes</x:v>
      </x:c>
      <x:c r="O247" s="80" t="str">
        <x:f>IF(COUNTIFS($C:$C,C247)&lt;5,"Yes","No")</x:f>
        <x:v>Yes</x:v>
      </x:c>
      <x:c r="P247" s="81" t="n">
        <x:f>IF(K247="Yes",H247*L247,0)</x:f>
        <x:v>0</x:v>
      </x:c>
      <x:c r="Q247" s="80" t="str">
        <x:f>IF(N247="Yes","Maverick / non-preferred",IF(O247="Yes","Tail consolidation",IF(K247="Yes","Category sourcing","Non-addressable")))</x:f>
        <x:v>Maverick / non-preferred</x:v>
      </x:c>
      <x:c r="R247" s="83" t="str">
        <x:f>IF(P247&gt;=10000,"High",IF(P247&gt;=3000,"Medium","Low"))</x:f>
        <x:v>Low</x:v>
      </x:c>
    </x:row>
    <x:row r="248">
      <x:c r="A248" s="78" t="n">
        <x:v>244</x:v>
      </x:c>
      <x:c r="B248" s="79" t="n">
        <x:v>45939</x:v>
      </x:c>
      <x:c r="C248" s="80" t="str">
        <x:v>BrandNorth</x:v>
      </x:c>
      <x:c r="D248" s="80" t="str">
        <x:v>Professional Services</x:v>
      </x:c>
      <x:c r="E248" s="80" t="str">
        <x:v>Indirect</x:v>
      </x:c>
      <x:c r="F248" s="80" t="str">
        <x:v>Columbus</x:v>
      </x:c>
      <x:c r="G248" s="80" t="str">
        <x:v>Corporate</x:v>
      </x:c>
      <x:c r="H248" s="81" t="n">
        <x:v>23860</x:v>
      </x:c>
      <x:c r="I248" s="80" t="str">
        <x:v>No</x:v>
      </x:c>
      <x:c r="J248" s="80" t="str">
        <x:v>No</x:v>
      </x:c>
      <x:c r="K248" s="80" t="str">
        <x:v>No</x:v>
      </x:c>
      <x:c r="L248" s="82" t="n">
        <x:v>0.09</x:v>
      </x:c>
      <x:c r="M248" s="80" t="str">
        <x:v>CFO</x:v>
      </x:c>
      <x:c r="N248" s="80" t="str">
        <x:f>IF(OR(I248="No",J248="No"),"Yes","No")</x:f>
        <x:v>Yes</x:v>
      </x:c>
      <x:c r="O248" s="80" t="str">
        <x:f>IF(COUNTIFS($C:$C,C248)&lt;5,"Yes","No")</x:f>
        <x:v>No</x:v>
      </x:c>
      <x:c r="P248" s="81" t="n">
        <x:f>IF(K248="Yes",H248*L248,0)</x:f>
        <x:v>0</x:v>
      </x:c>
      <x:c r="Q248" s="80" t="str">
        <x:f>IF(N248="Yes","Maverick / non-preferred",IF(O248="Yes","Tail consolidation",IF(K248="Yes","Category sourcing","Non-addressable")))</x:f>
        <x:v>Maverick / non-preferred</x:v>
      </x:c>
      <x:c r="R248" s="83" t="str">
        <x:f>IF(P248&gt;=10000,"High",IF(P248&gt;=3000,"Medium","Low"))</x:f>
        <x:v>Low</x:v>
      </x:c>
    </x:row>
    <x:row r="249">
      <x:c r="A249" s="78" t="n">
        <x:v>245</x:v>
      </x:c>
      <x:c r="B249" s="79" t="n">
        <x:v>45677</x:v>
      </x:c>
      <x:c r="C249" s="80" t="str">
        <x:v>ShiftPro</x:v>
      </x:c>
      <x:c r="D249" s="80" t="str">
        <x:v>Temp Labor</x:v>
      </x:c>
      <x:c r="E249" s="80" t="str">
        <x:v>Indirect</x:v>
      </x:c>
      <x:c r="F249" s="80" t="str">
        <x:v>Columbus</x:v>
      </x:c>
      <x:c r="G249" s="80" t="str">
        <x:v>Manufacturing</x:v>
      </x:c>
      <x:c r="H249" s="81" t="n">
        <x:v>9460</x:v>
      </x:c>
      <x:c r="I249" s="80" t="str">
        <x:v>No</x:v>
      </x:c>
      <x:c r="J249" s="80" t="str">
        <x:v>No</x:v>
      </x:c>
      <x:c r="K249" s="80" t="str">
        <x:v>No</x:v>
      </x:c>
      <x:c r="L249" s="82" t="n">
        <x:v>0.07</x:v>
      </x:c>
      <x:c r="M249" s="80" t="str">
        <x:v>CHRO</x:v>
      </x:c>
      <x:c r="N249" s="80" t="str">
        <x:f>IF(OR(I249="No",J249="No"),"Yes","No")</x:f>
        <x:v>Yes</x:v>
      </x:c>
      <x:c r="O249" s="80" t="str">
        <x:f>IF(COUNTIFS($C:$C,C249)&lt;5,"Yes","No")</x:f>
        <x:v>No</x:v>
      </x:c>
      <x:c r="P249" s="81" t="n">
        <x:f>IF(K249="Yes",H249*L249,0)</x:f>
        <x:v>0</x:v>
      </x:c>
      <x:c r="Q249" s="80" t="str">
        <x:f>IF(N249="Yes","Maverick / non-preferred",IF(O249="Yes","Tail consolidation",IF(K249="Yes","Category sourcing","Non-addressable")))</x:f>
        <x:v>Maverick / non-preferred</x:v>
      </x:c>
      <x:c r="R249" s="83" t="str">
        <x:f>IF(P249&gt;=10000,"High",IF(P249&gt;=3000,"Medium","Low"))</x:f>
        <x:v>Low</x:v>
      </x:c>
    </x:row>
    <x:row r="250">
      <x:c r="A250" s="78" t="n">
        <x:v>246</x:v>
      </x:c>
      <x:c r="B250" s="79" t="n">
        <x:v>45829</x:v>
      </x:c>
      <x:c r="C250" s="80" t="str">
        <x:v>MaintainCo</x:v>
      </x:c>
      <x:c r="D250" s="80" t="str">
        <x:v>MRO</x:v>
      </x:c>
      <x:c r="E250" s="80" t="str">
        <x:v>Direct</x:v>
      </x:c>
      <x:c r="F250" s="80" t="str">
        <x:v>Phoenix</x:v>
      </x:c>
      <x:c r="G250" s="80" t="str">
        <x:v>Distribution</x:v>
      </x:c>
      <x:c r="H250" s="81" t="n">
        <x:v>5850</x:v>
      </x:c>
      <x:c r="I250" s="80" t="str">
        <x:v>No</x:v>
      </x:c>
      <x:c r="J250" s="80" t="str">
        <x:v>No</x:v>
      </x:c>
      <x:c r="K250" s="80" t="str">
        <x:v>No</x:v>
      </x:c>
      <x:c r="L250" s="82" t="n">
        <x:v>0.06</x:v>
      </x:c>
      <x:c r="M250" s="80" t="str">
        <x:v>COO</x:v>
      </x:c>
      <x:c r="N250" s="80" t="str">
        <x:f>IF(OR(I250="No",J250="No"),"Yes","No")</x:f>
        <x:v>Yes</x:v>
      </x:c>
      <x:c r="O250" s="80" t="str">
        <x:f>IF(COUNTIFS($C:$C,C250)&lt;5,"Yes","No")</x:f>
        <x:v>No</x:v>
      </x:c>
      <x:c r="P250" s="81" t="n">
        <x:f>IF(K250="Yes",H250*L250,0)</x:f>
        <x:v>0</x:v>
      </x:c>
      <x:c r="Q250" s="80" t="str">
        <x:f>IF(N250="Yes","Maverick / non-preferred",IF(O250="Yes","Tail consolidation",IF(K250="Yes","Category sourcing","Non-addressable")))</x:f>
        <x:v>Maverick / non-preferred</x:v>
      </x:c>
      <x:c r="R250" s="83" t="str">
        <x:f>IF(P250&gt;=10000,"High",IF(P250&gt;=3000,"Medium","Low"))</x:f>
        <x:v>Low</x:v>
      </x:c>
    </x:row>
    <x:row r="251">
      <x:c r="A251" s="78" t="n">
        <x:v>247</x:v>
      </x:c>
      <x:c r="B251" s="79" t="n">
        <x:v>45662</x:v>
      </x:c>
      <x:c r="C251" s="80" t="str">
        <x:v>LaborFlex</x:v>
      </x:c>
      <x:c r="D251" s="80" t="str">
        <x:v>Temp Labor</x:v>
      </x:c>
      <x:c r="E251" s="80" t="str">
        <x:v>Indirect</x:v>
      </x:c>
      <x:c r="F251" s="80" t="str">
        <x:v>Chicago</x:v>
      </x:c>
      <x:c r="G251" s="80" t="str">
        <x:v>Field Operations</x:v>
      </x:c>
      <x:c r="H251" s="81" t="n">
        <x:v>85870</x:v>
      </x:c>
      <x:c r="I251" s="80" t="str">
        <x:v>Yes</x:v>
      </x:c>
      <x:c r="J251" s="80" t="str">
        <x:v>Yes</x:v>
      </x:c>
      <x:c r="K251" s="80" t="str">
        <x:v>No</x:v>
      </x:c>
      <x:c r="L251" s="82" t="n">
        <x:v>0.07</x:v>
      </x:c>
      <x:c r="M251" s="80" t="str">
        <x:v>CHRO</x:v>
      </x:c>
      <x:c r="N251" s="80" t="str">
        <x:f>IF(OR(I251="No",J251="No"),"Yes","No")</x:f>
        <x:v>No</x:v>
      </x:c>
      <x:c r="O251" s="80" t="str">
        <x:f>IF(COUNTIFS($C:$C,C251)&lt;5,"Yes","No")</x:f>
        <x:v>No</x:v>
      </x:c>
      <x:c r="P251" s="81" t="n">
        <x:f>IF(K251="Yes",H251*L251,0)</x:f>
        <x:v>0</x:v>
      </x:c>
      <x:c r="Q251" s="80" t="str">
        <x:f>IF(N251="Yes","Maverick / non-preferred",IF(O251="Yes","Tail consolidation",IF(K251="Yes","Category sourcing","Non-addressable")))</x:f>
        <x:v>Non-addressable</x:v>
      </x:c>
      <x:c r="R251" s="83" t="str">
        <x:f>IF(P251&gt;=10000,"High",IF(P251&gt;=3000,"Medium","Low"))</x:f>
        <x:v>Low</x:v>
      </x:c>
    </x:row>
    <x:row r="252">
      <x:c r="A252" s="78" t="n">
        <x:v>248</x:v>
      </x:c>
      <x:c r="B252" s="79" t="n">
        <x:v>45923</x:v>
      </x:c>
      <x:c r="C252" s="80" t="str">
        <x:v>MobileWorks</x:v>
      </x:c>
      <x:c r="D252" s="80" t="str">
        <x:v>Telecom</x:v>
      </x:c>
      <x:c r="E252" s="80" t="str">
        <x:v>Indirect</x:v>
      </x:c>
      <x:c r="F252" s="80" t="str">
        <x:v>Atlanta</x:v>
      </x:c>
      <x:c r="G252" s="80" t="str">
        <x:v>Field Operations</x:v>
      </x:c>
      <x:c r="H252" s="81" t="n">
        <x:v>2390</x:v>
      </x:c>
      <x:c r="I252" s="80" t="str">
        <x:v>No</x:v>
      </x:c>
      <x:c r="J252" s="80" t="str">
        <x:v>No</x:v>
      </x:c>
      <x:c r="K252" s="80" t="str">
        <x:v>Yes</x:v>
      </x:c>
      <x:c r="L252" s="82" t="n">
        <x:v>0.15</x:v>
      </x:c>
      <x:c r="M252" s="80" t="str">
        <x:v>CIO</x:v>
      </x:c>
      <x:c r="N252" s="80" t="str">
        <x:f>IF(OR(I252="No",J252="No"),"Yes","No")</x:f>
        <x:v>Yes</x:v>
      </x:c>
      <x:c r="O252" s="80" t="str">
        <x:f>IF(COUNTIFS($C:$C,C252)&lt;5,"Yes","No")</x:f>
        <x:v>No</x:v>
      </x:c>
      <x:c r="P252" s="81" t="n">
        <x:f>IF(K252="Yes",H252*L252,0)</x:f>
        <x:v>358.5</x:v>
      </x:c>
      <x:c r="Q252" s="80" t="str">
        <x:f>IF(N252="Yes","Maverick / non-preferred",IF(O252="Yes","Tail consolidation",IF(K252="Yes","Category sourcing","Non-addressable")))</x:f>
        <x:v>Maverick / non-preferred</x:v>
      </x:c>
      <x:c r="R252" s="83" t="str">
        <x:f>IF(P252&gt;=10000,"High",IF(P252&gt;=3000,"Medium","Low"))</x:f>
        <x:v>Low</x:v>
      </x:c>
    </x:row>
    <x:row r="253">
      <x:c r="A253" s="78" t="n">
        <x:v>249</x:v>
      </x:c>
      <x:c r="B253" s="79" t="n">
        <x:v>45689</x:v>
      </x:c>
      <x:c r="C253" s="80" t="str">
        <x:v>PowerCare</x:v>
      </x:c>
      <x:c r="D253" s="80" t="str">
        <x:v>Facilities</x:v>
      </x:c>
      <x:c r="E253" s="80" t="str">
        <x:v>Indirect</x:v>
      </x:c>
      <x:c r="F253" s="80" t="str">
        <x:v>Columbus</x:v>
      </x:c>
      <x:c r="G253" s="80" t="str">
        <x:v>Manufacturing</x:v>
      </x:c>
      <x:c r="H253" s="81" t="n">
        <x:v>1610</x:v>
      </x:c>
      <x:c r="I253" s="80" t="str">
        <x:v>Yes</x:v>
      </x:c>
      <x:c r="J253" s="80" t="str">
        <x:v>No</x:v>
      </x:c>
      <x:c r="K253" s="80" t="str">
        <x:v>Yes</x:v>
      </x:c>
      <x:c r="L253" s="82" t="n">
        <x:v>0.1</x:v>
      </x:c>
      <x:c r="M253" s="80" t="str">
        <x:v>COO</x:v>
      </x:c>
      <x:c r="N253" s="80" t="str">
        <x:f>IF(OR(I253="No",J253="No"),"Yes","No")</x:f>
        <x:v>Yes</x:v>
      </x:c>
      <x:c r="O253" s="80" t="str">
        <x:f>IF(COUNTIFS($C:$C,C253)&lt;5,"Yes","No")</x:f>
        <x:v>No</x:v>
      </x:c>
      <x:c r="P253" s="81" t="n">
        <x:f>IF(K253="Yes",H253*L253,0)</x:f>
        <x:v>161</x:v>
      </x:c>
      <x:c r="Q253" s="80" t="str">
        <x:f>IF(N253="Yes","Maverick / non-preferred",IF(O253="Yes","Tail consolidation",IF(K253="Yes","Category sourcing","Non-addressable")))</x:f>
        <x:v>Maverick / non-preferred</x:v>
      </x:c>
      <x:c r="R253" s="83" t="str">
        <x:f>IF(P253&gt;=10000,"High",IF(P253&gt;=3000,"Medium","Low"))</x:f>
        <x:v>Low</x:v>
      </x:c>
    </x:row>
    <x:row r="254">
      <x:c r="A254" s="78" t="n">
        <x:v>250</x:v>
      </x:c>
      <x:c r="B254" s="79" t="n">
        <x:v>45912</x:v>
      </x:c>
      <x:c r="C254" s="80" t="str">
        <x:v>OfficeCloud</x:v>
      </x:c>
      <x:c r="D254" s="80" t="str">
        <x:v>IT Software</x:v>
      </x:c>
      <x:c r="E254" s="80" t="str">
        <x:v>Indirect</x:v>
      </x:c>
      <x:c r="F254" s="80" t="str">
        <x:v>Atlanta</x:v>
      </x:c>
      <x:c r="G254" s="80" t="str">
        <x:v>Corporate</x:v>
      </x:c>
      <x:c r="H254" s="81" t="n">
        <x:v>4920</x:v>
      </x:c>
      <x:c r="I254" s="80" t="str">
        <x:v>No</x:v>
      </x:c>
      <x:c r="J254" s="80" t="str">
        <x:v>No</x:v>
      </x:c>
      <x:c r="K254" s="80" t="str">
        <x:v>Yes</x:v>
      </x:c>
      <x:c r="L254" s="82" t="n">
        <x:v>0.12</x:v>
      </x:c>
      <x:c r="M254" s="80" t="str">
        <x:v>CIO</x:v>
      </x:c>
      <x:c r="N254" s="80" t="str">
        <x:f>IF(OR(I254="No",J254="No"),"Yes","No")</x:f>
        <x:v>Yes</x:v>
      </x:c>
      <x:c r="O254" s="80" t="str">
        <x:f>IF(COUNTIFS($C:$C,C254)&lt;5,"Yes","No")</x:f>
        <x:v>No</x:v>
      </x:c>
      <x:c r="P254" s="81" t="n">
        <x:f>IF(K254="Yes",H254*L254,0)</x:f>
        <x:v>590.4</x:v>
      </x:c>
      <x:c r="Q254" s="80" t="str">
        <x:f>IF(N254="Yes","Maverick / non-preferred",IF(O254="Yes","Tail consolidation",IF(K254="Yes","Category sourcing","Non-addressable")))</x:f>
        <x:v>Maverick / non-preferred</x:v>
      </x:c>
      <x:c r="R254" s="83" t="str">
        <x:f>IF(P254&gt;=10000,"High",IF(P254&gt;=3000,"Medium","Low"))</x:f>
        <x:v>Low</x:v>
      </x:c>
    </x:row>
    <x:row r="255">
      <x:c r="A255" s="78" t="n">
        <x:v>251</x:v>
      </x:c>
      <x:c r="B255" s="79" t="n">
        <x:v>45778</x:v>
      </x:c>
      <x:c r="C255" s="80" t="str">
        <x:v>ToolWorks</x:v>
      </x:c>
      <x:c r="D255" s="80" t="str">
        <x:v>MRO</x:v>
      </x:c>
      <x:c r="E255" s="80" t="str">
        <x:v>Direct</x:v>
      </x:c>
      <x:c r="F255" s="80" t="str">
        <x:v>Phoenix</x:v>
      </x:c>
      <x:c r="G255" s="80" t="str">
        <x:v>Corporate</x:v>
      </x:c>
      <x:c r="H255" s="81" t="n">
        <x:v>23020</x:v>
      </x:c>
      <x:c r="I255" s="80" t="str">
        <x:v>No</x:v>
      </x:c>
      <x:c r="J255" s="80" t="str">
        <x:v>No</x:v>
      </x:c>
      <x:c r="K255" s="80" t="str">
        <x:v>No</x:v>
      </x:c>
      <x:c r="L255" s="82" t="n">
        <x:v>0.06</x:v>
      </x:c>
      <x:c r="M255" s="80" t="str">
        <x:v>COO</x:v>
      </x:c>
      <x:c r="N255" s="80" t="str">
        <x:f>IF(OR(I255="No",J255="No"),"Yes","No")</x:f>
        <x:v>Yes</x:v>
      </x:c>
      <x:c r="O255" s="80" t="str">
        <x:f>IF(COUNTIFS($C:$C,C255)&lt;5,"Yes","No")</x:f>
        <x:v>No</x:v>
      </x:c>
      <x:c r="P255" s="81" t="n">
        <x:f>IF(K255="Yes",H255*L255,0)</x:f>
        <x:v>0</x:v>
      </x:c>
      <x:c r="Q255" s="80" t="str">
        <x:f>IF(N255="Yes","Maverick / non-preferred",IF(O255="Yes","Tail consolidation",IF(K255="Yes","Category sourcing","Non-addressable")))</x:f>
        <x:v>Maverick / non-preferred</x:v>
      </x:c>
      <x:c r="R255" s="83" t="str">
        <x:f>IF(P255&gt;=10000,"High",IF(P255&gt;=3000,"Medium","Low"))</x:f>
        <x:v>Low</x:v>
      </x:c>
    </x:row>
    <x:row r="256">
      <x:c r="A256" s="78" t="n">
        <x:v>252</x:v>
      </x:c>
      <x:c r="B256" s="79" t="n">
        <x:v>45870</x:v>
      </x:c>
      <x:c r="C256" s="80" t="str">
        <x:v>LaborFlex</x:v>
      </x:c>
      <x:c r="D256" s="80" t="str">
        <x:v>Temp Labor</x:v>
      </x:c>
      <x:c r="E256" s="80" t="str">
        <x:v>Indirect</x:v>
      </x:c>
      <x:c r="F256" s="80" t="str">
        <x:v>Dallas</x:v>
      </x:c>
      <x:c r="G256" s="80" t="str">
        <x:v>Field Operations</x:v>
      </x:c>
      <x:c r="H256" s="81" t="n">
        <x:v>74610</x:v>
      </x:c>
      <x:c r="I256" s="80" t="str">
        <x:v>Yes</x:v>
      </x:c>
      <x:c r="J256" s="80" t="str">
        <x:v>Yes</x:v>
      </x:c>
      <x:c r="K256" s="80" t="str">
        <x:v>No</x:v>
      </x:c>
      <x:c r="L256" s="82" t="n">
        <x:v>0.07</x:v>
      </x:c>
      <x:c r="M256" s="80" t="str">
        <x:v>CHRO</x:v>
      </x:c>
      <x:c r="N256" s="80" t="str">
        <x:f>IF(OR(I256="No",J256="No"),"Yes","No")</x:f>
        <x:v>No</x:v>
      </x:c>
      <x:c r="O256" s="80" t="str">
        <x:f>IF(COUNTIFS($C:$C,C256)&lt;5,"Yes","No")</x:f>
        <x:v>No</x:v>
      </x:c>
      <x:c r="P256" s="81" t="n">
        <x:f>IF(K256="Yes",H256*L256,0)</x:f>
        <x:v>0</x:v>
      </x:c>
      <x:c r="Q256" s="80" t="str">
        <x:f>IF(N256="Yes","Maverick / non-preferred",IF(O256="Yes","Tail consolidation",IF(K256="Yes","Category sourcing","Non-addressable")))</x:f>
        <x:v>Non-addressable</x:v>
      </x:c>
      <x:c r="R256" s="83" t="str">
        <x:f>IF(P256&gt;=10000,"High",IF(P256&gt;=3000,"Medium","Low"))</x:f>
        <x:v>Low</x:v>
      </x:c>
    </x:row>
    <x:row r="257">
      <x:c r="A257" s="78" t="n">
        <x:v>253</x:v>
      </x:c>
      <x:c r="B257" s="79" t="n">
        <x:v>45974</x:v>
      </x:c>
      <x:c r="C257" s="80" t="str">
        <x:v>SecureID</x:v>
      </x:c>
      <x:c r="D257" s="80" t="str">
        <x:v>IT Software</x:v>
      </x:c>
      <x:c r="E257" s="80" t="str">
        <x:v>Indirect</x:v>
      </x:c>
      <x:c r="F257" s="80" t="str">
        <x:v>Columbus</x:v>
      </x:c>
      <x:c r="G257" s="80" t="str">
        <x:v>Field Operations</x:v>
      </x:c>
      <x:c r="H257" s="81" t="n">
        <x:v>4790</x:v>
      </x:c>
      <x:c r="I257" s="80" t="str">
        <x:v>No</x:v>
      </x:c>
      <x:c r="J257" s="80" t="str">
        <x:v>Yes</x:v>
      </x:c>
      <x:c r="K257" s="80" t="str">
        <x:v>Yes</x:v>
      </x:c>
      <x:c r="L257" s="82" t="n">
        <x:v>0.12</x:v>
      </x:c>
      <x:c r="M257" s="80" t="str">
        <x:v>CIO</x:v>
      </x:c>
      <x:c r="N257" s="80" t="str">
        <x:f>IF(OR(I257="No",J257="No"),"Yes","No")</x:f>
        <x:v>Yes</x:v>
      </x:c>
      <x:c r="O257" s="80" t="str">
        <x:f>IF(COUNTIFS($C:$C,C257)&lt;5,"Yes","No")</x:f>
        <x:v>No</x:v>
      </x:c>
      <x:c r="P257" s="81" t="n">
        <x:f>IF(K257="Yes",H257*L257,0)</x:f>
        <x:v>574.8</x:v>
      </x:c>
      <x:c r="Q257" s="80" t="str">
        <x:f>IF(N257="Yes","Maverick / non-preferred",IF(O257="Yes","Tail consolidation",IF(K257="Yes","Category sourcing","Non-addressable")))</x:f>
        <x:v>Maverick / non-preferred</x:v>
      </x:c>
      <x:c r="R257" s="83" t="str">
        <x:f>IF(P257&gt;=10000,"High",IF(P257&gt;=3000,"Medium","Low"))</x:f>
        <x:v>Low</x:v>
      </x:c>
    </x:row>
    <x:row r="258">
      <x:c r="A258" s="78" t="n">
        <x:v>254</x:v>
      </x:c>
      <x:c r="B258" s="79" t="n">
        <x:v>45978</x:v>
      </x:c>
      <x:c r="C258" s="80" t="str">
        <x:v>CleanCo</x:v>
      </x:c>
      <x:c r="D258" s="80" t="str">
        <x:v>Facilities</x:v>
      </x:c>
      <x:c r="E258" s="80" t="str">
        <x:v>Indirect</x:v>
      </x:c>
      <x:c r="F258" s="80" t="str">
        <x:v>Chicago</x:v>
      </x:c>
      <x:c r="G258" s="80" t="str">
        <x:v>Corporate</x:v>
      </x:c>
      <x:c r="H258" s="81" t="n">
        <x:v>5960</x:v>
      </x:c>
      <x:c r="I258" s="80" t="str">
        <x:v>Yes</x:v>
      </x:c>
      <x:c r="J258" s="80" t="str">
        <x:v>Yes</x:v>
      </x:c>
      <x:c r="K258" s="80" t="str">
        <x:v>Yes</x:v>
      </x:c>
      <x:c r="L258" s="82" t="n">
        <x:v>0.1</x:v>
      </x:c>
      <x:c r="M258" s="80" t="str">
        <x:v>COO</x:v>
      </x:c>
      <x:c r="N258" s="80" t="str">
        <x:f>IF(OR(I258="No",J258="No"),"Yes","No")</x:f>
        <x:v>No</x:v>
      </x:c>
      <x:c r="O258" s="80" t="str">
        <x:f>IF(COUNTIFS($C:$C,C258)&lt;5,"Yes","No")</x:f>
        <x:v>Yes</x:v>
      </x:c>
      <x:c r="P258" s="81" t="n">
        <x:f>IF(K258="Yes",H258*L258,0)</x:f>
        <x:v>596</x:v>
      </x:c>
      <x:c r="Q258" s="80" t="str">
        <x:f>IF(N258="Yes","Maverick / non-preferred",IF(O258="Yes","Tail consolidation",IF(K258="Yes","Category sourcing","Non-addressable")))</x:f>
        <x:v>Tail consolidation</x:v>
      </x:c>
      <x:c r="R258" s="83" t="str">
        <x:f>IF(P258&gt;=10000,"High",IF(P258&gt;=3000,"Medium","Low"))</x:f>
        <x:v>Low</x:v>
      </x:c>
    </x:row>
    <x:row r="259">
      <x:c r="A259" s="78" t="n">
        <x:v>255</x:v>
      </x:c>
      <x:c r="B259" s="79" t="n">
        <x:v>45988</x:v>
      </x:c>
      <x:c r="C259" s="80" t="str">
        <x:v>FiberOne</x:v>
      </x:c>
      <x:c r="D259" s="80" t="str">
        <x:v>Telecom</x:v>
      </x:c>
      <x:c r="E259" s="80" t="str">
        <x:v>Indirect</x:v>
      </x:c>
      <x:c r="F259" s="80" t="str">
        <x:v>Columbus</x:v>
      </x:c>
      <x:c r="G259" s="80" t="str">
        <x:v>Field Operations</x:v>
      </x:c>
      <x:c r="H259" s="81" t="n">
        <x:v>4820</x:v>
      </x:c>
      <x:c r="I259" s="80" t="str">
        <x:v>No</x:v>
      </x:c>
      <x:c r="J259" s="80" t="str">
        <x:v>No</x:v>
      </x:c>
      <x:c r="K259" s="80" t="str">
        <x:v>Yes</x:v>
      </x:c>
      <x:c r="L259" s="82" t="n">
        <x:v>0.15</x:v>
      </x:c>
      <x:c r="M259" s="80" t="str">
        <x:v>CIO</x:v>
      </x:c>
      <x:c r="N259" s="80" t="str">
        <x:f>IF(OR(I259="No",J259="No"),"Yes","No")</x:f>
        <x:v>Yes</x:v>
      </x:c>
      <x:c r="O259" s="80" t="str">
        <x:f>IF(COUNTIFS($C:$C,C259)&lt;5,"Yes","No")</x:f>
        <x:v>No</x:v>
      </x:c>
      <x:c r="P259" s="81" t="n">
        <x:f>IF(K259="Yes",H259*L259,0)</x:f>
        <x:v>723</x:v>
      </x:c>
      <x:c r="Q259" s="80" t="str">
        <x:f>IF(N259="Yes","Maverick / non-preferred",IF(O259="Yes","Tail consolidation",IF(K259="Yes","Category sourcing","Non-addressable")))</x:f>
        <x:v>Maverick / non-preferred</x:v>
      </x:c>
      <x:c r="R259" s="83" t="str">
        <x:f>IF(P259&gt;=10000,"High",IF(P259&gt;=3000,"Medium","Low"))</x:f>
        <x:v>Low</x:v>
      </x:c>
    </x:row>
    <x:row r="260">
      <x:c r="A260" s="78" t="n">
        <x:v>256</x:v>
      </x:c>
      <x:c r="B260" s="79" t="n">
        <x:v>45764</x:v>
      </x:c>
      <x:c r="C260" s="80" t="str">
        <x:v>ShiftPro</x:v>
      </x:c>
      <x:c r="D260" s="80" t="str">
        <x:v>Temp Labor</x:v>
      </x:c>
      <x:c r="E260" s="80" t="str">
        <x:v>Indirect</x:v>
      </x:c>
      <x:c r="F260" s="80" t="str">
        <x:v>Chicago</x:v>
      </x:c>
      <x:c r="G260" s="80" t="str">
        <x:v>Distribution</x:v>
      </x:c>
      <x:c r="H260" s="81" t="n">
        <x:v>15050</x:v>
      </x:c>
      <x:c r="I260" s="80" t="str">
        <x:v>No</x:v>
      </x:c>
      <x:c r="J260" s="80" t="str">
        <x:v>No</x:v>
      </x:c>
      <x:c r="K260" s="80" t="str">
        <x:v>No</x:v>
      </x:c>
      <x:c r="L260" s="82" t="n">
        <x:v>0.07</x:v>
      </x:c>
      <x:c r="M260" s="80" t="str">
        <x:v>CHRO</x:v>
      </x:c>
      <x:c r="N260" s="80" t="str">
        <x:f>IF(OR(I260="No",J260="No"),"Yes","No")</x:f>
        <x:v>Yes</x:v>
      </x:c>
      <x:c r="O260" s="80" t="str">
        <x:f>IF(COUNTIFS($C:$C,C260)&lt;5,"Yes","No")</x:f>
        <x:v>No</x:v>
      </x:c>
      <x:c r="P260" s="81" t="n">
        <x:f>IF(K260="Yes",H260*L260,0)</x:f>
        <x:v>0</x:v>
      </x:c>
      <x:c r="Q260" s="80" t="str">
        <x:f>IF(N260="Yes","Maverick / non-preferred",IF(O260="Yes","Tail consolidation",IF(K260="Yes","Category sourcing","Non-addressable")))</x:f>
        <x:v>Maverick / non-preferred</x:v>
      </x:c>
      <x:c r="R260" s="83" t="str">
        <x:f>IF(P260&gt;=10000,"High",IF(P260&gt;=3000,"Medium","Low"))</x:f>
        <x:v>Low</x:v>
      </x:c>
    </x:row>
    <x:row r="261">
      <x:c r="A261" s="78" t="n">
        <x:v>257</x:v>
      </x:c>
      <x:c r="B261" s="79" t="n">
        <x:v>45809</x:v>
      </x:c>
      <x:c r="C261" s="80" t="str">
        <x:v>FastLane Carriers</x:v>
      </x:c>
      <x:c r="D261" s="80" t="str">
        <x:v>Freight &amp; Logistics</x:v>
      </x:c>
      <x:c r="E261" s="80" t="str">
        <x:v>Direct</x:v>
      </x:c>
      <x:c r="F261" s="80" t="str">
        <x:v>Chicago</x:v>
      </x:c>
      <x:c r="G261" s="80" t="str">
        <x:v>Corporate</x:v>
      </x:c>
      <x:c r="H261" s="81" t="n">
        <x:v>22920</x:v>
      </x:c>
      <x:c r="I261" s="80" t="str">
        <x:v>No</x:v>
      </x:c>
      <x:c r="J261" s="80" t="str">
        <x:v>No</x:v>
      </x:c>
      <x:c r="K261" s="80" t="str">
        <x:v>Yes</x:v>
      </x:c>
      <x:c r="L261" s="82" t="n">
        <x:v>0.08</x:v>
      </x:c>
      <x:c r="M261" s="80" t="str">
        <x:v>COO</x:v>
      </x:c>
      <x:c r="N261" s="80" t="str">
        <x:f>IF(OR(I261="No",J261="No"),"Yes","No")</x:f>
        <x:v>Yes</x:v>
      </x:c>
      <x:c r="O261" s="80" t="str">
        <x:f>IF(COUNTIFS($C:$C,C261)&lt;5,"Yes","No")</x:f>
        <x:v>No</x:v>
      </x:c>
      <x:c r="P261" s="81" t="n">
        <x:f>IF(K261="Yes",H261*L261,0)</x:f>
        <x:v>1833.6000000000001</x:v>
      </x:c>
      <x:c r="Q261" s="80" t="str">
        <x:f>IF(N261="Yes","Maverick / non-preferred",IF(O261="Yes","Tail consolidation",IF(K261="Yes","Category sourcing","Non-addressable")))</x:f>
        <x:v>Maverick / non-preferred</x:v>
      </x:c>
      <x:c r="R261" s="83" t="str">
        <x:f>IF(P261&gt;=10000,"High",IF(P261&gt;=3000,"Medium","Low"))</x:f>
        <x:v>Low</x:v>
      </x:c>
    </x:row>
    <x:row r="262">
      <x:c r="A262" s="78" t="n">
        <x:v>258</x:v>
      </x:c>
      <x:c r="B262" s="79" t="n">
        <x:v>45980</x:v>
      </x:c>
      <x:c r="C262" s="80" t="str">
        <x:v>BrandNorth</x:v>
      </x:c>
      <x:c r="D262" s="80" t="str">
        <x:v>Professional Services</x:v>
      </x:c>
      <x:c r="E262" s="80" t="str">
        <x:v>Indirect</x:v>
      </x:c>
      <x:c r="F262" s="80" t="str">
        <x:v>Atlanta</x:v>
      </x:c>
      <x:c r="G262" s="80" t="str">
        <x:v>Manufacturing</x:v>
      </x:c>
      <x:c r="H262" s="81" t="n">
        <x:v>10790</x:v>
      </x:c>
      <x:c r="I262" s="80" t="str">
        <x:v>Yes</x:v>
      </x:c>
      <x:c r="J262" s="80" t="str">
        <x:v>No</x:v>
      </x:c>
      <x:c r="K262" s="80" t="str">
        <x:v>No</x:v>
      </x:c>
      <x:c r="L262" s="82" t="n">
        <x:v>0.09</x:v>
      </x:c>
      <x:c r="M262" s="80" t="str">
        <x:v>CFO</x:v>
      </x:c>
      <x:c r="N262" s="80" t="str">
        <x:f>IF(OR(I262="No",J262="No"),"Yes","No")</x:f>
        <x:v>Yes</x:v>
      </x:c>
      <x:c r="O262" s="80" t="str">
        <x:f>IF(COUNTIFS($C:$C,C262)&lt;5,"Yes","No")</x:f>
        <x:v>No</x:v>
      </x:c>
      <x:c r="P262" s="81" t="n">
        <x:f>IF(K262="Yes",H262*L262,0)</x:f>
        <x:v>0</x:v>
      </x:c>
      <x:c r="Q262" s="80" t="str">
        <x:f>IF(N262="Yes","Maverick / non-preferred",IF(O262="Yes","Tail consolidation",IF(K262="Yes","Category sourcing","Non-addressable")))</x:f>
        <x:v>Maverick / non-preferred</x:v>
      </x:c>
      <x:c r="R262" s="83" t="str">
        <x:f>IF(P262&gt;=10000,"High",IF(P262&gt;=3000,"Medium","Low"))</x:f>
        <x:v>Low</x:v>
      </x:c>
    </x:row>
    <x:row r="263">
      <x:c r="A263" s="78" t="n">
        <x:v>259</x:v>
      </x:c>
      <x:c r="B263" s="79" t="n">
        <x:v>45954</x:v>
      </x:c>
      <x:c r="C263" s="80" t="str">
        <x:v>BrandNorth</x:v>
      </x:c>
      <x:c r="D263" s="80" t="str">
        <x:v>Professional Services</x:v>
      </x:c>
      <x:c r="E263" s="80" t="str">
        <x:v>Indirect</x:v>
      </x:c>
      <x:c r="F263" s="80" t="str">
        <x:v>Phoenix</x:v>
      </x:c>
      <x:c r="G263" s="80" t="str">
        <x:v>Manufacturing</x:v>
      </x:c>
      <x:c r="H263" s="81" t="n">
        <x:v>55020</x:v>
      </x:c>
      <x:c r="I263" s="80" t="str">
        <x:v>Yes</x:v>
      </x:c>
      <x:c r="J263" s="80" t="str">
        <x:v>No</x:v>
      </x:c>
      <x:c r="K263" s="80" t="str">
        <x:v>No</x:v>
      </x:c>
      <x:c r="L263" s="82" t="n">
        <x:v>0.09</x:v>
      </x:c>
      <x:c r="M263" s="80" t="str">
        <x:v>CFO</x:v>
      </x:c>
      <x:c r="N263" s="80" t="str">
        <x:f>IF(OR(I263="No",J263="No"),"Yes","No")</x:f>
        <x:v>Yes</x:v>
      </x:c>
      <x:c r="O263" s="80" t="str">
        <x:f>IF(COUNTIFS($C:$C,C263)&lt;5,"Yes","No")</x:f>
        <x:v>No</x:v>
      </x:c>
      <x:c r="P263" s="81" t="n">
        <x:f>IF(K263="Yes",H263*L263,0)</x:f>
        <x:v>0</x:v>
      </x:c>
      <x:c r="Q263" s="80" t="str">
        <x:f>IF(N263="Yes","Maverick / non-preferred",IF(O263="Yes","Tail consolidation",IF(K263="Yes","Category sourcing","Non-addressable")))</x:f>
        <x:v>Maverick / non-preferred</x:v>
      </x:c>
      <x:c r="R263" s="83" t="str">
        <x:f>IF(P263&gt;=10000,"High",IF(P263&gt;=3000,"Medium","Low"))</x:f>
        <x:v>Low</x:v>
      </x:c>
    </x:row>
    <x:row r="264">
      <x:c r="A264" s="78" t="n">
        <x:v>260</x:v>
      </x:c>
      <x:c r="B264" s="79" t="n">
        <x:v>45735</x:v>
      </x:c>
      <x:c r="C264" s="80" t="str">
        <x:v>ShiftPro</x:v>
      </x:c>
      <x:c r="D264" s="80" t="str">
        <x:v>Temp Labor</x:v>
      </x:c>
      <x:c r="E264" s="80" t="str">
        <x:v>Indirect</x:v>
      </x:c>
      <x:c r="F264" s="80" t="str">
        <x:v>Chicago</x:v>
      </x:c>
      <x:c r="G264" s="80" t="str">
        <x:v>Distribution</x:v>
      </x:c>
      <x:c r="H264" s="81" t="n">
        <x:v>38760</x:v>
      </x:c>
      <x:c r="I264" s="80" t="str">
        <x:v>No</x:v>
      </x:c>
      <x:c r="J264" s="80" t="str">
        <x:v>No</x:v>
      </x:c>
      <x:c r="K264" s="80" t="str">
        <x:v>No</x:v>
      </x:c>
      <x:c r="L264" s="82" t="n">
        <x:v>0.07</x:v>
      </x:c>
      <x:c r="M264" s="80" t="str">
        <x:v>CHRO</x:v>
      </x:c>
      <x:c r="N264" s="80" t="str">
        <x:f>IF(OR(I264="No",J264="No"),"Yes","No")</x:f>
        <x:v>Yes</x:v>
      </x:c>
      <x:c r="O264" s="80" t="str">
        <x:f>IF(COUNTIFS($C:$C,C264)&lt;5,"Yes","No")</x:f>
        <x:v>No</x:v>
      </x:c>
      <x:c r="P264" s="81" t="n">
        <x:f>IF(K264="Yes",H264*L264,0)</x:f>
        <x:v>0</x:v>
      </x:c>
      <x:c r="Q264" s="80" t="str">
        <x:f>IF(N264="Yes","Maverick / non-preferred",IF(O264="Yes","Tail consolidation",IF(K264="Yes","Category sourcing","Non-addressable")))</x:f>
        <x:v>Maverick / non-preferred</x:v>
      </x:c>
      <x:c r="R264" s="83" t="str">
        <x:f>IF(P264&gt;=10000,"High",IF(P264&gt;=3000,"Medium","Low"))</x:f>
        <x:v>Low</x:v>
      </x:c>
    </x:row>
    <x:row r="265">
      <x:c r="A265" s="78" t="n">
        <x:v>261</x:v>
      </x:c>
      <x:c r="B265" s="79" t="n">
        <x:v>45997</x:v>
      </x:c>
      <x:c r="C265" s="80" t="str">
        <x:v>ShiftPro</x:v>
      </x:c>
      <x:c r="D265" s="80" t="str">
        <x:v>Temp Labor</x:v>
      </x:c>
      <x:c r="E265" s="80" t="str">
        <x:v>Indirect</x:v>
      </x:c>
      <x:c r="F265" s="80" t="str">
        <x:v>Chicago</x:v>
      </x:c>
      <x:c r="G265" s="80" t="str">
        <x:v>Distribution</x:v>
      </x:c>
      <x:c r="H265" s="81" t="n">
        <x:v>2970</x:v>
      </x:c>
      <x:c r="I265" s="80" t="str">
        <x:v>No</x:v>
      </x:c>
      <x:c r="J265" s="80" t="str">
        <x:v>No</x:v>
      </x:c>
      <x:c r="K265" s="80" t="str">
        <x:v>No</x:v>
      </x:c>
      <x:c r="L265" s="82" t="n">
        <x:v>0.07</x:v>
      </x:c>
      <x:c r="M265" s="80" t="str">
        <x:v>CHRO</x:v>
      </x:c>
      <x:c r="N265" s="80" t="str">
        <x:f>IF(OR(I265="No",J265="No"),"Yes","No")</x:f>
        <x:v>Yes</x:v>
      </x:c>
      <x:c r="O265" s="80" t="str">
        <x:f>IF(COUNTIFS($C:$C,C265)&lt;5,"Yes","No")</x:f>
        <x:v>No</x:v>
      </x:c>
      <x:c r="P265" s="81" t="n">
        <x:f>IF(K265="Yes",H265*L265,0)</x:f>
        <x:v>0</x:v>
      </x:c>
      <x:c r="Q265" s="80" t="str">
        <x:f>IF(N265="Yes","Maverick / non-preferred",IF(O265="Yes","Tail consolidation",IF(K265="Yes","Category sourcing","Non-addressable")))</x:f>
        <x:v>Maverick / non-preferred</x:v>
      </x:c>
      <x:c r="R265" s="83" t="str">
        <x:f>IF(P265&gt;=10000,"High",IF(P265&gt;=3000,"Medium","Low"))</x:f>
        <x:v>Low</x:v>
      </x:c>
    </x:row>
    <x:row r="266">
      <x:c r="A266" s="78" t="n">
        <x:v>262</x:v>
      </x:c>
      <x:c r="B266" s="79" t="n">
        <x:v>45713</x:v>
      </x:c>
      <x:c r="C266" s="80" t="str">
        <x:v>ConnectTel</x:v>
      </x:c>
      <x:c r="D266" s="80" t="str">
        <x:v>Telecom</x:v>
      </x:c>
      <x:c r="E266" s="80" t="str">
        <x:v>Indirect</x:v>
      </x:c>
      <x:c r="F266" s="80" t="str">
        <x:v>Dallas</x:v>
      </x:c>
      <x:c r="G266" s="80" t="str">
        <x:v>Distribution</x:v>
      </x:c>
      <x:c r="H266" s="81" t="n">
        <x:v>3470</x:v>
      </x:c>
      <x:c r="I266" s="80" t="str">
        <x:v>Yes</x:v>
      </x:c>
      <x:c r="J266" s="80" t="str">
        <x:v>Yes</x:v>
      </x:c>
      <x:c r="K266" s="80" t="str">
        <x:v>Yes</x:v>
      </x:c>
      <x:c r="L266" s="82" t="n">
        <x:v>0.15</x:v>
      </x:c>
      <x:c r="M266" s="80" t="str">
        <x:v>CIO</x:v>
      </x:c>
      <x:c r="N266" s="80" t="str">
        <x:f>IF(OR(I266="No",J266="No"),"Yes","No")</x:f>
        <x:v>No</x:v>
      </x:c>
      <x:c r="O266" s="80" t="str">
        <x:f>IF(COUNTIFS($C:$C,C266)&lt;5,"Yes","No")</x:f>
        <x:v>No</x:v>
      </x:c>
      <x:c r="P266" s="81" t="n">
        <x:f>IF(K266="Yes",H266*L266,0)</x:f>
        <x:v>520.5</x:v>
      </x:c>
      <x:c r="Q266" s="80" t="str">
        <x:f>IF(N266="Yes","Maverick / non-preferred",IF(O266="Yes","Tail consolidation",IF(K266="Yes","Category sourcing","Non-addressable")))</x:f>
        <x:v>Category sourcing</x:v>
      </x:c>
      <x:c r="R266" s="83" t="str">
        <x:f>IF(P266&gt;=10000,"High",IF(P266&gt;=3000,"Medium","Low"))</x:f>
        <x:v>Low</x:v>
      </x:c>
    </x:row>
    <x:row r="267">
      <x:c r="A267" s="78" t="n">
        <x:v>263</x:v>
      </x:c>
      <x:c r="B267" s="79" t="n">
        <x:v>45803</x:v>
      </x:c>
      <x:c r="C267" s="80" t="str">
        <x:v>AdvisoryCo</x:v>
      </x:c>
      <x:c r="D267" s="80" t="str">
        <x:v>Professional Services</x:v>
      </x:c>
      <x:c r="E267" s="80" t="str">
        <x:v>Indirect</x:v>
      </x:c>
      <x:c r="F267" s="80" t="str">
        <x:v>Chicago</x:v>
      </x:c>
      <x:c r="G267" s="80" t="str">
        <x:v>Corporate</x:v>
      </x:c>
      <x:c r="H267" s="81" t="n">
        <x:v>15380</x:v>
      </x:c>
      <x:c r="I267" s="80" t="str">
        <x:v>Yes</x:v>
      </x:c>
      <x:c r="J267" s="80" t="str">
        <x:v>Yes</x:v>
      </x:c>
      <x:c r="K267" s="80" t="str">
        <x:v>No</x:v>
      </x:c>
      <x:c r="L267" s="82" t="n">
        <x:v>0.09</x:v>
      </x:c>
      <x:c r="M267" s="80" t="str">
        <x:v>CFO</x:v>
      </x:c>
      <x:c r="N267" s="80" t="str">
        <x:f>IF(OR(I267="No",J267="No"),"Yes","No")</x:f>
        <x:v>No</x:v>
      </x:c>
      <x:c r="O267" s="80" t="str">
        <x:f>IF(COUNTIFS($C:$C,C267)&lt;5,"Yes","No")</x:f>
        <x:v>No</x:v>
      </x:c>
      <x:c r="P267" s="81" t="n">
        <x:f>IF(K267="Yes",H267*L267,0)</x:f>
        <x:v>0</x:v>
      </x:c>
      <x:c r="Q267" s="80" t="str">
        <x:f>IF(N267="Yes","Maverick / non-preferred",IF(O267="Yes","Tail consolidation",IF(K267="Yes","Category sourcing","Non-addressable")))</x:f>
        <x:v>Non-addressable</x:v>
      </x:c>
      <x:c r="R267" s="83" t="str">
        <x:f>IF(P267&gt;=10000,"High",IF(P267&gt;=3000,"Medium","Low"))</x:f>
        <x:v>Low</x:v>
      </x:c>
    </x:row>
    <x:row r="268">
      <x:c r="A268" s="78" t="n">
        <x:v>264</x:v>
      </x:c>
      <x:c r="B268" s="79" t="n">
        <x:v>46016</x:v>
      </x:c>
      <x:c r="C268" s="80" t="str">
        <x:v>LegalWorks</x:v>
      </x:c>
      <x:c r="D268" s="80" t="str">
        <x:v>Professional Services</x:v>
      </x:c>
      <x:c r="E268" s="80" t="str">
        <x:v>Indirect</x:v>
      </x:c>
      <x:c r="F268" s="80" t="str">
        <x:v>Dallas</x:v>
      </x:c>
      <x:c r="G268" s="80" t="str">
        <x:v>Field Operations</x:v>
      </x:c>
      <x:c r="H268" s="81" t="n">
        <x:v>12390</x:v>
      </x:c>
      <x:c r="I268" s="80" t="str">
        <x:v>No</x:v>
      </x:c>
      <x:c r="J268" s="80" t="str">
        <x:v>No</x:v>
      </x:c>
      <x:c r="K268" s="80" t="str">
        <x:v>No</x:v>
      </x:c>
      <x:c r="L268" s="82" t="n">
        <x:v>0.09</x:v>
      </x:c>
      <x:c r="M268" s="80" t="str">
        <x:v>CFO</x:v>
      </x:c>
      <x:c r="N268" s="80" t="str">
        <x:f>IF(OR(I268="No",J268="No"),"Yes","No")</x:f>
        <x:v>Yes</x:v>
      </x:c>
      <x:c r="O268" s="80" t="str">
        <x:f>IF(COUNTIFS($C:$C,C268)&lt;5,"Yes","No")</x:f>
        <x:v>No</x:v>
      </x:c>
      <x:c r="P268" s="81" t="n">
        <x:f>IF(K268="Yes",H268*L268,0)</x:f>
        <x:v>0</x:v>
      </x:c>
      <x:c r="Q268" s="80" t="str">
        <x:f>IF(N268="Yes","Maverick / non-preferred",IF(O268="Yes","Tail consolidation",IF(K268="Yes","Category sourcing","Non-addressable")))</x:f>
        <x:v>Maverick / non-preferred</x:v>
      </x:c>
      <x:c r="R268" s="83" t="str">
        <x:f>IF(P268&gt;=10000,"High",IF(P268&gt;=3000,"Medium","Low"))</x:f>
        <x:v>Low</x:v>
      </x:c>
    </x:row>
    <x:row r="269">
      <x:c r="A269" s="78" t="n">
        <x:v>265</x:v>
      </x:c>
      <x:c r="B269" s="79" t="n">
        <x:v>45973</x:v>
      </x:c>
      <x:c r="C269" s="80" t="str">
        <x:v>MobileWorks</x:v>
      </x:c>
      <x:c r="D269" s="80" t="str">
        <x:v>Telecom</x:v>
      </x:c>
      <x:c r="E269" s="80" t="str">
        <x:v>Indirect</x:v>
      </x:c>
      <x:c r="F269" s="80" t="str">
        <x:v>Dallas</x:v>
      </x:c>
      <x:c r="G269" s="80" t="str">
        <x:v>Manufacturing</x:v>
      </x:c>
      <x:c r="H269" s="81" t="n">
        <x:v>7190</x:v>
      </x:c>
      <x:c r="I269" s="80" t="str">
        <x:v>No</x:v>
      </x:c>
      <x:c r="J269" s="80" t="str">
        <x:v>No</x:v>
      </x:c>
      <x:c r="K269" s="80" t="str">
        <x:v>Yes</x:v>
      </x:c>
      <x:c r="L269" s="82" t="n">
        <x:v>0.15</x:v>
      </x:c>
      <x:c r="M269" s="80" t="str">
        <x:v>CIO</x:v>
      </x:c>
      <x:c r="N269" s="80" t="str">
        <x:f>IF(OR(I269="No",J269="No"),"Yes","No")</x:f>
        <x:v>Yes</x:v>
      </x:c>
      <x:c r="O269" s="80" t="str">
        <x:f>IF(COUNTIFS($C:$C,C269)&lt;5,"Yes","No")</x:f>
        <x:v>No</x:v>
      </x:c>
      <x:c r="P269" s="81" t="n">
        <x:f>IF(K269="Yes",H269*L269,0)</x:f>
        <x:v>1078.5</x:v>
      </x:c>
      <x:c r="Q269" s="80" t="str">
        <x:f>IF(N269="Yes","Maverick / non-preferred",IF(O269="Yes","Tail consolidation",IF(K269="Yes","Category sourcing","Non-addressable")))</x:f>
        <x:v>Maverick / non-preferred</x:v>
      </x:c>
      <x:c r="R269" s="83" t="str">
        <x:f>IF(P269&gt;=10000,"High",IF(P269&gt;=3000,"Medium","Low"))</x:f>
        <x:v>Low</x:v>
      </x:c>
    </x:row>
    <x:row r="270">
      <x:c r="A270" s="78" t="n">
        <x:v>266</x:v>
      </x:c>
      <x:c r="B270" s="79" t="n">
        <x:v>45829</x:v>
      </x:c>
      <x:c r="C270" s="80" t="str">
        <x:v>LegalWorks</x:v>
      </x:c>
      <x:c r="D270" s="80" t="str">
        <x:v>Professional Services</x:v>
      </x:c>
      <x:c r="E270" s="80" t="str">
        <x:v>Indirect</x:v>
      </x:c>
      <x:c r="F270" s="80" t="str">
        <x:v>Chicago</x:v>
      </x:c>
      <x:c r="G270" s="80" t="str">
        <x:v>Manufacturing</x:v>
      </x:c>
      <x:c r="H270" s="81" t="n">
        <x:v>7750</x:v>
      </x:c>
      <x:c r="I270" s="80" t="str">
        <x:v>No</x:v>
      </x:c>
      <x:c r="J270" s="80" t="str">
        <x:v>No</x:v>
      </x:c>
      <x:c r="K270" s="80" t="str">
        <x:v>No</x:v>
      </x:c>
      <x:c r="L270" s="82" t="n">
        <x:v>0.09</x:v>
      </x:c>
      <x:c r="M270" s="80" t="str">
        <x:v>CFO</x:v>
      </x:c>
      <x:c r="N270" s="80" t="str">
        <x:f>IF(OR(I270="No",J270="No"),"Yes","No")</x:f>
        <x:v>Yes</x:v>
      </x:c>
      <x:c r="O270" s="80" t="str">
        <x:f>IF(COUNTIFS($C:$C,C270)&lt;5,"Yes","No")</x:f>
        <x:v>No</x:v>
      </x:c>
      <x:c r="P270" s="81" t="n">
        <x:f>IF(K270="Yes",H270*L270,0)</x:f>
        <x:v>0</x:v>
      </x:c>
      <x:c r="Q270" s="80" t="str">
        <x:f>IF(N270="Yes","Maverick / non-preferred",IF(O270="Yes","Tail consolidation",IF(K270="Yes","Category sourcing","Non-addressable")))</x:f>
        <x:v>Maverick / non-preferred</x:v>
      </x:c>
      <x:c r="R270" s="83" t="str">
        <x:f>IF(P270&gt;=10000,"High",IF(P270&gt;=3000,"Medium","Low"))</x:f>
        <x:v>Low</x:v>
      </x:c>
    </x:row>
    <x:row r="271">
      <x:c r="A271" s="78" t="n">
        <x:v>267</x:v>
      </x:c>
      <x:c r="B271" s="79" t="n">
        <x:v>45918</x:v>
      </x:c>
      <x:c r="C271" s="80" t="str">
        <x:v>OfficeCloud</x:v>
      </x:c>
      <x:c r="D271" s="80" t="str">
        <x:v>IT Software</x:v>
      </x:c>
      <x:c r="E271" s="80" t="str">
        <x:v>Indirect</x:v>
      </x:c>
      <x:c r="F271" s="80" t="str">
        <x:v>Dallas</x:v>
      </x:c>
      <x:c r="G271" s="80" t="str">
        <x:v>Distribution</x:v>
      </x:c>
      <x:c r="H271" s="81" t="n">
        <x:v>3440</x:v>
      </x:c>
      <x:c r="I271" s="80" t="str">
        <x:v>Yes</x:v>
      </x:c>
      <x:c r="J271" s="80" t="str">
        <x:v>No</x:v>
      </x:c>
      <x:c r="K271" s="80" t="str">
        <x:v>Yes</x:v>
      </x:c>
      <x:c r="L271" s="82" t="n">
        <x:v>0.12</x:v>
      </x:c>
      <x:c r="M271" s="80" t="str">
        <x:v>CIO</x:v>
      </x:c>
      <x:c r="N271" s="80" t="str">
        <x:f>IF(OR(I271="No",J271="No"),"Yes","No")</x:f>
        <x:v>Yes</x:v>
      </x:c>
      <x:c r="O271" s="80" t="str">
        <x:f>IF(COUNTIFS($C:$C,C271)&lt;5,"Yes","No")</x:f>
        <x:v>No</x:v>
      </x:c>
      <x:c r="P271" s="81" t="n">
        <x:f>IF(K271="Yes",H271*L271,0)</x:f>
        <x:v>412.8</x:v>
      </x:c>
      <x:c r="Q271" s="80" t="str">
        <x:f>IF(N271="Yes","Maverick / non-preferred",IF(O271="Yes","Tail consolidation",IF(K271="Yes","Category sourcing","Non-addressable")))</x:f>
        <x:v>Maverick / non-preferred</x:v>
      </x:c>
      <x:c r="R271" s="83" t="str">
        <x:f>IF(P271&gt;=10000,"High",IF(P271&gt;=3000,"Medium","Low"))</x:f>
        <x:v>Low</x:v>
      </x:c>
    </x:row>
    <x:row r="272">
      <x:c r="A272" s="78" t="n">
        <x:v>268</x:v>
      </x:c>
      <x:c r="B272" s="79" t="n">
        <x:v>45948</x:v>
      </x:c>
      <x:c r="C272" s="80" t="str">
        <x:v>ShipMax</x:v>
      </x:c>
      <x:c r="D272" s="80" t="str">
        <x:v>Freight &amp; Logistics</x:v>
      </x:c>
      <x:c r="E272" s="80" t="str">
        <x:v>Direct</x:v>
      </x:c>
      <x:c r="F272" s="80" t="str">
        <x:v>Columbus</x:v>
      </x:c>
      <x:c r="G272" s="80" t="str">
        <x:v>Field Operations</x:v>
      </x:c>
      <x:c r="H272" s="81" t="n">
        <x:v>17230</x:v>
      </x:c>
      <x:c r="I272" s="80" t="str">
        <x:v>Yes</x:v>
      </x:c>
      <x:c r="J272" s="80" t="str">
        <x:v>Yes</x:v>
      </x:c>
      <x:c r="K272" s="80" t="str">
        <x:v>Yes</x:v>
      </x:c>
      <x:c r="L272" s="82" t="n">
        <x:v>0.08</x:v>
      </x:c>
      <x:c r="M272" s="80" t="str">
        <x:v>COO</x:v>
      </x:c>
      <x:c r="N272" s="80" t="str">
        <x:f>IF(OR(I272="No",J272="No"),"Yes","No")</x:f>
        <x:v>No</x:v>
      </x:c>
      <x:c r="O272" s="80" t="str">
        <x:f>IF(COUNTIFS($C:$C,C272)&lt;5,"Yes","No")</x:f>
        <x:v>No</x:v>
      </x:c>
      <x:c r="P272" s="81" t="n">
        <x:f>IF(K272="Yes",H272*L272,0)</x:f>
        <x:v>1378.4</x:v>
      </x:c>
      <x:c r="Q272" s="80" t="str">
        <x:f>IF(N272="Yes","Maverick / non-preferred",IF(O272="Yes","Tail consolidation",IF(K272="Yes","Category sourcing","Non-addressable")))</x:f>
        <x:v>Category sourcing</x:v>
      </x:c>
      <x:c r="R272" s="83" t="str">
        <x:f>IF(P272&gt;=10000,"High",IF(P272&gt;=3000,"Medium","Low"))</x:f>
        <x:v>Low</x:v>
      </x:c>
    </x:row>
    <x:row r="273">
      <x:c r="A273" s="78" t="n">
        <x:v>269</x:v>
      </x:c>
      <x:c r="B273" s="79" t="n">
        <x:v>45714</x:v>
      </x:c>
      <x:c r="C273" s="80" t="str">
        <x:v>MaintainCo</x:v>
      </x:c>
      <x:c r="D273" s="80" t="str">
        <x:v>MRO</x:v>
      </x:c>
      <x:c r="E273" s="80" t="str">
        <x:v>Direct</x:v>
      </x:c>
      <x:c r="F273" s="80" t="str">
        <x:v>Phoenix</x:v>
      </x:c>
      <x:c r="G273" s="80" t="str">
        <x:v>Corporate</x:v>
      </x:c>
      <x:c r="H273" s="81" t="n">
        <x:v>58930</x:v>
      </x:c>
      <x:c r="I273" s="80" t="str">
        <x:v>No</x:v>
      </x:c>
      <x:c r="J273" s="80" t="str">
        <x:v>No</x:v>
      </x:c>
      <x:c r="K273" s="80" t="str">
        <x:v>No</x:v>
      </x:c>
      <x:c r="L273" s="82" t="n">
        <x:v>0.06</x:v>
      </x:c>
      <x:c r="M273" s="80" t="str">
        <x:v>COO</x:v>
      </x:c>
      <x:c r="N273" s="80" t="str">
        <x:f>IF(OR(I273="No",J273="No"),"Yes","No")</x:f>
        <x:v>Yes</x:v>
      </x:c>
      <x:c r="O273" s="80" t="str">
        <x:f>IF(COUNTIFS($C:$C,C273)&lt;5,"Yes","No")</x:f>
        <x:v>No</x:v>
      </x:c>
      <x:c r="P273" s="81" t="n">
        <x:f>IF(K273="Yes",H273*L273,0)</x:f>
        <x:v>0</x:v>
      </x:c>
      <x:c r="Q273" s="80" t="str">
        <x:f>IF(N273="Yes","Maverick / non-preferred",IF(O273="Yes","Tail consolidation",IF(K273="Yes","Category sourcing","Non-addressable")))</x:f>
        <x:v>Maverick / non-preferred</x:v>
      </x:c>
      <x:c r="R273" s="83" t="str">
        <x:f>IF(P273&gt;=10000,"High",IF(P273&gt;=3000,"Medium","Low"))</x:f>
        <x:v>Low</x:v>
      </x:c>
    </x:row>
    <x:row r="274">
      <x:c r="A274" s="78" t="n">
        <x:v>270</x:v>
      </x:c>
      <x:c r="B274" s="79" t="n">
        <x:v>45781</x:v>
      </x:c>
      <x:c r="C274" s="80" t="str">
        <x:v>BrandNorth</x:v>
      </x:c>
      <x:c r="D274" s="80" t="str">
        <x:v>Professional Services</x:v>
      </x:c>
      <x:c r="E274" s="80" t="str">
        <x:v>Indirect</x:v>
      </x:c>
      <x:c r="F274" s="80" t="str">
        <x:v>Phoenix</x:v>
      </x:c>
      <x:c r="G274" s="80" t="str">
        <x:v>Distribution</x:v>
      </x:c>
      <x:c r="H274" s="81" t="n">
        <x:v>10380</x:v>
      </x:c>
      <x:c r="I274" s="80" t="str">
        <x:v>No</x:v>
      </x:c>
      <x:c r="J274" s="80" t="str">
        <x:v>No</x:v>
      </x:c>
      <x:c r="K274" s="80" t="str">
        <x:v>No</x:v>
      </x:c>
      <x:c r="L274" s="82" t="n">
        <x:v>0.09</x:v>
      </x:c>
      <x:c r="M274" s="80" t="str">
        <x:v>CFO</x:v>
      </x:c>
      <x:c r="N274" s="80" t="str">
        <x:f>IF(OR(I274="No",J274="No"),"Yes","No")</x:f>
        <x:v>Yes</x:v>
      </x:c>
      <x:c r="O274" s="80" t="str">
        <x:f>IF(COUNTIFS($C:$C,C274)&lt;5,"Yes","No")</x:f>
        <x:v>No</x:v>
      </x:c>
      <x:c r="P274" s="81" t="n">
        <x:f>IF(K274="Yes",H274*L274,0)</x:f>
        <x:v>0</x:v>
      </x:c>
      <x:c r="Q274" s="80" t="str">
        <x:f>IF(N274="Yes","Maverick / non-preferred",IF(O274="Yes","Tail consolidation",IF(K274="Yes","Category sourcing","Non-addressable")))</x:f>
        <x:v>Maverick / non-preferred</x:v>
      </x:c>
      <x:c r="R274" s="83" t="str">
        <x:f>IF(P274&gt;=10000,"High",IF(P274&gt;=3000,"Medium","Low"))</x:f>
        <x:v>Low</x:v>
      </x:c>
    </x:row>
    <x:row r="275">
      <x:c r="A275" s="78" t="n">
        <x:v>271</x:v>
      </x:c>
      <x:c r="B275" s="79" t="n">
        <x:v>45903</x:v>
      </x:c>
      <x:c r="C275" s="80" t="str">
        <x:v>Summit Polymers</x:v>
      </x:c>
      <x:c r="D275" s="80" t="str">
        <x:v>Raw Materials</x:v>
      </x:c>
      <x:c r="E275" s="80" t="str">
        <x:v>Direct</x:v>
      </x:c>
      <x:c r="F275" s="80" t="str">
        <x:v>Chicago</x:v>
      </x:c>
      <x:c r="G275" s="80" t="str">
        <x:v>Manufacturing</x:v>
      </x:c>
      <x:c r="H275" s="81" t="n">
        <x:v>13430</x:v>
      </x:c>
      <x:c r="I275" s="80" t="str">
        <x:v>Yes</x:v>
      </x:c>
      <x:c r="J275" s="80" t="str">
        <x:v>Yes</x:v>
      </x:c>
      <x:c r="K275" s="80" t="str">
        <x:v>Yes</x:v>
      </x:c>
      <x:c r="L275" s="82" t="n">
        <x:v>0.05</x:v>
      </x:c>
      <x:c r="M275" s="80" t="str">
        <x:v>COO</x:v>
      </x:c>
      <x:c r="N275" s="80" t="str">
        <x:f>IF(OR(I275="No",J275="No"),"Yes","No")</x:f>
        <x:v>No</x:v>
      </x:c>
      <x:c r="O275" s="80" t="str">
        <x:f>IF(COUNTIFS($C:$C,C275)&lt;5,"Yes","No")</x:f>
        <x:v>No</x:v>
      </x:c>
      <x:c r="P275" s="81" t="n">
        <x:f>IF(K275="Yes",H275*L275,0)</x:f>
        <x:v>671.5</x:v>
      </x:c>
      <x:c r="Q275" s="80" t="str">
        <x:f>IF(N275="Yes","Maverick / non-preferred",IF(O275="Yes","Tail consolidation",IF(K275="Yes","Category sourcing","Non-addressable")))</x:f>
        <x:v>Category sourcing</x:v>
      </x:c>
      <x:c r="R275" s="83" t="str">
        <x:f>IF(P275&gt;=10000,"High",IF(P275&gt;=3000,"Medium","Low"))</x:f>
        <x:v>Low</x:v>
      </x:c>
    </x:row>
    <x:row r="276">
      <x:c r="A276" s="78" t="n">
        <x:v>272</x:v>
      </x:c>
      <x:c r="B276" s="79" t="n">
        <x:v>45847</x:v>
      </x:c>
      <x:c r="C276" s="80" t="str">
        <x:v>RoadPro Logistics</x:v>
      </x:c>
      <x:c r="D276" s="80" t="str">
        <x:v>Freight &amp; Logistics</x:v>
      </x:c>
      <x:c r="E276" s="80" t="str">
        <x:v>Direct</x:v>
      </x:c>
      <x:c r="F276" s="80" t="str">
        <x:v>Atlanta</x:v>
      </x:c>
      <x:c r="G276" s="80" t="str">
        <x:v>Manufacturing</x:v>
      </x:c>
      <x:c r="H276" s="81" t="n">
        <x:v>25310</x:v>
      </x:c>
      <x:c r="I276" s="80" t="str">
        <x:v>Yes</x:v>
      </x:c>
      <x:c r="J276" s="80" t="str">
        <x:v>No</x:v>
      </x:c>
      <x:c r="K276" s="80" t="str">
        <x:v>Yes</x:v>
      </x:c>
      <x:c r="L276" s="82" t="n">
        <x:v>0.08</x:v>
      </x:c>
      <x:c r="M276" s="80" t="str">
        <x:v>COO</x:v>
      </x:c>
      <x:c r="N276" s="80" t="str">
        <x:f>IF(OR(I276="No",J276="No"),"Yes","No")</x:f>
        <x:v>Yes</x:v>
      </x:c>
      <x:c r="O276" s="80" t="str">
        <x:f>IF(COUNTIFS($C:$C,C276)&lt;5,"Yes","No")</x:f>
        <x:v>No</x:v>
      </x:c>
      <x:c r="P276" s="81" t="n">
        <x:f>IF(K276="Yes",H276*L276,0)</x:f>
        <x:v>2024.8</x:v>
      </x:c>
      <x:c r="Q276" s="80" t="str">
        <x:f>IF(N276="Yes","Maverick / non-preferred",IF(O276="Yes","Tail consolidation",IF(K276="Yes","Category sourcing","Non-addressable")))</x:f>
        <x:v>Maverick / non-preferred</x:v>
      </x:c>
      <x:c r="R276" s="83" t="str">
        <x:f>IF(P276&gt;=10000,"High",IF(P276&gt;=3000,"Medium","Low"))</x:f>
        <x:v>Low</x:v>
      </x:c>
    </x:row>
    <x:row r="277">
      <x:c r="A277" s="78" t="n">
        <x:v>273</x:v>
      </x:c>
      <x:c r="B277" s="79" t="n">
        <x:v>45715</x:v>
      </x:c>
      <x:c r="C277" s="80" t="str">
        <x:v>FastLane Carriers</x:v>
      </x:c>
      <x:c r="D277" s="80" t="str">
        <x:v>Freight &amp; Logistics</x:v>
      </x:c>
      <x:c r="E277" s="80" t="str">
        <x:v>Direct</x:v>
      </x:c>
      <x:c r="F277" s="80" t="str">
        <x:v>Phoenix</x:v>
      </x:c>
      <x:c r="G277" s="80" t="str">
        <x:v>Corporate</x:v>
      </x:c>
      <x:c r="H277" s="81" t="n">
        <x:v>24840</x:v>
      </x:c>
      <x:c r="I277" s="80" t="str">
        <x:v>No</x:v>
      </x:c>
      <x:c r="J277" s="80" t="str">
        <x:v>No</x:v>
      </x:c>
      <x:c r="K277" s="80" t="str">
        <x:v>Yes</x:v>
      </x:c>
      <x:c r="L277" s="82" t="n">
        <x:v>0.08</x:v>
      </x:c>
      <x:c r="M277" s="80" t="str">
        <x:v>COO</x:v>
      </x:c>
      <x:c r="N277" s="80" t="str">
        <x:f>IF(OR(I277="No",J277="No"),"Yes","No")</x:f>
        <x:v>Yes</x:v>
      </x:c>
      <x:c r="O277" s="80" t="str">
        <x:f>IF(COUNTIFS($C:$C,C277)&lt;5,"Yes","No")</x:f>
        <x:v>No</x:v>
      </x:c>
      <x:c r="P277" s="81" t="n">
        <x:f>IF(K277="Yes",H277*L277,0)</x:f>
        <x:v>1987.2</x:v>
      </x:c>
      <x:c r="Q277" s="80" t="str">
        <x:f>IF(N277="Yes","Maverick / non-preferred",IF(O277="Yes","Tail consolidation",IF(K277="Yes","Category sourcing","Non-addressable")))</x:f>
        <x:v>Maverick / non-preferred</x:v>
      </x:c>
      <x:c r="R277" s="83" t="str">
        <x:f>IF(P277&gt;=10000,"High",IF(P277&gt;=3000,"Medium","Low"))</x:f>
        <x:v>Low</x:v>
      </x:c>
    </x:row>
    <x:row r="278">
      <x:c r="A278" s="78" t="n">
        <x:v>274</x:v>
      </x:c>
      <x:c r="B278" s="79" t="n">
        <x:v>45798</x:v>
      </x:c>
      <x:c r="C278" s="80" t="str">
        <x:v>ShipMax</x:v>
      </x:c>
      <x:c r="D278" s="80" t="str">
        <x:v>Freight &amp; Logistics</x:v>
      </x:c>
      <x:c r="E278" s="80" t="str">
        <x:v>Direct</x:v>
      </x:c>
      <x:c r="F278" s="80" t="str">
        <x:v>Chicago</x:v>
      </x:c>
      <x:c r="G278" s="80" t="str">
        <x:v>Field Operations</x:v>
      </x:c>
      <x:c r="H278" s="81" t="n">
        <x:v>14410</x:v>
      </x:c>
      <x:c r="I278" s="80" t="str">
        <x:v>Yes</x:v>
      </x:c>
      <x:c r="J278" s="80" t="str">
        <x:v>Yes</x:v>
      </x:c>
      <x:c r="K278" s="80" t="str">
        <x:v>Yes</x:v>
      </x:c>
      <x:c r="L278" s="82" t="n">
        <x:v>0.08</x:v>
      </x:c>
      <x:c r="M278" s="80" t="str">
        <x:v>COO</x:v>
      </x:c>
      <x:c r="N278" s="80" t="str">
        <x:f>IF(OR(I278="No",J278="No"),"Yes","No")</x:f>
        <x:v>No</x:v>
      </x:c>
      <x:c r="O278" s="80" t="str">
        <x:f>IF(COUNTIFS($C:$C,C278)&lt;5,"Yes","No")</x:f>
        <x:v>No</x:v>
      </x:c>
      <x:c r="P278" s="81" t="n">
        <x:f>IF(K278="Yes",H278*L278,0)</x:f>
        <x:v>1152.8</x:v>
      </x:c>
      <x:c r="Q278" s="80" t="str">
        <x:f>IF(N278="Yes","Maverick / non-preferred",IF(O278="Yes","Tail consolidation",IF(K278="Yes","Category sourcing","Non-addressable")))</x:f>
        <x:v>Category sourcing</x:v>
      </x:c>
      <x:c r="R278" s="83" t="str">
        <x:f>IF(P278&gt;=10000,"High",IF(P278&gt;=3000,"Medium","Low"))</x:f>
        <x:v>Low</x:v>
      </x:c>
    </x:row>
    <x:row r="279">
      <x:c r="A279" s="78" t="n">
        <x:v>275</x:v>
      </x:c>
      <x:c r="B279" s="79" t="n">
        <x:v>45939</x:v>
      </x:c>
      <x:c r="C279" s="80" t="str">
        <x:v>Prime Components</x:v>
      </x:c>
      <x:c r="D279" s="80" t="str">
        <x:v>Raw Materials</x:v>
      </x:c>
      <x:c r="E279" s="80" t="str">
        <x:v>Direct</x:v>
      </x:c>
      <x:c r="F279" s="80" t="str">
        <x:v>Columbus</x:v>
      </x:c>
      <x:c r="G279" s="80" t="str">
        <x:v>Manufacturing</x:v>
      </x:c>
      <x:c r="H279" s="81" t="n">
        <x:v>83930</x:v>
      </x:c>
      <x:c r="I279" s="80" t="str">
        <x:v>No</x:v>
      </x:c>
      <x:c r="J279" s="80" t="str">
        <x:v>No</x:v>
      </x:c>
      <x:c r="K279" s="80" t="str">
        <x:v>No</x:v>
      </x:c>
      <x:c r="L279" s="82" t="n">
        <x:v>0.05</x:v>
      </x:c>
      <x:c r="M279" s="80" t="str">
        <x:v>COO</x:v>
      </x:c>
      <x:c r="N279" s="80" t="str">
        <x:f>IF(OR(I279="No",J279="No"),"Yes","No")</x:f>
        <x:v>Yes</x:v>
      </x:c>
      <x:c r="O279" s="80" t="str">
        <x:f>IF(COUNTIFS($C:$C,C279)&lt;5,"Yes","No")</x:f>
        <x:v>No</x:v>
      </x:c>
      <x:c r="P279" s="81" t="n">
        <x:f>IF(K279="Yes",H279*L279,0)</x:f>
        <x:v>0</x:v>
      </x:c>
      <x:c r="Q279" s="80" t="str">
        <x:f>IF(N279="Yes","Maverick / non-preferred",IF(O279="Yes","Tail consolidation",IF(K279="Yes","Category sourcing","Non-addressable")))</x:f>
        <x:v>Maverick / non-preferred</x:v>
      </x:c>
      <x:c r="R279" s="83" t="str">
        <x:f>IF(P279&gt;=10000,"High",IF(P279&gt;=3000,"Medium","Low"))</x:f>
        <x:v>Low</x:v>
      </x:c>
    </x:row>
    <x:row r="280">
      <x:c r="A280" s="78" t="n">
        <x:v>276</x:v>
      </x:c>
      <x:c r="B280" s="79" t="n">
        <x:v>45904</x:v>
      </x:c>
      <x:c r="C280" s="80" t="str">
        <x:v>ConnectTel</x:v>
      </x:c>
      <x:c r="D280" s="80" t="str">
        <x:v>Telecom</x:v>
      </x:c>
      <x:c r="E280" s="80" t="str">
        <x:v>Indirect</x:v>
      </x:c>
      <x:c r="F280" s="80" t="str">
        <x:v>Columbus</x:v>
      </x:c>
      <x:c r="G280" s="80" t="str">
        <x:v>Corporate</x:v>
      </x:c>
      <x:c r="H280" s="81" t="n">
        <x:v>7840</x:v>
      </x:c>
      <x:c r="I280" s="80" t="str">
        <x:v>Yes</x:v>
      </x:c>
      <x:c r="J280" s="80" t="str">
        <x:v>Yes</x:v>
      </x:c>
      <x:c r="K280" s="80" t="str">
        <x:v>Yes</x:v>
      </x:c>
      <x:c r="L280" s="82" t="n">
        <x:v>0.15</x:v>
      </x:c>
      <x:c r="M280" s="80" t="str">
        <x:v>CIO</x:v>
      </x:c>
      <x:c r="N280" s="80" t="str">
        <x:f>IF(OR(I280="No",J280="No"),"Yes","No")</x:f>
        <x:v>No</x:v>
      </x:c>
      <x:c r="O280" s="80" t="str">
        <x:f>IF(COUNTIFS($C:$C,C280)&lt;5,"Yes","No")</x:f>
        <x:v>No</x:v>
      </x:c>
      <x:c r="P280" s="81" t="n">
        <x:f>IF(K280="Yes",H280*L280,0)</x:f>
        <x:v>1176</x:v>
      </x:c>
      <x:c r="Q280" s="80" t="str">
        <x:f>IF(N280="Yes","Maverick / non-preferred",IF(O280="Yes","Tail consolidation",IF(K280="Yes","Category sourcing","Non-addressable")))</x:f>
        <x:v>Category sourcing</x:v>
      </x:c>
      <x:c r="R280" s="83" t="str">
        <x:f>IF(P280&gt;=10000,"High",IF(P280&gt;=3000,"Medium","Low"))</x:f>
        <x:v>Low</x:v>
      </x:c>
    </x:row>
    <x:row r="281">
      <x:c r="A281" s="78" t="n">
        <x:v>277</x:v>
      </x:c>
      <x:c r="B281" s="79" t="n">
        <x:v>45775</x:v>
      </x:c>
      <x:c r="C281" s="80" t="str">
        <x:v>Prime Components</x:v>
      </x:c>
      <x:c r="D281" s="80" t="str">
        <x:v>Raw Materials</x:v>
      </x:c>
      <x:c r="E281" s="80" t="str">
        <x:v>Direct</x:v>
      </x:c>
      <x:c r="F281" s="80" t="str">
        <x:v>Atlanta</x:v>
      </x:c>
      <x:c r="G281" s="80" t="str">
        <x:v>Corporate</x:v>
      </x:c>
      <x:c r="H281" s="81" t="n">
        <x:v>39800</x:v>
      </x:c>
      <x:c r="I281" s="80" t="str">
        <x:v>Yes</x:v>
      </x:c>
      <x:c r="J281" s="80" t="str">
        <x:v>No</x:v>
      </x:c>
      <x:c r="K281" s="80" t="str">
        <x:v>No</x:v>
      </x:c>
      <x:c r="L281" s="82" t="n">
        <x:v>0.05</x:v>
      </x:c>
      <x:c r="M281" s="80" t="str">
        <x:v>COO</x:v>
      </x:c>
      <x:c r="N281" s="80" t="str">
        <x:f>IF(OR(I281="No",J281="No"),"Yes","No")</x:f>
        <x:v>Yes</x:v>
      </x:c>
      <x:c r="O281" s="80" t="str">
        <x:f>IF(COUNTIFS($C:$C,C281)&lt;5,"Yes","No")</x:f>
        <x:v>No</x:v>
      </x:c>
      <x:c r="P281" s="81" t="n">
        <x:f>IF(K281="Yes",H281*L281,0)</x:f>
        <x:v>0</x:v>
      </x:c>
      <x:c r="Q281" s="80" t="str">
        <x:f>IF(N281="Yes","Maverick / non-preferred",IF(O281="Yes","Tail consolidation",IF(K281="Yes","Category sourcing","Non-addressable")))</x:f>
        <x:v>Maverick / non-preferred</x:v>
      </x:c>
      <x:c r="R281" s="83" t="str">
        <x:f>IF(P281&gt;=10000,"High",IF(P281&gt;=3000,"Medium","Low"))</x:f>
        <x:v>Low</x:v>
      </x:c>
    </x:row>
    <x:row r="282">
      <x:c r="A282" s="78" t="n">
        <x:v>278</x:v>
      </x:c>
      <x:c r="B282" s="79" t="n">
        <x:v>45868</x:v>
      </x:c>
      <x:c r="C282" s="80" t="str">
        <x:v>ShipMax</x:v>
      </x:c>
      <x:c r="D282" s="80" t="str">
        <x:v>Freight &amp; Logistics</x:v>
      </x:c>
      <x:c r="E282" s="80" t="str">
        <x:v>Direct</x:v>
      </x:c>
      <x:c r="F282" s="80" t="str">
        <x:v>Columbus</x:v>
      </x:c>
      <x:c r="G282" s="80" t="str">
        <x:v>Field Operations</x:v>
      </x:c>
      <x:c r="H282" s="81" t="n">
        <x:v>15410</x:v>
      </x:c>
      <x:c r="I282" s="80" t="str">
        <x:v>No</x:v>
      </x:c>
      <x:c r="J282" s="80" t="str">
        <x:v>Yes</x:v>
      </x:c>
      <x:c r="K282" s="80" t="str">
        <x:v>Yes</x:v>
      </x:c>
      <x:c r="L282" s="82" t="n">
        <x:v>0.08</x:v>
      </x:c>
      <x:c r="M282" s="80" t="str">
        <x:v>COO</x:v>
      </x:c>
      <x:c r="N282" s="80" t="str">
        <x:f>IF(OR(I282="No",J282="No"),"Yes","No")</x:f>
        <x:v>Yes</x:v>
      </x:c>
      <x:c r="O282" s="80" t="str">
        <x:f>IF(COUNTIFS($C:$C,C282)&lt;5,"Yes","No")</x:f>
        <x:v>No</x:v>
      </x:c>
      <x:c r="P282" s="81" t="n">
        <x:f>IF(K282="Yes",H282*L282,0)</x:f>
        <x:v>1232.8</x:v>
      </x:c>
      <x:c r="Q282" s="80" t="str">
        <x:f>IF(N282="Yes","Maverick / non-preferred",IF(O282="Yes","Tail consolidation",IF(K282="Yes","Category sourcing","Non-addressable")))</x:f>
        <x:v>Maverick / non-preferred</x:v>
      </x:c>
      <x:c r="R282" s="83" t="str">
        <x:f>IF(P282&gt;=10000,"High",IF(P282&gt;=3000,"Medium","Low"))</x:f>
        <x:v>Low</x:v>
      </x:c>
    </x:row>
    <x:row r="283">
      <x:c r="A283" s="78" t="n">
        <x:v>279</x:v>
      </x:c>
      <x:c r="B283" s="79" t="n">
        <x:v>45895</x:v>
      </x:c>
      <x:c r="C283" s="80" t="str">
        <x:v>RoadPro Logistics</x:v>
      </x:c>
      <x:c r="D283" s="80" t="str">
        <x:v>Freight &amp; Logistics</x:v>
      </x:c>
      <x:c r="E283" s="80" t="str">
        <x:v>Direct</x:v>
      </x:c>
      <x:c r="F283" s="80" t="str">
        <x:v>Atlanta</x:v>
      </x:c>
      <x:c r="G283" s="80" t="str">
        <x:v>Corporate</x:v>
      </x:c>
      <x:c r="H283" s="81" t="n">
        <x:v>16710</x:v>
      </x:c>
      <x:c r="I283" s="80" t="str">
        <x:v>No</x:v>
      </x:c>
      <x:c r="J283" s="80" t="str">
        <x:v>No</x:v>
      </x:c>
      <x:c r="K283" s="80" t="str">
        <x:v>Yes</x:v>
      </x:c>
      <x:c r="L283" s="82" t="n">
        <x:v>0.08</x:v>
      </x:c>
      <x:c r="M283" s="80" t="str">
        <x:v>COO</x:v>
      </x:c>
      <x:c r="N283" s="80" t="str">
        <x:f>IF(OR(I283="No",J283="No"),"Yes","No")</x:f>
        <x:v>Yes</x:v>
      </x:c>
      <x:c r="O283" s="80" t="str">
        <x:f>IF(COUNTIFS($C:$C,C283)&lt;5,"Yes","No")</x:f>
        <x:v>No</x:v>
      </x:c>
      <x:c r="P283" s="81" t="n">
        <x:f>IF(K283="Yes",H283*L283,0)</x:f>
        <x:v>1336.8</x:v>
      </x:c>
      <x:c r="Q283" s="80" t="str">
        <x:f>IF(N283="Yes","Maverick / non-preferred",IF(O283="Yes","Tail consolidation",IF(K283="Yes","Category sourcing","Non-addressable")))</x:f>
        <x:v>Maverick / non-preferred</x:v>
      </x:c>
      <x:c r="R283" s="83" t="str">
        <x:f>IF(P283&gt;=10000,"High",IF(P283&gt;=3000,"Medium","Low"))</x:f>
        <x:v>Low</x:v>
      </x:c>
    </x:row>
    <x:row r="284">
      <x:c r="A284" s="78" t="n">
        <x:v>280</x:v>
      </x:c>
      <x:c r="B284" s="79" t="n">
        <x:v>45843</x:v>
      </x:c>
      <x:c r="C284" s="80" t="str">
        <x:v>Allied Inputs</x:v>
      </x:c>
      <x:c r="D284" s="80" t="str">
        <x:v>Raw Materials</x:v>
      </x:c>
      <x:c r="E284" s="80" t="str">
        <x:v>Direct</x:v>
      </x:c>
      <x:c r="F284" s="80" t="str">
        <x:v>Columbus</x:v>
      </x:c>
      <x:c r="G284" s="80" t="str">
        <x:v>Manufacturing</x:v>
      </x:c>
      <x:c r="H284" s="81" t="n">
        <x:v>103790</x:v>
      </x:c>
      <x:c r="I284" s="80" t="str">
        <x:v>No</x:v>
      </x:c>
      <x:c r="J284" s="80" t="str">
        <x:v>No</x:v>
      </x:c>
      <x:c r="K284" s="80" t="str">
        <x:v>No</x:v>
      </x:c>
      <x:c r="L284" s="82" t="n">
        <x:v>0.05</x:v>
      </x:c>
      <x:c r="M284" s="80" t="str">
        <x:v>COO</x:v>
      </x:c>
      <x:c r="N284" s="80" t="str">
        <x:f>IF(OR(I284="No",J284="No"),"Yes","No")</x:f>
        <x:v>Yes</x:v>
      </x:c>
      <x:c r="O284" s="80" t="str">
        <x:f>IF(COUNTIFS($C:$C,C284)&lt;5,"Yes","No")</x:f>
        <x:v>Yes</x:v>
      </x:c>
      <x:c r="P284" s="81" t="n">
        <x:f>IF(K284="Yes",H284*L284,0)</x:f>
        <x:v>0</x:v>
      </x:c>
      <x:c r="Q284" s="80" t="str">
        <x:f>IF(N284="Yes","Maverick / non-preferred",IF(O284="Yes","Tail consolidation",IF(K284="Yes","Category sourcing","Non-addressable")))</x:f>
        <x:v>Maverick / non-preferred</x:v>
      </x:c>
      <x:c r="R284" s="83" t="str">
        <x:f>IF(P284&gt;=10000,"High",IF(P284&gt;=3000,"Medium","Low"))</x:f>
        <x:v>Low</x:v>
      </x:c>
    </x:row>
    <x:row r="285">
      <x:c r="A285" s="78" t="n">
        <x:v>281</x:v>
      </x:c>
      <x:c r="B285" s="79" t="n">
        <x:v>45682</x:v>
      </x:c>
      <x:c r="C285" s="80" t="str">
        <x:v>SecureID</x:v>
      </x:c>
      <x:c r="D285" s="80" t="str">
        <x:v>IT Software</x:v>
      </x:c>
      <x:c r="E285" s="80" t="str">
        <x:v>Indirect</x:v>
      </x:c>
      <x:c r="F285" s="80" t="str">
        <x:v>Phoenix</x:v>
      </x:c>
      <x:c r="G285" s="80" t="str">
        <x:v>Field Operations</x:v>
      </x:c>
      <x:c r="H285" s="81" t="n">
        <x:v>10000</x:v>
      </x:c>
      <x:c r="I285" s="80" t="str">
        <x:v>Yes</x:v>
      </x:c>
      <x:c r="J285" s="80" t="str">
        <x:v>Yes</x:v>
      </x:c>
      <x:c r="K285" s="80" t="str">
        <x:v>Yes</x:v>
      </x:c>
      <x:c r="L285" s="82" t="n">
        <x:v>0.12</x:v>
      </x:c>
      <x:c r="M285" s="80" t="str">
        <x:v>CIO</x:v>
      </x:c>
      <x:c r="N285" s="80" t="str">
        <x:f>IF(OR(I285="No",J285="No"),"Yes","No")</x:f>
        <x:v>No</x:v>
      </x:c>
      <x:c r="O285" s="80" t="str">
        <x:f>IF(COUNTIFS($C:$C,C285)&lt;5,"Yes","No")</x:f>
        <x:v>No</x:v>
      </x:c>
      <x:c r="P285" s="81" t="n">
        <x:f>IF(K285="Yes",H285*L285,0)</x:f>
        <x:v>1200</x:v>
      </x:c>
      <x:c r="Q285" s="80" t="str">
        <x:f>IF(N285="Yes","Maverick / non-preferred",IF(O285="Yes","Tail consolidation",IF(K285="Yes","Category sourcing","Non-addressable")))</x:f>
        <x:v>Category sourcing</x:v>
      </x:c>
      <x:c r="R285" s="83" t="str">
        <x:f>IF(P285&gt;=10000,"High",IF(P285&gt;=3000,"Medium","Low"))</x:f>
        <x:v>Low</x:v>
      </x:c>
    </x:row>
    <x:row r="286">
      <x:c r="A286" s="78" t="n">
        <x:v>282</x:v>
      </x:c>
      <x:c r="B286" s="79" t="n">
        <x:v>45731</x:v>
      </x:c>
      <x:c r="C286" s="80" t="str">
        <x:v>SecureGuard</x:v>
      </x:c>
      <x:c r="D286" s="80" t="str">
        <x:v>Facilities</x:v>
      </x:c>
      <x:c r="E286" s="80" t="str">
        <x:v>Indirect</x:v>
      </x:c>
      <x:c r="F286" s="80" t="str">
        <x:v>Phoenix</x:v>
      </x:c>
      <x:c r="G286" s="80" t="str">
        <x:v>Manufacturing</x:v>
      </x:c>
      <x:c r="H286" s="81" t="n">
        <x:v>7640</x:v>
      </x:c>
      <x:c r="I286" s="80" t="str">
        <x:v>No</x:v>
      </x:c>
      <x:c r="J286" s="80" t="str">
        <x:v>No</x:v>
      </x:c>
      <x:c r="K286" s="80" t="str">
        <x:v>Yes</x:v>
      </x:c>
      <x:c r="L286" s="82" t="n">
        <x:v>0.1</x:v>
      </x:c>
      <x:c r="M286" s="80" t="str">
        <x:v>COO</x:v>
      </x:c>
      <x:c r="N286" s="80" t="str">
        <x:f>IF(OR(I286="No",J286="No"),"Yes","No")</x:f>
        <x:v>Yes</x:v>
      </x:c>
      <x:c r="O286" s="80" t="str">
        <x:f>IF(COUNTIFS($C:$C,C286)&lt;5,"Yes","No")</x:f>
        <x:v>Yes</x:v>
      </x:c>
      <x:c r="P286" s="81" t="n">
        <x:f>IF(K286="Yes",H286*L286,0)</x:f>
        <x:v>764</x:v>
      </x:c>
      <x:c r="Q286" s="80" t="str">
        <x:f>IF(N286="Yes","Maverick / non-preferred",IF(O286="Yes","Tail consolidation",IF(K286="Yes","Category sourcing","Non-addressable")))</x:f>
        <x:v>Maverick / non-preferred</x:v>
      </x:c>
      <x:c r="R286" s="83" t="str">
        <x:f>IF(P286&gt;=10000,"High",IF(P286&gt;=3000,"Medium","Low"))</x:f>
        <x:v>Low</x:v>
      </x:c>
    </x:row>
    <x:row r="287">
      <x:c r="A287" s="78" t="n">
        <x:v>283</x:v>
      </x:c>
      <x:c r="B287" s="79" t="n">
        <x:v>45982</x:v>
      </x:c>
      <x:c r="C287" s="80" t="str">
        <x:v>MobileWorks</x:v>
      </x:c>
      <x:c r="D287" s="80" t="str">
        <x:v>Telecom</x:v>
      </x:c>
      <x:c r="E287" s="80" t="str">
        <x:v>Indirect</x:v>
      </x:c>
      <x:c r="F287" s="80" t="str">
        <x:v>Columbus</x:v>
      </x:c>
      <x:c r="G287" s="80" t="str">
        <x:v>Field Operations</x:v>
      </x:c>
      <x:c r="H287" s="81" t="n">
        <x:v>1950</x:v>
      </x:c>
      <x:c r="I287" s="80" t="str">
        <x:v>No</x:v>
      </x:c>
      <x:c r="J287" s="80" t="str">
        <x:v>No</x:v>
      </x:c>
      <x:c r="K287" s="80" t="str">
        <x:v>Yes</x:v>
      </x:c>
      <x:c r="L287" s="82" t="n">
        <x:v>0.15</x:v>
      </x:c>
      <x:c r="M287" s="80" t="str">
        <x:v>CIO</x:v>
      </x:c>
      <x:c r="N287" s="80" t="str">
        <x:f>IF(OR(I287="No",J287="No"),"Yes","No")</x:f>
        <x:v>Yes</x:v>
      </x:c>
      <x:c r="O287" s="80" t="str">
        <x:f>IF(COUNTIFS($C:$C,C287)&lt;5,"Yes","No")</x:f>
        <x:v>No</x:v>
      </x:c>
      <x:c r="P287" s="81" t="n">
        <x:f>IF(K287="Yes",H287*L287,0)</x:f>
        <x:v>292.5</x:v>
      </x:c>
      <x:c r="Q287" s="80" t="str">
        <x:f>IF(N287="Yes","Maverick / non-preferred",IF(O287="Yes","Tail consolidation",IF(K287="Yes","Category sourcing","Non-addressable")))</x:f>
        <x:v>Maverick / non-preferred</x:v>
      </x:c>
      <x:c r="R287" s="83" t="str">
        <x:f>IF(P287&gt;=10000,"High",IF(P287&gt;=3000,"Medium","Low"))</x:f>
        <x:v>Low</x:v>
      </x:c>
    </x:row>
    <x:row r="288">
      <x:c r="A288" s="78" t="n">
        <x:v>284</x:v>
      </x:c>
      <x:c r="B288" s="79" t="n">
        <x:v>45698</x:v>
      </x:c>
      <x:c r="C288" s="80" t="str">
        <x:v>AdvisoryCo</x:v>
      </x:c>
      <x:c r="D288" s="80" t="str">
        <x:v>Professional Services</x:v>
      </x:c>
      <x:c r="E288" s="80" t="str">
        <x:v>Indirect</x:v>
      </x:c>
      <x:c r="F288" s="80" t="str">
        <x:v>Phoenix</x:v>
      </x:c>
      <x:c r="G288" s="80" t="str">
        <x:v>Field Operations</x:v>
      </x:c>
      <x:c r="H288" s="81" t="n">
        <x:v>13790</x:v>
      </x:c>
      <x:c r="I288" s="80" t="str">
        <x:v>Yes</x:v>
      </x:c>
      <x:c r="J288" s="80" t="str">
        <x:v>Yes</x:v>
      </x:c>
      <x:c r="K288" s="80" t="str">
        <x:v>No</x:v>
      </x:c>
      <x:c r="L288" s="82" t="n">
        <x:v>0.09</x:v>
      </x:c>
      <x:c r="M288" s="80" t="str">
        <x:v>CFO</x:v>
      </x:c>
      <x:c r="N288" s="80" t="str">
        <x:f>IF(OR(I288="No",J288="No"),"Yes","No")</x:f>
        <x:v>No</x:v>
      </x:c>
      <x:c r="O288" s="80" t="str">
        <x:f>IF(COUNTIFS($C:$C,C288)&lt;5,"Yes","No")</x:f>
        <x:v>No</x:v>
      </x:c>
      <x:c r="P288" s="81" t="n">
        <x:f>IF(K288="Yes",H288*L288,0)</x:f>
        <x:v>0</x:v>
      </x:c>
      <x:c r="Q288" s="80" t="str">
        <x:f>IF(N288="Yes","Maverick / non-preferred",IF(O288="Yes","Tail consolidation",IF(K288="Yes","Category sourcing","Non-addressable")))</x:f>
        <x:v>Non-addressable</x:v>
      </x:c>
      <x:c r="R288" s="83" t="str">
        <x:f>IF(P288&gt;=10000,"High",IF(P288&gt;=3000,"Medium","Low"))</x:f>
        <x:v>Low</x:v>
      </x:c>
    </x:row>
    <x:row r="289">
      <x:c r="A289" s="78" t="n">
        <x:v>285</x:v>
      </x:c>
      <x:c r="B289" s="79" t="n">
        <x:v>45763</x:v>
      </x:c>
      <x:c r="C289" s="80" t="str">
        <x:v>FiberOne</x:v>
      </x:c>
      <x:c r="D289" s="80" t="str">
        <x:v>Telecom</x:v>
      </x:c>
      <x:c r="E289" s="80" t="str">
        <x:v>Indirect</x:v>
      </x:c>
      <x:c r="F289" s="80" t="str">
        <x:v>Atlanta</x:v>
      </x:c>
      <x:c r="G289" s="80" t="str">
        <x:v>Distribution</x:v>
      </x:c>
      <x:c r="H289" s="81" t="n">
        <x:v>8290</x:v>
      </x:c>
      <x:c r="I289" s="80" t="str">
        <x:v>No</x:v>
      </x:c>
      <x:c r="J289" s="80" t="str">
        <x:v>No</x:v>
      </x:c>
      <x:c r="K289" s="80" t="str">
        <x:v>Yes</x:v>
      </x:c>
      <x:c r="L289" s="82" t="n">
        <x:v>0.15</x:v>
      </x:c>
      <x:c r="M289" s="80" t="str">
        <x:v>CIO</x:v>
      </x:c>
      <x:c r="N289" s="80" t="str">
        <x:f>IF(OR(I289="No",J289="No"),"Yes","No")</x:f>
        <x:v>Yes</x:v>
      </x:c>
      <x:c r="O289" s="80" t="str">
        <x:f>IF(COUNTIFS($C:$C,C289)&lt;5,"Yes","No")</x:f>
        <x:v>No</x:v>
      </x:c>
      <x:c r="P289" s="81" t="n">
        <x:f>IF(K289="Yes",H289*L289,0)</x:f>
        <x:v>1243.5</x:v>
      </x:c>
      <x:c r="Q289" s="80" t="str">
        <x:f>IF(N289="Yes","Maverick / non-preferred",IF(O289="Yes","Tail consolidation",IF(K289="Yes","Category sourcing","Non-addressable")))</x:f>
        <x:v>Maverick / non-preferred</x:v>
      </x:c>
      <x:c r="R289" s="83" t="str">
        <x:f>IF(P289&gt;=10000,"High",IF(P289&gt;=3000,"Medium","Low"))</x:f>
        <x:v>Low</x:v>
      </x:c>
    </x:row>
    <x:row r="290">
      <x:c r="A290" s="78" t="n">
        <x:v>286</x:v>
      </x:c>
      <x:c r="B290" s="79" t="n">
        <x:v>45958</x:v>
      </x:c>
      <x:c r="C290" s="80" t="str">
        <x:v>DataGrid</x:v>
      </x:c>
      <x:c r="D290" s="80" t="str">
        <x:v>IT Software</x:v>
      </x:c>
      <x:c r="E290" s="80" t="str">
        <x:v>Indirect</x:v>
      </x:c>
      <x:c r="F290" s="80" t="str">
        <x:v>Atlanta</x:v>
      </x:c>
      <x:c r="G290" s="80" t="str">
        <x:v>Manufacturing</x:v>
      </x:c>
      <x:c r="H290" s="81" t="n">
        <x:v>13760</x:v>
      </x:c>
      <x:c r="I290" s="80" t="str">
        <x:v>No</x:v>
      </x:c>
      <x:c r="J290" s="80" t="str">
        <x:v>No</x:v>
      </x:c>
      <x:c r="K290" s="80" t="str">
        <x:v>Yes</x:v>
      </x:c>
      <x:c r="L290" s="82" t="n">
        <x:v>0.12</x:v>
      </x:c>
      <x:c r="M290" s="80" t="str">
        <x:v>CIO</x:v>
      </x:c>
      <x:c r="N290" s="80" t="str">
        <x:f>IF(OR(I290="No",J290="No"),"Yes","No")</x:f>
        <x:v>Yes</x:v>
      </x:c>
      <x:c r="O290" s="80" t="str">
        <x:f>IF(COUNTIFS($C:$C,C290)&lt;5,"Yes","No")</x:f>
        <x:v>No</x:v>
      </x:c>
      <x:c r="P290" s="81" t="n">
        <x:f>IF(K290="Yes",H290*L290,0)</x:f>
        <x:v>1651.2</x:v>
      </x:c>
      <x:c r="Q290" s="80" t="str">
        <x:f>IF(N290="Yes","Maverick / non-preferred",IF(O290="Yes","Tail consolidation",IF(K290="Yes","Category sourcing","Non-addressable")))</x:f>
        <x:v>Maverick / non-preferred</x:v>
      </x:c>
      <x:c r="R290" s="83" t="str">
        <x:f>IF(P290&gt;=10000,"High",IF(P290&gt;=3000,"Medium","Low"))</x:f>
        <x:v>Low</x:v>
      </x:c>
    </x:row>
    <x:row r="291">
      <x:c r="A291" s="78" t="n">
        <x:v>287</x:v>
      </x:c>
      <x:c r="B291" s="79" t="n">
        <x:v>45902</x:v>
      </x:c>
      <x:c r="C291" s="80" t="str">
        <x:v>TaxBridge</x:v>
      </x:c>
      <x:c r="D291" s="80" t="str">
        <x:v>Professional Services</x:v>
      </x:c>
      <x:c r="E291" s="80" t="str">
        <x:v>Indirect</x:v>
      </x:c>
      <x:c r="F291" s="80" t="str">
        <x:v>Atlanta</x:v>
      </x:c>
      <x:c r="G291" s="80" t="str">
        <x:v>Field Operations</x:v>
      </x:c>
      <x:c r="H291" s="81" t="n">
        <x:v>23370</x:v>
      </x:c>
      <x:c r="I291" s="80" t="str">
        <x:v>Yes</x:v>
      </x:c>
      <x:c r="J291" s="80" t="str">
        <x:v>No</x:v>
      </x:c>
      <x:c r="K291" s="80" t="str">
        <x:v>No</x:v>
      </x:c>
      <x:c r="L291" s="82" t="n">
        <x:v>0.09</x:v>
      </x:c>
      <x:c r="M291" s="80" t="str">
        <x:v>CFO</x:v>
      </x:c>
      <x:c r="N291" s="80" t="str">
        <x:f>IF(OR(I291="No",J291="No"),"Yes","No")</x:f>
        <x:v>Yes</x:v>
      </x:c>
      <x:c r="O291" s="80" t="str">
        <x:f>IF(COUNTIFS($C:$C,C291)&lt;5,"Yes","No")</x:f>
        <x:v>No</x:v>
      </x:c>
      <x:c r="P291" s="81" t="n">
        <x:f>IF(K291="Yes",H291*L291,0)</x:f>
        <x:v>0</x:v>
      </x:c>
      <x:c r="Q291" s="80" t="str">
        <x:f>IF(N291="Yes","Maverick / non-preferred",IF(O291="Yes","Tail consolidation",IF(K291="Yes","Category sourcing","Non-addressable")))</x:f>
        <x:v>Maverick / non-preferred</x:v>
      </x:c>
      <x:c r="R291" s="83" t="str">
        <x:f>IF(P291&gt;=10000,"High",IF(P291&gt;=3000,"Medium","Low"))</x:f>
        <x:v>Low</x:v>
      </x:c>
    </x:row>
    <x:row r="292">
      <x:c r="A292" s="78" t="n">
        <x:v>288</x:v>
      </x:c>
      <x:c r="B292" s="79" t="n">
        <x:v>45935</x:v>
      </x:c>
      <x:c r="C292" s="80" t="str">
        <x:v>LegalWorks</x:v>
      </x:c>
      <x:c r="D292" s="80" t="str">
        <x:v>Professional Services</x:v>
      </x:c>
      <x:c r="E292" s="80" t="str">
        <x:v>Indirect</x:v>
      </x:c>
      <x:c r="F292" s="80" t="str">
        <x:v>Columbus</x:v>
      </x:c>
      <x:c r="G292" s="80" t="str">
        <x:v>Field Operations</x:v>
      </x:c>
      <x:c r="H292" s="81" t="n">
        <x:v>13470</x:v>
      </x:c>
      <x:c r="I292" s="80" t="str">
        <x:v>No</x:v>
      </x:c>
      <x:c r="J292" s="80" t="str">
        <x:v>No</x:v>
      </x:c>
      <x:c r="K292" s="80" t="str">
        <x:v>No</x:v>
      </x:c>
      <x:c r="L292" s="82" t="n">
        <x:v>0.09</x:v>
      </x:c>
      <x:c r="M292" s="80" t="str">
        <x:v>CFO</x:v>
      </x:c>
      <x:c r="N292" s="80" t="str">
        <x:f>IF(OR(I292="No",J292="No"),"Yes","No")</x:f>
        <x:v>Yes</x:v>
      </x:c>
      <x:c r="O292" s="80" t="str">
        <x:f>IF(COUNTIFS($C:$C,C292)&lt;5,"Yes","No")</x:f>
        <x:v>No</x:v>
      </x:c>
      <x:c r="P292" s="81" t="n">
        <x:f>IF(K292="Yes",H292*L292,0)</x:f>
        <x:v>0</x:v>
      </x:c>
      <x:c r="Q292" s="80" t="str">
        <x:f>IF(N292="Yes","Maverick / non-preferred",IF(O292="Yes","Tail consolidation",IF(K292="Yes","Category sourcing","Non-addressable")))</x:f>
        <x:v>Maverick / non-preferred</x:v>
      </x:c>
      <x:c r="R292" s="83" t="str">
        <x:f>IF(P292&gt;=10000,"High",IF(P292&gt;=3000,"Medium","Low"))</x:f>
        <x:v>Low</x:v>
      </x:c>
    </x:row>
    <x:row r="293">
      <x:c r="A293" s="78" t="n">
        <x:v>289</x:v>
      </x:c>
      <x:c r="B293" s="79" t="n">
        <x:v>45971</x:v>
      </x:c>
      <x:c r="C293" s="80" t="str">
        <x:v>ConnectTel</x:v>
      </x:c>
      <x:c r="D293" s="80" t="str">
        <x:v>Telecom</x:v>
      </x:c>
      <x:c r="E293" s="80" t="str">
        <x:v>Indirect</x:v>
      </x:c>
      <x:c r="F293" s="80" t="str">
        <x:v>Phoenix</x:v>
      </x:c>
      <x:c r="G293" s="80" t="str">
        <x:v>Manufacturing</x:v>
      </x:c>
      <x:c r="H293" s="81" t="n">
        <x:v>13240</x:v>
      </x:c>
      <x:c r="I293" s="80" t="str">
        <x:v>Yes</x:v>
      </x:c>
      <x:c r="J293" s="80" t="str">
        <x:v>Yes</x:v>
      </x:c>
      <x:c r="K293" s="80" t="str">
        <x:v>Yes</x:v>
      </x:c>
      <x:c r="L293" s="82" t="n">
        <x:v>0.15</x:v>
      </x:c>
      <x:c r="M293" s="80" t="str">
        <x:v>CIO</x:v>
      </x:c>
      <x:c r="N293" s="80" t="str">
        <x:f>IF(OR(I293="No",J293="No"),"Yes","No")</x:f>
        <x:v>No</x:v>
      </x:c>
      <x:c r="O293" s="80" t="str">
        <x:f>IF(COUNTIFS($C:$C,C293)&lt;5,"Yes","No")</x:f>
        <x:v>No</x:v>
      </x:c>
      <x:c r="P293" s="81" t="n">
        <x:f>IF(K293="Yes",H293*L293,0)</x:f>
        <x:v>1986</x:v>
      </x:c>
      <x:c r="Q293" s="80" t="str">
        <x:f>IF(N293="Yes","Maverick / non-preferred",IF(O293="Yes","Tail consolidation",IF(K293="Yes","Category sourcing","Non-addressable")))</x:f>
        <x:v>Category sourcing</x:v>
      </x:c>
      <x:c r="R293" s="83" t="str">
        <x:f>IF(P293&gt;=10000,"High",IF(P293&gt;=3000,"Medium","Low"))</x:f>
        <x:v>Low</x:v>
      </x:c>
    </x:row>
    <x:row r="294">
      <x:c r="A294" s="78" t="n">
        <x:v>290</x:v>
      </x:c>
      <x:c r="B294" s="79" t="n">
        <x:v>45712</x:v>
      </x:c>
      <x:c r="C294" s="80" t="str">
        <x:v>LegalWorks</x:v>
      </x:c>
      <x:c r="D294" s="80" t="str">
        <x:v>Professional Services</x:v>
      </x:c>
      <x:c r="E294" s="80" t="str">
        <x:v>Indirect</x:v>
      </x:c>
      <x:c r="F294" s="80" t="str">
        <x:v>Columbus</x:v>
      </x:c>
      <x:c r="G294" s="80" t="str">
        <x:v>Corporate</x:v>
      </x:c>
      <x:c r="H294" s="81" t="n">
        <x:v>66670</x:v>
      </x:c>
      <x:c r="I294" s="80" t="str">
        <x:v>No</x:v>
      </x:c>
      <x:c r="J294" s="80" t="str">
        <x:v>No</x:v>
      </x:c>
      <x:c r="K294" s="80" t="str">
        <x:v>No</x:v>
      </x:c>
      <x:c r="L294" s="82" t="n">
        <x:v>0.09</x:v>
      </x:c>
      <x:c r="M294" s="80" t="str">
        <x:v>CFO</x:v>
      </x:c>
      <x:c r="N294" s="80" t="str">
        <x:f>IF(OR(I294="No",J294="No"),"Yes","No")</x:f>
        <x:v>Yes</x:v>
      </x:c>
      <x:c r="O294" s="80" t="str">
        <x:f>IF(COUNTIFS($C:$C,C294)&lt;5,"Yes","No")</x:f>
        <x:v>No</x:v>
      </x:c>
      <x:c r="P294" s="81" t="n">
        <x:f>IF(K294="Yes",H294*L294,0)</x:f>
        <x:v>0</x:v>
      </x:c>
      <x:c r="Q294" s="80" t="str">
        <x:f>IF(N294="Yes","Maverick / non-preferred",IF(O294="Yes","Tail consolidation",IF(K294="Yes","Category sourcing","Non-addressable")))</x:f>
        <x:v>Maverick / non-preferred</x:v>
      </x:c>
      <x:c r="R294" s="83" t="str">
        <x:f>IF(P294&gt;=10000,"High",IF(P294&gt;=3000,"Medium","Low"))</x:f>
        <x:v>Low</x:v>
      </x:c>
    </x:row>
    <x:row r="295">
      <x:c r="A295" s="78" t="n">
        <x:v>291</x:v>
      </x:c>
      <x:c r="B295" s="79" t="n">
        <x:v>45975</x:v>
      </x:c>
      <x:c r="C295" s="80" t="str">
        <x:v>Summit Polymers</x:v>
      </x:c>
      <x:c r="D295" s="80" t="str">
        <x:v>Raw Materials</x:v>
      </x:c>
      <x:c r="E295" s="80" t="str">
        <x:v>Direct</x:v>
      </x:c>
      <x:c r="F295" s="80" t="str">
        <x:v>Chicago</x:v>
      </x:c>
      <x:c r="G295" s="80" t="str">
        <x:v>Corporate</x:v>
      </x:c>
      <x:c r="H295" s="81" t="n">
        <x:v>90160</x:v>
      </x:c>
      <x:c r="I295" s="80" t="str">
        <x:v>Yes</x:v>
      </x:c>
      <x:c r="J295" s="80" t="str">
        <x:v>Yes</x:v>
      </x:c>
      <x:c r="K295" s="80" t="str">
        <x:v>Yes</x:v>
      </x:c>
      <x:c r="L295" s="82" t="n">
        <x:v>0.05</x:v>
      </x:c>
      <x:c r="M295" s="80" t="str">
        <x:v>COO</x:v>
      </x:c>
      <x:c r="N295" s="80" t="str">
        <x:f>IF(OR(I295="No",J295="No"),"Yes","No")</x:f>
        <x:v>No</x:v>
      </x:c>
      <x:c r="O295" s="80" t="str">
        <x:f>IF(COUNTIFS($C:$C,C295)&lt;5,"Yes","No")</x:f>
        <x:v>No</x:v>
      </x:c>
      <x:c r="P295" s="81" t="n">
        <x:f>IF(K295="Yes",H295*L295,0)</x:f>
        <x:v>4508</x:v>
      </x:c>
      <x:c r="Q295" s="80" t="str">
        <x:f>IF(N295="Yes","Maverick / non-preferred",IF(O295="Yes","Tail consolidation",IF(K295="Yes","Category sourcing","Non-addressable")))</x:f>
        <x:v>Category sourcing</x:v>
      </x:c>
      <x:c r="R295" s="83" t="str">
        <x:f>IF(P295&gt;=10000,"High",IF(P295&gt;=3000,"Medium","Low"))</x:f>
        <x:v>Medium</x:v>
      </x:c>
    </x:row>
    <x:row r="296">
      <x:c r="A296" s="78" t="n">
        <x:v>292</x:v>
      </x:c>
      <x:c r="B296" s="79" t="n">
        <x:v>45854</x:v>
      </x:c>
      <x:c r="C296" s="80" t="str">
        <x:v>SecureGuard</x:v>
      </x:c>
      <x:c r="D296" s="80" t="str">
        <x:v>Facilities</x:v>
      </x:c>
      <x:c r="E296" s="80" t="str">
        <x:v>Indirect</x:v>
      </x:c>
      <x:c r="F296" s="80" t="str">
        <x:v>Columbus</x:v>
      </x:c>
      <x:c r="G296" s="80" t="str">
        <x:v>Field Operations</x:v>
      </x:c>
      <x:c r="H296" s="81" t="n">
        <x:v>6920</x:v>
      </x:c>
      <x:c r="I296" s="80" t="str">
        <x:v>No</x:v>
      </x:c>
      <x:c r="J296" s="80" t="str">
        <x:v>No</x:v>
      </x:c>
      <x:c r="K296" s="80" t="str">
        <x:v>Yes</x:v>
      </x:c>
      <x:c r="L296" s="82" t="n">
        <x:v>0.1</x:v>
      </x:c>
      <x:c r="M296" s="80" t="str">
        <x:v>COO</x:v>
      </x:c>
      <x:c r="N296" s="80" t="str">
        <x:f>IF(OR(I296="No",J296="No"),"Yes","No")</x:f>
        <x:v>Yes</x:v>
      </x:c>
      <x:c r="O296" s="80" t="str">
        <x:f>IF(COUNTIFS($C:$C,C296)&lt;5,"Yes","No")</x:f>
        <x:v>Yes</x:v>
      </x:c>
      <x:c r="P296" s="81" t="n">
        <x:f>IF(K296="Yes",H296*L296,0)</x:f>
        <x:v>692</x:v>
      </x:c>
      <x:c r="Q296" s="80" t="str">
        <x:f>IF(N296="Yes","Maverick / non-preferred",IF(O296="Yes","Tail consolidation",IF(K296="Yes","Category sourcing","Non-addressable")))</x:f>
        <x:v>Maverick / non-preferred</x:v>
      </x:c>
      <x:c r="R296" s="83" t="str">
        <x:f>IF(P296&gt;=10000,"High",IF(P296&gt;=3000,"Medium","Low"))</x:f>
        <x:v>Low</x:v>
      </x:c>
    </x:row>
    <x:row r="297">
      <x:c r="A297" s="78" t="n">
        <x:v>293</x:v>
      </x:c>
      <x:c r="B297" s="79" t="n">
        <x:v>45874</x:v>
      </x:c>
      <x:c r="C297" s="80" t="str">
        <x:v>PaperTrail</x:v>
      </x:c>
      <x:c r="D297" s="80" t="str">
        <x:v>Office Supplies</x:v>
      </x:c>
      <x:c r="E297" s="80" t="str">
        <x:v>Indirect</x:v>
      </x:c>
      <x:c r="F297" s="80" t="str">
        <x:v>Chicago</x:v>
      </x:c>
      <x:c r="G297" s="80" t="str">
        <x:v>Manufacturing</x:v>
      </x:c>
      <x:c r="H297" s="81" t="n">
        <x:v>510</x:v>
      </x:c>
      <x:c r="I297" s="80" t="str">
        <x:v>No</x:v>
      </x:c>
      <x:c r="J297" s="80" t="str">
        <x:v>No</x:v>
      </x:c>
      <x:c r="K297" s="80" t="str">
        <x:v>Yes</x:v>
      </x:c>
      <x:c r="L297" s="82" t="n">
        <x:v>0.18</x:v>
      </x:c>
      <x:c r="M297" s="80" t="str">
        <x:v>CFO</x:v>
      </x:c>
      <x:c r="N297" s="80" t="str">
        <x:f>IF(OR(I297="No",J297="No"),"Yes","No")</x:f>
        <x:v>Yes</x:v>
      </x:c>
      <x:c r="O297" s="80" t="str">
        <x:f>IF(COUNTIFS($C:$C,C297)&lt;5,"Yes","No")</x:f>
        <x:v>No</x:v>
      </x:c>
      <x:c r="P297" s="81" t="n">
        <x:f>IF(K297="Yes",H297*L297,0)</x:f>
        <x:v>91.8</x:v>
      </x:c>
      <x:c r="Q297" s="80" t="str">
        <x:f>IF(N297="Yes","Maverick / non-preferred",IF(O297="Yes","Tail consolidation",IF(K297="Yes","Category sourcing","Non-addressable")))</x:f>
        <x:v>Maverick / non-preferred</x:v>
      </x:c>
      <x:c r="R297" s="83" t="str">
        <x:f>IF(P297&gt;=10000,"High",IF(P297&gt;=3000,"Medium","Low"))</x:f>
        <x:v>Low</x:v>
      </x:c>
    </x:row>
    <x:row r="298">
      <x:c r="A298" s="78" t="n">
        <x:v>294</x:v>
      </x:c>
      <x:c r="B298" s="79" t="n">
        <x:v>45888</x:v>
      </x:c>
      <x:c r="C298" s="80" t="str">
        <x:v>WorkflowPro</x:v>
      </x:c>
      <x:c r="D298" s="80" t="str">
        <x:v>IT Software</x:v>
      </x:c>
      <x:c r="E298" s="80" t="str">
        <x:v>Indirect</x:v>
      </x:c>
      <x:c r="F298" s="80" t="str">
        <x:v>Chicago</x:v>
      </x:c>
      <x:c r="G298" s="80" t="str">
        <x:v>Field Operations</x:v>
      </x:c>
      <x:c r="H298" s="81" t="n">
        <x:v>80750</x:v>
      </x:c>
      <x:c r="I298" s="80" t="str">
        <x:v>No</x:v>
      </x:c>
      <x:c r="J298" s="80" t="str">
        <x:v>No</x:v>
      </x:c>
      <x:c r="K298" s="80" t="str">
        <x:v>Yes</x:v>
      </x:c>
      <x:c r="L298" s="82" t="n">
        <x:v>0.12</x:v>
      </x:c>
      <x:c r="M298" s="80" t="str">
        <x:v>CIO</x:v>
      </x:c>
      <x:c r="N298" s="80" t="str">
        <x:f>IF(OR(I298="No",J298="No"),"Yes","No")</x:f>
        <x:v>Yes</x:v>
      </x:c>
      <x:c r="O298" s="80" t="str">
        <x:f>IF(COUNTIFS($C:$C,C298)&lt;5,"Yes","No")</x:f>
        <x:v>Yes</x:v>
      </x:c>
      <x:c r="P298" s="81" t="n">
        <x:f>IF(K298="Yes",H298*L298,0)</x:f>
        <x:v>9690</x:v>
      </x:c>
      <x:c r="Q298" s="80" t="str">
        <x:f>IF(N298="Yes","Maverick / non-preferred",IF(O298="Yes","Tail consolidation",IF(K298="Yes","Category sourcing","Non-addressable")))</x:f>
        <x:v>Maverick / non-preferred</x:v>
      </x:c>
      <x:c r="R298" s="83" t="str">
        <x:f>IF(P298&gt;=10000,"High",IF(P298&gt;=3000,"Medium","Low"))</x:f>
        <x:v>Medium</x:v>
      </x:c>
    </x:row>
    <x:row r="299">
      <x:c r="A299" s="78" t="n">
        <x:v>295</x:v>
      </x:c>
      <x:c r="B299" s="79" t="n">
        <x:v>45876</x:v>
      </x:c>
      <x:c r="C299" s="80" t="str">
        <x:v>FacilityOne</x:v>
      </x:c>
      <x:c r="D299" s="80" t="str">
        <x:v>Facilities</x:v>
      </x:c>
      <x:c r="E299" s="80" t="str">
        <x:v>Indirect</x:v>
      </x:c>
      <x:c r="F299" s="80" t="str">
        <x:v>Chicago</x:v>
      </x:c>
      <x:c r="G299" s="80" t="str">
        <x:v>Corporate</x:v>
      </x:c>
      <x:c r="H299" s="81" t="n">
        <x:v>13770</x:v>
      </x:c>
      <x:c r="I299" s="80" t="str">
        <x:v>No</x:v>
      </x:c>
      <x:c r="J299" s="80" t="str">
        <x:v>Yes</x:v>
      </x:c>
      <x:c r="K299" s="80" t="str">
        <x:v>Yes</x:v>
      </x:c>
      <x:c r="L299" s="82" t="n">
        <x:v>0.1</x:v>
      </x:c>
      <x:c r="M299" s="80" t="str">
        <x:v>COO</x:v>
      </x:c>
      <x:c r="N299" s="80" t="str">
        <x:f>IF(OR(I299="No",J299="No"),"Yes","No")</x:f>
        <x:v>Yes</x:v>
      </x:c>
      <x:c r="O299" s="80" t="str">
        <x:f>IF(COUNTIFS($C:$C,C299)&lt;5,"Yes","No")</x:f>
        <x:v>No</x:v>
      </x:c>
      <x:c r="P299" s="81" t="n">
        <x:f>IF(K299="Yes",H299*L299,0)</x:f>
        <x:v>1377</x:v>
      </x:c>
      <x:c r="Q299" s="80" t="str">
        <x:f>IF(N299="Yes","Maverick / non-preferred",IF(O299="Yes","Tail consolidation",IF(K299="Yes","Category sourcing","Non-addressable")))</x:f>
        <x:v>Maverick / non-preferred</x:v>
      </x:c>
      <x:c r="R299" s="83" t="str">
        <x:f>IF(P299&gt;=10000,"High",IF(P299&gt;=3000,"Medium","Low"))</x:f>
        <x:v>Low</x:v>
      </x:c>
    </x:row>
    <x:row r="300">
      <x:c r="A300" s="78" t="n">
        <x:v>296</x:v>
      </x:c>
      <x:c r="B300" s="79" t="n">
        <x:v>45899</x:v>
      </x:c>
      <x:c r="C300" s="80" t="str">
        <x:v>WorkforceOne</x:v>
      </x:c>
      <x:c r="D300" s="80" t="str">
        <x:v>Temp Labor</x:v>
      </x:c>
      <x:c r="E300" s="80" t="str">
        <x:v>Indirect</x:v>
      </x:c>
      <x:c r="F300" s="80" t="str">
        <x:v>Columbus</x:v>
      </x:c>
      <x:c r="G300" s="80" t="str">
        <x:v>Manufacturing</x:v>
      </x:c>
      <x:c r="H300" s="81" t="n">
        <x:v>16590</x:v>
      </x:c>
      <x:c r="I300" s="80" t="str">
        <x:v>Yes</x:v>
      </x:c>
      <x:c r="J300" s="80" t="str">
        <x:v>No</x:v>
      </x:c>
      <x:c r="K300" s="80" t="str">
        <x:v>No</x:v>
      </x:c>
      <x:c r="L300" s="82" t="n">
        <x:v>0.07</x:v>
      </x:c>
      <x:c r="M300" s="80" t="str">
        <x:v>CHRO</x:v>
      </x:c>
      <x:c r="N300" s="80" t="str">
        <x:f>IF(OR(I300="No",J300="No"),"Yes","No")</x:f>
        <x:v>Yes</x:v>
      </x:c>
      <x:c r="O300" s="80" t="str">
        <x:f>IF(COUNTIFS($C:$C,C300)&lt;5,"Yes","No")</x:f>
        <x:v>No</x:v>
      </x:c>
      <x:c r="P300" s="81" t="n">
        <x:f>IF(K300="Yes",H300*L300,0)</x:f>
        <x:v>0</x:v>
      </x:c>
      <x:c r="Q300" s="80" t="str">
        <x:f>IF(N300="Yes","Maverick / non-preferred",IF(O300="Yes","Tail consolidation",IF(K300="Yes","Category sourcing","Non-addressable")))</x:f>
        <x:v>Maverick / non-preferred</x:v>
      </x:c>
      <x:c r="R300" s="83" t="str">
        <x:f>IF(P300&gt;=10000,"High",IF(P300&gt;=3000,"Medium","Low"))</x:f>
        <x:v>Low</x:v>
      </x:c>
    </x:row>
    <x:row r="301">
      <x:c r="A301" s="78" t="n">
        <x:v>297</x:v>
      </x:c>
      <x:c r="B301" s="79" t="n">
        <x:v>45723</x:v>
      </x:c>
      <x:c r="C301" s="80" t="str">
        <x:v>Workplace Mart</x:v>
      </x:c>
      <x:c r="D301" s="80" t="str">
        <x:v>Office Supplies</x:v>
      </x:c>
      <x:c r="E301" s="80" t="str">
        <x:v>Indirect</x:v>
      </x:c>
      <x:c r="F301" s="80" t="str">
        <x:v>Phoenix</x:v>
      </x:c>
      <x:c r="G301" s="80" t="str">
        <x:v>Corporate</x:v>
      </x:c>
      <x:c r="H301" s="81" t="n">
        <x:v>5280</x:v>
      </x:c>
      <x:c r="I301" s="80" t="str">
        <x:v>No</x:v>
      </x:c>
      <x:c r="J301" s="80" t="str">
        <x:v>No</x:v>
      </x:c>
      <x:c r="K301" s="80" t="str">
        <x:v>Yes</x:v>
      </x:c>
      <x:c r="L301" s="82" t="n">
        <x:v>0.18</x:v>
      </x:c>
      <x:c r="M301" s="80" t="str">
        <x:v>CFO</x:v>
      </x:c>
      <x:c r="N301" s="80" t="str">
        <x:f>IF(OR(I301="No",J301="No"),"Yes","No")</x:f>
        <x:v>Yes</x:v>
      </x:c>
      <x:c r="O301" s="80" t="str">
        <x:f>IF(COUNTIFS($C:$C,C301)&lt;5,"Yes","No")</x:f>
        <x:v>No</x:v>
      </x:c>
      <x:c r="P301" s="81" t="n">
        <x:f>IF(K301="Yes",H301*L301,0)</x:f>
        <x:v>950.4</x:v>
      </x:c>
      <x:c r="Q301" s="80" t="str">
        <x:f>IF(N301="Yes","Maverick / non-preferred",IF(O301="Yes","Tail consolidation",IF(K301="Yes","Category sourcing","Non-addressable")))</x:f>
        <x:v>Maverick / non-preferred</x:v>
      </x:c>
      <x:c r="R301" s="83" t="str">
        <x:f>IF(P301&gt;=10000,"High",IF(P301&gt;=3000,"Medium","Low"))</x:f>
        <x:v>Low</x:v>
      </x:c>
    </x:row>
    <x:row r="302">
      <x:c r="A302" s="78" t="n">
        <x:v>298</x:v>
      </x:c>
      <x:c r="B302" s="79" t="n">
        <x:v>45845</x:v>
      </x:c>
      <x:c r="C302" s="80" t="str">
        <x:v>Industrial Supply</x:v>
      </x:c>
      <x:c r="D302" s="80" t="str">
        <x:v>MRO</x:v>
      </x:c>
      <x:c r="E302" s="80" t="str">
        <x:v>Direct</x:v>
      </x:c>
      <x:c r="F302" s="80" t="str">
        <x:v>Chicago</x:v>
      </x:c>
      <x:c r="G302" s="80" t="str">
        <x:v>Distribution</x:v>
      </x:c>
      <x:c r="H302" s="81" t="n">
        <x:v>6130</x:v>
      </x:c>
      <x:c r="I302" s="80" t="str">
        <x:v>Yes</x:v>
      </x:c>
      <x:c r="J302" s="80" t="str">
        <x:v>Yes</x:v>
      </x:c>
      <x:c r="K302" s="80" t="str">
        <x:v>No</x:v>
      </x:c>
      <x:c r="L302" s="82" t="n">
        <x:v>0.06</x:v>
      </x:c>
      <x:c r="M302" s="80" t="str">
        <x:v>COO</x:v>
      </x:c>
      <x:c r="N302" s="80" t="str">
        <x:f>IF(OR(I302="No",J302="No"),"Yes","No")</x:f>
        <x:v>No</x:v>
      </x:c>
      <x:c r="O302" s="80" t="str">
        <x:f>IF(COUNTIFS($C:$C,C302)&lt;5,"Yes","No")</x:f>
        <x:v>No</x:v>
      </x:c>
      <x:c r="P302" s="81" t="n">
        <x:f>IF(K302="Yes",H302*L302,0)</x:f>
        <x:v>0</x:v>
      </x:c>
      <x:c r="Q302" s="80" t="str">
        <x:f>IF(N302="Yes","Maverick / non-preferred",IF(O302="Yes","Tail consolidation",IF(K302="Yes","Category sourcing","Non-addressable")))</x:f>
        <x:v>Non-addressable</x:v>
      </x:c>
      <x:c r="R302" s="83" t="str">
        <x:f>IF(P302&gt;=10000,"High",IF(P302&gt;=3000,"Medium","Low"))</x:f>
        <x:v>Low</x:v>
      </x:c>
    </x:row>
    <x:row r="303">
      <x:c r="A303" s="78" t="n">
        <x:v>299</x:v>
      </x:c>
      <x:c r="B303" s="79" t="n">
        <x:v>45845</x:v>
      </x:c>
      <x:c r="C303" s="80" t="str">
        <x:v>SafeSite</x:v>
      </x:c>
      <x:c r="D303" s="80" t="str">
        <x:v>Facilities</x:v>
      </x:c>
      <x:c r="E303" s="80" t="str">
        <x:v>Indirect</x:v>
      </x:c>
      <x:c r="F303" s="80" t="str">
        <x:v>Columbus</x:v>
      </x:c>
      <x:c r="G303" s="80" t="str">
        <x:v>Manufacturing</x:v>
      </x:c>
      <x:c r="H303" s="81" t="n">
        <x:v>9530</x:v>
      </x:c>
      <x:c r="I303" s="80" t="str">
        <x:v>No</x:v>
      </x:c>
      <x:c r="J303" s="80" t="str">
        <x:v>No</x:v>
      </x:c>
      <x:c r="K303" s="80" t="str">
        <x:v>Yes</x:v>
      </x:c>
      <x:c r="L303" s="82" t="n">
        <x:v>0.1</x:v>
      </x:c>
      <x:c r="M303" s="80" t="str">
        <x:v>COO</x:v>
      </x:c>
      <x:c r="N303" s="80" t="str">
        <x:f>IF(OR(I303="No",J303="No"),"Yes","No")</x:f>
        <x:v>Yes</x:v>
      </x:c>
      <x:c r="O303" s="80" t="str">
        <x:f>IF(COUNTIFS($C:$C,C303)&lt;5,"Yes","No")</x:f>
        <x:v>No</x:v>
      </x:c>
      <x:c r="P303" s="81" t="n">
        <x:f>IF(K303="Yes",H303*L303,0)</x:f>
        <x:v>953</x:v>
      </x:c>
      <x:c r="Q303" s="80" t="str">
        <x:f>IF(N303="Yes","Maverick / non-preferred",IF(O303="Yes","Tail consolidation",IF(K303="Yes","Category sourcing","Non-addressable")))</x:f>
        <x:v>Maverick / non-preferred</x:v>
      </x:c>
      <x:c r="R303" s="83" t="str">
        <x:f>IF(P303&gt;=10000,"High",IF(P303&gt;=3000,"Medium","Low"))</x:f>
        <x:v>Low</x:v>
      </x:c>
    </x:row>
    <x:row r="304">
      <x:c r="A304" s="84" t="n">
        <x:v>300</x:v>
      </x:c>
      <x:c r="B304" s="85" t="n">
        <x:v>45968</x:v>
      </x:c>
      <x:c r="C304" s="86" t="str">
        <x:v>SecureWrap</x:v>
      </x:c>
      <x:c r="D304" s="86" t="str">
        <x:v>Packaging</x:v>
      </x:c>
      <x:c r="E304" s="86" t="str">
        <x:v>Direct</x:v>
      </x:c>
      <x:c r="F304" s="86" t="str">
        <x:v>Atlanta</x:v>
      </x:c>
      <x:c r="G304" s="86" t="str">
        <x:v>Field Operations</x:v>
      </x:c>
      <x:c r="H304" s="87" t="n">
        <x:v>48550</x:v>
      </x:c>
      <x:c r="I304" s="86" t="str">
        <x:v>No</x:v>
      </x:c>
      <x:c r="J304" s="86" t="str">
        <x:v>No</x:v>
      </x:c>
      <x:c r="K304" s="86" t="str">
        <x:v>Yes</x:v>
      </x:c>
      <x:c r="L304" s="88" t="n">
        <x:v>0.06</x:v>
      </x:c>
      <x:c r="M304" s="86" t="str">
        <x:v>COO</x:v>
      </x:c>
      <x:c r="N304" s="86" t="str">
        <x:f>IF(OR(I304="No",J304="No"),"Yes","No")</x:f>
        <x:v>Yes</x:v>
      </x:c>
      <x:c r="O304" s="86" t="str">
        <x:f>IF(COUNTIFS($C:$C,C304)&lt;5,"Yes","No")</x:f>
        <x:v>No</x:v>
      </x:c>
      <x:c r="P304" s="87" t="n">
        <x:f>IF(K304="Yes",H304*L304,0)</x:f>
        <x:v>2913</x:v>
      </x:c>
      <x:c r="Q304" s="86" t="str">
        <x:f>IF(N304="Yes","Maverick / non-preferred",IF(O304="Yes","Tail consolidation",IF(K304="Yes","Category sourcing","Non-addressable")))</x:f>
        <x:v>Maverick / non-preferred</x:v>
      </x:c>
      <x:c r="R304" s="89" t="str">
        <x:f>IF(P304&gt;=10000,"High",IF(P304&gt;=3000,"Medium","Low"))</x:f>
        <x:v>Low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96c7b481e9648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17" hidden="0" customWidth="1"/>
    <x:col min="7" max="7" width="14" hidden="0" customWidth="1"/>
    <x:col min="8" max="8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6" hidden="0" customWidth="1"/>
    <x:col min="14" max="14" width="17" hidden="0" customWidth="1"/>
    <x:col min="15" max="15" width="12" hidden="0" customWidth="1"/>
    <x:col min="16" max="16" width="22" hidden="0" customWidth="1"/>
  </x:cols>
  <x:sheetData>
    <x:row r="1" ht="34" customHeight="1">
      <x:c r="A1" s="8" t="str">
        <x:v>Spend Cube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4" customHeight="1">
      <x:c r="A2" s="14" t="str">
        <x:v>Vendor, category, and site cuts to isolate addressable spend and opportunity concentration.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 ht="22" customHeight="1">
      <x:c r="A4" s="60" t="str">
        <x:v>CATEGORY CUT</x:v>
      </x:c>
      <x:c r="J4" s="60" t="str">
        <x:v>TOP VENDOR CUT</x:v>
      </x:c>
    </x:row>
    <x:row r="5">
      <x:c r="A5" s="36" t="str">
        <x:v>Category</x:v>
      </x:c>
      <x:c r="B5" s="37" t="str">
        <x:v>Total Spend</x:v>
      </x:c>
      <x:c r="C5" s="37" t="str">
        <x:v>Addressable Spend</x:v>
      </x:c>
      <x:c r="D5" s="37" t="str">
        <x:v>Maverick Spend</x:v>
      </x:c>
      <x:c r="E5" s="37" t="str">
        <x:v># Vendors</x:v>
      </x:c>
      <x:c r="F5" s="37" t="str">
        <x:v>Savings Opportunity</x:v>
      </x:c>
      <x:c r="G5" s="37" t="str">
        <x:v>% of Total Spend</x:v>
      </x:c>
      <x:c r="H5" s="38" t="str">
        <x:v>Avg Savings Rate</x:v>
      </x:c>
      <x:c r="J5" s="36" t="str">
        <x:v>Vendor</x:v>
      </x:c>
      <x:c r="K5" s="37" t="str">
        <x:v>Total Spend</x:v>
      </x:c>
      <x:c r="L5" s="37" t="str">
        <x:v>Addressable Spend</x:v>
      </x:c>
      <x:c r="M5" s="37" t="str">
        <x:v>Maverick Spend</x:v>
      </x:c>
      <x:c r="N5" s="37" t="str">
        <x:v>Savings Opportunity</x:v>
      </x:c>
      <x:c r="O5" s="37" t="str">
        <x:v>Preferred?</x:v>
      </x:c>
      <x:c r="P5" s="38" t="str">
        <x:v>Primary Category</x:v>
      </x:c>
    </x:row>
    <x:row r="6">
      <x:c r="A6" s="39" t="str">
        <x:v>Freight &amp; Logistics</x:v>
      </x:c>
      <x:c r="B6" s="43" t="n">
        <x:f>SUMIFS(Spend_Data!$H:$H,Spend_Data!$D:$D,A6)</x:f>
        <x:v>1347530</x:v>
      </x:c>
      <x:c r="C6" s="43" t="n">
        <x:f>SUMIFS(Spend_Data!$H:$H,Spend_Data!$D:$D,A6,Spend_Data!$K:$K,"Yes")</x:f>
        <x:v>1347530</x:v>
      </x:c>
      <x:c r="D6" s="43" t="n">
        <x:f>SUMIFS(Spend_Data!$H:$H,Spend_Data!$D:$D,A6,Spend_Data!$N:$N,"Yes")</x:f>
        <x:v>860720</x:v>
      </x:c>
      <x:c r="E6" s="64" t="n">
        <x:v>5</x:v>
      </x:c>
      <x:c r="F6" s="43" t="n">
        <x:f>SUMIFS(Spend_Data!$P:$P,Spend_Data!$D:$D,A6)</x:f>
        <x:v>107802.40000000001</x:v>
      </x:c>
      <x:c r="G6" s="42" t="n">
        <x:f>B6/SUM($B$6:$B$15)</x:f>
        <x:v>0.1931732169684737</x:v>
      </x:c>
      <x:c r="H6" s="102" t="n">
        <x:f>IFERROR(F6/C6,0)</x:f>
        <x:v>0.08</x:v>
      </x:c>
      <x:c r="J6" s="39" t="str">
        <x:v>Summit Polymers</x:v>
      </x:c>
      <x:c r="K6" s="43" t="n">
        <x:f>SUMIFS(Spend_Data!$H:$H,Spend_Data!$C:$C,J6)</x:f>
        <x:v>715090</x:v>
      </x:c>
      <x:c r="L6" s="43" t="n">
        <x:f>SUMIFS(Spend_Data!$H:$H,Spend_Data!$C:$C,J6,Spend_Data!$K:$K,"Yes")</x:f>
        <x:v>301130</x:v>
      </x:c>
      <x:c r="M6" s="43" t="n">
        <x:f>SUMIFS(Spend_Data!$H:$H,Spend_Data!$C:$C,J6,Spend_Data!$N:$N,"Yes")</x:f>
        <x:v>0</x:v>
      </x:c>
      <x:c r="N6" s="43" t="n">
        <x:f>SUMIFS(Spend_Data!$P:$P,Spend_Data!$C:$C,J6)</x:f>
        <x:v>15056.5</x:v>
      </x:c>
      <x:c r="O6" s="64" t="str">
        <x:f>IF(COUNTIFS(Spend_Data!$C:$C,J6,Spend_Data!$J:$J,"Yes")&gt;0,"Yes","No")</x:f>
        <x:v>Yes</x:v>
      </x:c>
      <x:c r="P6" s="41" t="str">
        <x:f>INDEX(Spend_Data!$D:$D,MATCH(J6,Spend_Data!$C:$C,0))</x:f>
        <x:v>Raw Materials</x:v>
      </x:c>
    </x:row>
    <x:row r="7">
      <x:c r="A7" s="39" t="str">
        <x:v>Raw Materials</x:v>
      </x:c>
      <x:c r="B7" s="43" t="n">
        <x:f>SUMIFS(Spend_Data!$H:$H,Spend_Data!$D:$D,A7)</x:f>
        <x:v>1824420</x:v>
      </x:c>
      <x:c r="C7" s="43" t="n">
        <x:f>SUMIFS(Spend_Data!$H:$H,Spend_Data!$D:$D,A7,Spend_Data!$K:$K,"Yes")</x:f>
        <x:v>561930</x:v>
      </x:c>
      <x:c r="D7" s="43" t="n">
        <x:f>SUMIFS(Spend_Data!$H:$H,Spend_Data!$D:$D,A7,Spend_Data!$N:$N,"Yes")</x:f>
        <x:v>666330</x:v>
      </x:c>
      <x:c r="E7" s="64" t="n">
        <x:v>5</x:v>
      </x:c>
      <x:c r="F7" s="43" t="n">
        <x:f>SUMIFS(Spend_Data!$P:$P,Spend_Data!$D:$D,A7)</x:f>
        <x:v>28096.5</x:v>
      </x:c>
      <x:c r="G7" s="42" t="n">
        <x:f>B7/SUM($B$6:$B$15)</x:f>
        <x:v>0.2615370941660837</x:v>
      </x:c>
      <x:c r="H7" s="102" t="n">
        <x:f>IFERROR(F7/C7,0)</x:f>
        <x:v>0.05</x:v>
      </x:c>
      <x:c r="J7" s="39" t="str">
        <x:v>BrandNorth</x:v>
      </x:c>
      <x:c r="K7" s="43" t="n">
        <x:f>SUMIFS(Spend_Data!$H:$H,Spend_Data!$C:$C,J7)</x:f>
        <x:v>490700</x:v>
      </x:c>
      <x:c r="L7" s="43" t="n">
        <x:f>SUMIFS(Spend_Data!$H:$H,Spend_Data!$C:$C,J7,Spend_Data!$K:$K,"Yes")</x:f>
        <x:v>0</x:v>
      </x:c>
      <x:c r="M7" s="43" t="n">
        <x:f>SUMIFS(Spend_Data!$H:$H,Spend_Data!$C:$C,J7,Spend_Data!$N:$N,"Yes")</x:f>
        <x:v>490700</x:v>
      </x:c>
      <x:c r="N7" s="43" t="n">
        <x:f>SUMIFS(Spend_Data!$P:$P,Spend_Data!$C:$C,J7)</x:f>
        <x:v>0</x:v>
      </x:c>
      <x:c r="O7" s="64" t="str">
        <x:f>IF(COUNTIFS(Spend_Data!$C:$C,J7,Spend_Data!$J:$J,"Yes")&gt;0,"Yes","No")</x:f>
        <x:v>No</x:v>
      </x:c>
      <x:c r="P7" s="41" t="str">
        <x:f>INDEX(Spend_Data!$D:$D,MATCH(J7,Spend_Data!$C:$C,0))</x:f>
        <x:v>Professional Services</x:v>
      </x:c>
    </x:row>
    <x:row r="8">
      <x:c r="A8" s="39" t="str">
        <x:v>Packaging</x:v>
      </x:c>
      <x:c r="B8" s="43" t="n">
        <x:f>SUMIFS(Spend_Data!$H:$H,Spend_Data!$D:$D,A8)</x:f>
        <x:v>556150</x:v>
      </x:c>
      <x:c r="C8" s="43" t="n">
        <x:f>SUMIFS(Spend_Data!$H:$H,Spend_Data!$D:$D,A8,Spend_Data!$K:$K,"Yes")</x:f>
        <x:v>556150</x:v>
      </x:c>
      <x:c r="D8" s="43" t="n">
        <x:f>SUMIFS(Spend_Data!$H:$H,Spend_Data!$D:$D,A8,Spend_Data!$N:$N,"Yes")</x:f>
        <x:v>317290</x:v>
      </x:c>
      <x:c r="E8" s="64" t="n">
        <x:v>5</x:v>
      </x:c>
      <x:c r="F8" s="43" t="n">
        <x:f>SUMIFS(Spend_Data!$P:$P,Spend_Data!$D:$D,A8)</x:f>
        <x:v>33369</x:v>
      </x:c>
      <x:c r="G8" s="42" t="n">
        <x:f>B8/SUM($B$6:$B$15)</x:f>
        <x:v>0.07972608002568896</x:v>
      </x:c>
      <x:c r="H8" s="102" t="n">
        <x:f>IFERROR(F8/C8,0)</x:f>
        <x:v>0.06</x:v>
      </x:c>
      <x:c r="J8" s="39" t="str">
        <x:v>CoreMetals</x:v>
      </x:c>
      <x:c r="K8" s="43" t="n">
        <x:f>SUMIFS(Spend_Data!$H:$H,Spend_Data!$C:$C,J8)</x:f>
        <x:v>443000</x:v>
      </x:c>
      <x:c r="L8" s="43" t="n">
        <x:f>SUMIFS(Spend_Data!$H:$H,Spend_Data!$C:$C,J8,Spend_Data!$K:$K,"Yes")</x:f>
        <x:v>89540</x:v>
      </x:c>
      <x:c r="M8" s="43" t="n">
        <x:f>SUMIFS(Spend_Data!$H:$H,Spend_Data!$C:$C,J8,Spend_Data!$N:$N,"Yes")</x:f>
        <x:v>0</x:v>
      </x:c>
      <x:c r="N8" s="43" t="n">
        <x:f>SUMIFS(Spend_Data!$P:$P,Spend_Data!$C:$C,J8)</x:f>
        <x:v>4477</x:v>
      </x:c>
      <x:c r="O8" s="64" t="str">
        <x:f>IF(COUNTIFS(Spend_Data!$C:$C,J8,Spend_Data!$J:$J,"Yes")&gt;0,"Yes","No")</x:f>
        <x:v>Yes</x:v>
      </x:c>
      <x:c r="P8" s="41" t="str">
        <x:f>INDEX(Spend_Data!$D:$D,MATCH(J8,Spend_Data!$C:$C,0))</x:f>
        <x:v>Raw Materials</x:v>
      </x:c>
    </x:row>
    <x:row r="9">
      <x:c r="A9" s="39" t="str">
        <x:v>IT Software</x:v>
      </x:c>
      <x:c r="B9" s="43" t="n">
        <x:f>SUMIFS(Spend_Data!$H:$H,Spend_Data!$D:$D,A9)</x:f>
        <x:v>421720</x:v>
      </x:c>
      <x:c r="C9" s="43" t="n">
        <x:f>SUMIFS(Spend_Data!$H:$H,Spend_Data!$D:$D,A9,Spend_Data!$K:$K,"Yes")</x:f>
        <x:v>421720</x:v>
      </x:c>
      <x:c r="D9" s="43" t="n">
        <x:f>SUMIFS(Spend_Data!$H:$H,Spend_Data!$D:$D,A9,Spend_Data!$N:$N,"Yes")</x:f>
        <x:v>277970</x:v>
      </x:c>
      <x:c r="E9" s="64" t="n">
        <x:v>5</x:v>
      </x:c>
      <x:c r="F9" s="43" t="n">
        <x:f>SUMIFS(Spend_Data!$P:$P,Spend_Data!$D:$D,A9)</x:f>
        <x:v>50606.4</x:v>
      </x:c>
      <x:c r="G9" s="42" t="n">
        <x:f>B9/SUM($B$6:$B$15)</x:f>
        <x:v>0.06045506152734612</x:v>
      </x:c>
      <x:c r="H9" s="102" t="n">
        <x:f>IFERROR(F9/C9,0)</x:f>
        <x:v>0.12000000000000001</x:v>
      </x:c>
      <x:c r="J9" s="39" t="str">
        <x:v>ShipMax</x:v>
      </x:c>
      <x:c r="K9" s="43" t="n">
        <x:f>SUMIFS(Spend_Data!$H:$H,Spend_Data!$C:$C,J9)</x:f>
        <x:v>332940</x:v>
      </x:c>
      <x:c r="L9" s="43" t="n">
        <x:f>SUMIFS(Spend_Data!$H:$H,Spend_Data!$C:$C,J9,Spend_Data!$K:$K,"Yes")</x:f>
        <x:v>332940</x:v>
      </x:c>
      <x:c r="M9" s="43" t="n">
        <x:f>SUMIFS(Spend_Data!$H:$H,Spend_Data!$C:$C,J9,Spend_Data!$N:$N,"Yes")</x:f>
        <x:v>27550</x:v>
      </x:c>
      <x:c r="N9" s="43" t="n">
        <x:f>SUMIFS(Spend_Data!$P:$P,Spend_Data!$C:$C,J9)</x:f>
        <x:v>26635.2</x:v>
      </x:c>
      <x:c r="O9" s="64" t="str">
        <x:f>IF(COUNTIFS(Spend_Data!$C:$C,J9,Spend_Data!$J:$J,"Yes")&gt;0,"Yes","No")</x:f>
        <x:v>Yes</x:v>
      </x:c>
      <x:c r="P9" s="41" t="str">
        <x:f>INDEX(Spend_Data!$D:$D,MATCH(J9,Spend_Data!$C:$C,0))</x:f>
        <x:v>Freight &amp; Logistics</x:v>
      </x:c>
    </x:row>
    <x:row r="10">
      <x:c r="A10" s="39" t="str">
        <x:v>Telecom</x:v>
      </x:c>
      <x:c r="B10" s="43" t="n">
        <x:f>SUMIFS(Spend_Data!$H:$H,Spend_Data!$D:$D,A10)</x:f>
        <x:v>189390</x:v>
      </x:c>
      <x:c r="C10" s="43" t="n">
        <x:f>SUMIFS(Spend_Data!$H:$H,Spend_Data!$D:$D,A10,Spend_Data!$K:$K,"Yes")</x:f>
        <x:v>189390</x:v>
      </x:c>
      <x:c r="D10" s="43" t="n">
        <x:f>SUMIFS(Spend_Data!$H:$H,Spend_Data!$D:$D,A10,Spend_Data!$N:$N,"Yes")</x:f>
        <x:v>128200</x:v>
      </x:c>
      <x:c r="E10" s="64" t="n">
        <x:v>4</x:v>
      </x:c>
      <x:c r="F10" s="43" t="n">
        <x:f>SUMIFS(Spend_Data!$P:$P,Spend_Data!$D:$D,A10)</x:f>
        <x:v>28408.5</x:v>
      </x:c>
      <x:c r="G10" s="42" t="n">
        <x:f>B10/SUM($B$6:$B$15)</x:f>
        <x:v>0.027149729921900984</x:v>
      </x:c>
      <x:c r="H10" s="102" t="n">
        <x:f>IFERROR(F10/C10,0)</x:f>
        <x:v>0.15</x:v>
      </x:c>
      <x:c r="J10" s="39" t="str">
        <x:v>LaborFlex</x:v>
      </x:c>
      <x:c r="K10" s="43" t="n">
        <x:f>SUMIFS(Spend_Data!$H:$H,Spend_Data!$C:$C,J10)</x:f>
        <x:v>307200</x:v>
      </x:c>
      <x:c r="L10" s="43" t="n">
        <x:f>SUMIFS(Spend_Data!$H:$H,Spend_Data!$C:$C,J10,Spend_Data!$K:$K,"Yes")</x:f>
        <x:v>0</x:v>
      </x:c>
      <x:c r="M10" s="43" t="n">
        <x:f>SUMIFS(Spend_Data!$H:$H,Spend_Data!$C:$C,J10,Spend_Data!$N:$N,"Yes")</x:f>
        <x:v>0</x:v>
      </x:c>
      <x:c r="N10" s="43" t="n">
        <x:f>SUMIFS(Spend_Data!$P:$P,Spend_Data!$C:$C,J10)</x:f>
        <x:v>0</x:v>
      </x:c>
      <x:c r="O10" s="64" t="str">
        <x:f>IF(COUNTIFS(Spend_Data!$C:$C,J10,Spend_Data!$J:$J,"Yes")&gt;0,"Yes","No")</x:f>
        <x:v>Yes</x:v>
      </x:c>
      <x:c r="P10" s="41" t="str">
        <x:f>INDEX(Spend_Data!$D:$D,MATCH(J10,Spend_Data!$C:$C,0))</x:f>
        <x:v>Temp Labor</x:v>
      </x:c>
    </x:row>
    <x:row r="11">
      <x:c r="A11" s="39" t="str">
        <x:v>Facilities</x:v>
      </x:c>
      <x:c r="B11" s="43" t="n">
        <x:f>SUMIFS(Spend_Data!$H:$H,Spend_Data!$D:$D,A11)</x:f>
        <x:v>275820</x:v>
      </x:c>
      <x:c r="C11" s="43" t="n">
        <x:f>SUMIFS(Spend_Data!$H:$H,Spend_Data!$D:$D,A11,Spend_Data!$K:$K,"Yes")</x:f>
        <x:v>275820</x:v>
      </x:c>
      <x:c r="D11" s="43" t="n">
        <x:f>SUMIFS(Spend_Data!$H:$H,Spend_Data!$D:$D,A11,Spend_Data!$N:$N,"Yes")</x:f>
        <x:v>183980</x:v>
      </x:c>
      <x:c r="E11" s="64" t="n">
        <x:v>5</x:v>
      </x:c>
      <x:c r="F11" s="43" t="n">
        <x:f>SUMIFS(Spend_Data!$P:$P,Spend_Data!$D:$D,A11)</x:f>
        <x:v>27582</x:v>
      </x:c>
      <x:c r="G11" s="42" t="n">
        <x:f>B11/SUM($B$6:$B$15)</x:f>
        <x:v>0.039539777744647175</x:v>
      </x:c>
      <x:c r="H11" s="102" t="n">
        <x:f>IFERROR(F11/C11,0)</x:f>
        <x:v>0.1</x:v>
      </x:c>
      <x:c r="J11" s="39" t="str">
        <x:v>Regional LTL</x:v>
      </x:c>
      <x:c r="K11" s="43" t="n">
        <x:f>SUMIFS(Spend_Data!$H:$H,Spend_Data!$C:$C,J11)</x:f>
        <x:v>274550</x:v>
      </x:c>
      <x:c r="L11" s="43" t="n">
        <x:f>SUMIFS(Spend_Data!$H:$H,Spend_Data!$C:$C,J11,Spend_Data!$K:$K,"Yes")</x:f>
        <x:v>274550</x:v>
      </x:c>
      <x:c r="M11" s="43" t="n">
        <x:f>SUMIFS(Spend_Data!$H:$H,Spend_Data!$C:$C,J11,Spend_Data!$N:$N,"Yes")</x:f>
        <x:v>274550</x:v>
      </x:c>
      <x:c r="N11" s="43" t="n">
        <x:f>SUMIFS(Spend_Data!$P:$P,Spend_Data!$C:$C,J11)</x:f>
        <x:v>21964</x:v>
      </x:c>
      <x:c r="O11" s="64" t="str">
        <x:f>IF(COUNTIFS(Spend_Data!$C:$C,J11,Spend_Data!$J:$J,"Yes")&gt;0,"Yes","No")</x:f>
        <x:v>No</x:v>
      </x:c>
      <x:c r="P11" s="41" t="str">
        <x:f>INDEX(Spend_Data!$D:$D,MATCH(J11,Spend_Data!$C:$C,0))</x:f>
        <x:v>Freight &amp; Logistics</x:v>
      </x:c>
    </x:row>
    <x:row r="12">
      <x:c r="A12" s="39" t="str">
        <x:v>Professional Services</x:v>
      </x:c>
      <x:c r="B12" s="43" t="n">
        <x:f>SUMIFS(Spend_Data!$H:$H,Spend_Data!$D:$D,A12)</x:f>
        <x:v>1118320</x:v>
      </x:c>
      <x:c r="C12" s="43" t="n">
        <x:f>SUMIFS(Spend_Data!$H:$H,Spend_Data!$D:$D,A12,Spend_Data!$K:$K,"Yes")</x:f>
        <x:v>0</x:v>
      </x:c>
      <x:c r="D12" s="43" t="n">
        <x:f>SUMIFS(Spend_Data!$H:$H,Spend_Data!$D:$D,A12,Spend_Data!$N:$N,"Yes")</x:f>
        <x:v>1013850</x:v>
      </x:c>
      <x:c r="E12" s="64" t="n">
        <x:v>5</x:v>
      </x:c>
      <x:c r="F12" s="43" t="n">
        <x:f>SUMIFS(Spend_Data!$P:$P,Spend_Data!$D:$D,A12)</x:f>
        <x:v>0</x:v>
      </x:c>
      <x:c r="G12" s="42" t="n">
        <x:f>B12/SUM($B$6:$B$15)</x:f>
        <x:v>0.16031514845694234</x:v>
      </x:c>
      <x:c r="H12" s="102" t="n">
        <x:f>IFERROR(F12/C12,0)</x:f>
        <x:v>0</x:v>
      </x:c>
      <x:c r="J12" s="39" t="str">
        <x:v>RoadPro Logistics</x:v>
      </x:c>
      <x:c r="K12" s="43" t="n">
        <x:f>SUMIFS(Spend_Data!$H:$H,Spend_Data!$C:$C,J12)</x:f>
        <x:v>271350</x:v>
      </x:c>
      <x:c r="L12" s="43" t="n">
        <x:f>SUMIFS(Spend_Data!$H:$H,Spend_Data!$C:$C,J12,Spend_Data!$K:$K,"Yes")</x:f>
        <x:v>271350</x:v>
      </x:c>
      <x:c r="M12" s="43" t="n">
        <x:f>SUMIFS(Spend_Data!$H:$H,Spend_Data!$C:$C,J12,Spend_Data!$N:$N,"Yes")</x:f>
        <x:v>271350</x:v>
      </x:c>
      <x:c r="N12" s="43" t="n">
        <x:f>SUMIFS(Spend_Data!$P:$P,Spend_Data!$C:$C,J12)</x:f>
        <x:v>21708</x:v>
      </x:c>
      <x:c r="O12" s="64" t="str">
        <x:f>IF(COUNTIFS(Spend_Data!$C:$C,J12,Spend_Data!$J:$J,"Yes")&gt;0,"Yes","No")</x:f>
        <x:v>No</x:v>
      </x:c>
      <x:c r="P12" s="41" t="str">
        <x:f>INDEX(Spend_Data!$D:$D,MATCH(J12,Spend_Data!$C:$C,0))</x:f>
        <x:v>Freight &amp; Logistics</x:v>
      </x:c>
    </x:row>
    <x:row r="13">
      <x:c r="A13" s="39" t="str">
        <x:v>Temp Labor</x:v>
      </x:c>
      <x:c r="B13" s="43" t="n">
        <x:f>SUMIFS(Spend_Data!$H:$H,Spend_Data!$D:$D,A13)</x:f>
        <x:v>724250</x:v>
      </x:c>
      <x:c r="C13" s="43" t="n">
        <x:f>SUMIFS(Spend_Data!$H:$H,Spend_Data!$D:$D,A13,Spend_Data!$K:$K,"Yes")</x:f>
        <x:v>0</x:v>
      </x:c>
      <x:c r="D13" s="43" t="n">
        <x:f>SUMIFS(Spend_Data!$H:$H,Spend_Data!$D:$D,A13,Spend_Data!$N:$N,"Yes")</x:f>
        <x:v>417050</x:v>
      </x:c>
      <x:c r="E13" s="64" t="n">
        <x:v>4</x:v>
      </x:c>
      <x:c r="F13" s="43" t="n">
        <x:f>SUMIFS(Spend_Data!$P:$P,Spend_Data!$D:$D,A13)</x:f>
        <x:v>0</x:v>
      </x:c>
      <x:c r="G13" s="42" t="n">
        <x:f>B13/SUM($B$6:$B$15)</x:f>
        <x:v>0.10382381274585135</x:v>
      </x:c>
      <x:c r="H13" s="102" t="n">
        <x:f>IFERROR(F13/C13,0)</x:f>
        <x:v>0</x:v>
      </x:c>
      <x:c r="J13" s="39" t="str">
        <x:v>Prime Components</x:v>
      </x:c>
      <x:c r="K13" s="43" t="n">
        <x:f>SUMIFS(Spend_Data!$H:$H,Spend_Data!$C:$C,J13)</x:f>
        <x:v>269790</x:v>
      </x:c>
      <x:c r="L13" s="43" t="n">
        <x:f>SUMIFS(Spend_Data!$H:$H,Spend_Data!$C:$C,J13,Spend_Data!$K:$K,"Yes")</x:f>
        <x:v>32470</x:v>
      </x:c>
      <x:c r="M13" s="43" t="n">
        <x:f>SUMIFS(Spend_Data!$H:$H,Spend_Data!$C:$C,J13,Spend_Data!$N:$N,"Yes")</x:f>
        <x:v>269790</x:v>
      </x:c>
      <x:c r="N13" s="43" t="n">
        <x:f>SUMIFS(Spend_Data!$P:$P,Spend_Data!$C:$C,J13)</x:f>
        <x:v>1623.5</x:v>
      </x:c>
      <x:c r="O13" s="64" t="str">
        <x:f>IF(COUNTIFS(Spend_Data!$C:$C,J13,Spend_Data!$J:$J,"Yes")&gt;0,"Yes","No")</x:f>
        <x:v>No</x:v>
      </x:c>
      <x:c r="P13" s="41" t="str">
        <x:f>INDEX(Spend_Data!$D:$D,MATCH(J13,Spend_Data!$C:$C,0))</x:f>
        <x:v>Raw Materials</x:v>
      </x:c>
    </x:row>
    <x:row r="14">
      <x:c r="A14" s="39" t="str">
        <x:v>Office Supplies</x:v>
      </x:c>
      <x:c r="B14" s="43" t="n">
        <x:f>SUMIFS(Spend_Data!$H:$H,Spend_Data!$D:$D,A14)</x:f>
        <x:v>149790</x:v>
      </x:c>
      <x:c r="C14" s="43" t="n">
        <x:f>SUMIFS(Spend_Data!$H:$H,Spend_Data!$D:$D,A14,Spend_Data!$K:$K,"Yes")</x:f>
        <x:v>149790</x:v>
      </x:c>
      <x:c r="D14" s="43" t="n">
        <x:f>SUMIFS(Spend_Data!$H:$H,Spend_Data!$D:$D,A14,Spend_Data!$N:$N,"Yes")</x:f>
        <x:v>109430</x:v>
      </x:c>
      <x:c r="E14" s="64" t="n">
        <x:v>4</x:v>
      </x:c>
      <x:c r="F14" s="43" t="n">
        <x:f>SUMIFS(Spend_Data!$P:$P,Spend_Data!$D:$D,A14)</x:f>
        <x:v>26962.199999999997</x:v>
      </x:c>
      <x:c r="G14" s="42" t="n">
        <x:f>B14/SUM($B$6:$B$15)</x:f>
        <x:v>0.021472929114533756</x:v>
      </x:c>
      <x:c r="H14" s="102" t="n">
        <x:f>IFERROR(F14/C14,0)</x:f>
        <x:v>0.18</x:v>
      </x:c>
      <x:c r="J14" s="39" t="str">
        <x:v>ShiftPro</x:v>
      </x:c>
      <x:c r="K14" s="43" t="n">
        <x:f>SUMIFS(Spend_Data!$H:$H,Spend_Data!$C:$C,J14)</x:f>
        <x:v>266530</x:v>
      </x:c>
      <x:c r="L14" s="43" t="n">
        <x:f>SUMIFS(Spend_Data!$H:$H,Spend_Data!$C:$C,J14,Spend_Data!$K:$K,"Yes")</x:f>
        <x:v>0</x:v>
      </x:c>
      <x:c r="M14" s="43" t="n">
        <x:f>SUMIFS(Spend_Data!$H:$H,Spend_Data!$C:$C,J14,Spend_Data!$N:$N,"Yes")</x:f>
        <x:v>266530</x:v>
      </x:c>
      <x:c r="N14" s="43" t="n">
        <x:f>SUMIFS(Spend_Data!$P:$P,Spend_Data!$C:$C,J14)</x:f>
        <x:v>0</x:v>
      </x:c>
      <x:c r="O14" s="64" t="str">
        <x:f>IF(COUNTIFS(Spend_Data!$C:$C,J14,Spend_Data!$J:$J,"Yes")&gt;0,"Yes","No")</x:f>
        <x:v>No</x:v>
      </x:c>
      <x:c r="P14" s="41" t="str">
        <x:f>INDEX(Spend_Data!$D:$D,MATCH(J14,Spend_Data!$C:$C,0))</x:f>
        <x:v>Temp Labor</x:v>
      </x:c>
    </x:row>
    <x:row r="15">
      <x:c r="A15" s="44" t="str">
        <x:v>MRO</x:v>
      </x:c>
      <x:c r="B15" s="74" t="n">
        <x:f>SUMIFS(Spend_Data!$H:$H,Spend_Data!$D:$D,A15)</x:f>
        <x:v>368370</x:v>
      </x:c>
      <x:c r="C15" s="74" t="n">
        <x:f>SUMIFS(Spend_Data!$H:$H,Spend_Data!$D:$D,A15,Spend_Data!$K:$K,"Yes")</x:f>
        <x:v>0</x:v>
      </x:c>
      <x:c r="D15" s="74" t="n">
        <x:f>SUMIFS(Spend_Data!$H:$H,Spend_Data!$D:$D,A15,Spend_Data!$N:$N,"Yes")</x:f>
        <x:v>172190</x:v>
      </x:c>
      <x:c r="E15" s="65" t="n">
        <x:v>5</x:v>
      </x:c>
      <x:c r="F15" s="74" t="n">
        <x:f>SUMIFS(Spend_Data!$P:$P,Spend_Data!$D:$D,A15)</x:f>
        <x:v>0</x:v>
      </x:c>
      <x:c r="G15" s="66" t="n">
        <x:f>B15/SUM($B$6:$B$15)</x:f>
        <x:v>0.05280714932853194</x:v>
      </x:c>
      <x:c r="H15" s="103" t="n">
        <x:f>IFERROR(F15/C15,0)</x:f>
        <x:v>0</x:v>
      </x:c>
      <x:c r="J15" s="39" t="str">
        <x:v>FastLane Carriers</x:v>
      </x:c>
      <x:c r="K15" s="43" t="n">
        <x:f>SUMIFS(Spend_Data!$H:$H,Spend_Data!$C:$C,J15)</x:f>
        <x:v>254010</x:v>
      </x:c>
      <x:c r="L15" s="43" t="n">
        <x:f>SUMIFS(Spend_Data!$H:$H,Spend_Data!$C:$C,J15,Spend_Data!$K:$K,"Yes")</x:f>
        <x:v>254010</x:v>
      </x:c>
      <x:c r="M15" s="43" t="n">
        <x:f>SUMIFS(Spend_Data!$H:$H,Spend_Data!$C:$C,J15,Spend_Data!$N:$N,"Yes")</x:f>
        <x:v>254010</x:v>
      </x:c>
      <x:c r="N15" s="43" t="n">
        <x:f>SUMIFS(Spend_Data!$P:$P,Spend_Data!$C:$C,J15)</x:f>
        <x:v>20320.8</x:v>
      </x:c>
      <x:c r="O15" s="64" t="str">
        <x:f>IF(COUNTIFS(Spend_Data!$C:$C,J15,Spend_Data!$J:$J,"Yes")&gt;0,"Yes","No")</x:f>
        <x:v>No</x:v>
      </x:c>
      <x:c r="P15" s="41" t="str">
        <x:f>INDEX(Spend_Data!$D:$D,MATCH(J15,Spend_Data!$C:$C,0))</x:f>
        <x:v>Freight &amp; Logistics</x:v>
      </x:c>
    </x:row>
    <x:row r="16">
      <x:c r="J16" s="39" t="str">
        <x:v>LegalWorks</x:v>
      </x:c>
      <x:c r="K16" s="43" t="n">
        <x:f>SUMIFS(Spend_Data!$H:$H,Spend_Data!$C:$C,J16)</x:f>
        <x:v>244360</x:v>
      </x:c>
      <x:c r="L16" s="43" t="n">
        <x:f>SUMIFS(Spend_Data!$H:$H,Spend_Data!$C:$C,J16,Spend_Data!$K:$K,"Yes")</x:f>
        <x:v>0</x:v>
      </x:c>
      <x:c r="M16" s="43" t="n">
        <x:f>SUMIFS(Spend_Data!$H:$H,Spend_Data!$C:$C,J16,Spend_Data!$N:$N,"Yes")</x:f>
        <x:v>244360</x:v>
      </x:c>
      <x:c r="N16" s="43" t="n">
        <x:f>SUMIFS(Spend_Data!$P:$P,Spend_Data!$C:$C,J16)</x:f>
        <x:v>0</x:v>
      </x:c>
      <x:c r="O16" s="64" t="str">
        <x:f>IF(COUNTIFS(Spend_Data!$C:$C,J16,Spend_Data!$J:$J,"Yes")&gt;0,"Yes","No")</x:f>
        <x:v>No</x:v>
      </x:c>
      <x:c r="P16" s="41" t="str">
        <x:f>INDEX(Spend_Data!$D:$D,MATCH(J16,Spend_Data!$C:$C,0))</x:f>
        <x:v>Professional Services</x:v>
      </x:c>
    </x:row>
    <x:row r="17">
      <x:c r="J17" s="39" t="str">
        <x:v>United Materials</x:v>
      </x:c>
      <x:c r="K17" s="43" t="n">
        <x:f>SUMIFS(Spend_Data!$H:$H,Spend_Data!$C:$C,J17)</x:f>
        <x:v>225350</x:v>
      </x:c>
      <x:c r="L17" s="43" t="n">
        <x:f>SUMIFS(Spend_Data!$H:$H,Spend_Data!$C:$C,J17,Spend_Data!$K:$K,"Yes")</x:f>
        <x:v>104540</x:v>
      </x:c>
      <x:c r="M17" s="43" t="n">
        <x:f>SUMIFS(Spend_Data!$H:$H,Spend_Data!$C:$C,J17,Spend_Data!$N:$N,"Yes")</x:f>
        <x:v>225350</x:v>
      </x:c>
      <x:c r="N17" s="43" t="n">
        <x:f>SUMIFS(Spend_Data!$P:$P,Spend_Data!$C:$C,J17)</x:f>
        <x:v>5227</x:v>
      </x:c>
      <x:c r="O17" s="64" t="str">
        <x:f>IF(COUNTIFS(Spend_Data!$C:$C,J17,Spend_Data!$J:$J,"Yes")&gt;0,"Yes","No")</x:f>
        <x:v>No</x:v>
      </x:c>
      <x:c r="P17" s="41" t="str">
        <x:f>INDEX(Spend_Data!$D:$D,MATCH(J17,Spend_Data!$C:$C,0))</x:f>
        <x:v>Raw Materials</x:v>
      </x:c>
    </x:row>
    <x:row r="18" ht="22" customHeight="1">
      <x:c r="A18" s="60" t="str">
        <x:v>SITE CUT</x:v>
      </x:c>
      <x:c r="J18" s="39" t="str">
        <x:v>NorthLine Freight</x:v>
      </x:c>
      <x:c r="K18" s="43" t="n">
        <x:f>SUMIFS(Spend_Data!$H:$H,Spend_Data!$C:$C,J18)</x:f>
        <x:v>214680</x:v>
      </x:c>
      <x:c r="L18" s="43" t="n">
        <x:f>SUMIFS(Spend_Data!$H:$H,Spend_Data!$C:$C,J18,Spend_Data!$K:$K,"Yes")</x:f>
        <x:v>214680</x:v>
      </x:c>
      <x:c r="M18" s="43" t="n">
        <x:f>SUMIFS(Spend_Data!$H:$H,Spend_Data!$C:$C,J18,Spend_Data!$N:$N,"Yes")</x:f>
        <x:v>33260</x:v>
      </x:c>
      <x:c r="N18" s="43" t="n">
        <x:f>SUMIFS(Spend_Data!$P:$P,Spend_Data!$C:$C,J18)</x:f>
        <x:v>17174.4</x:v>
      </x:c>
      <x:c r="O18" s="64" t="str">
        <x:f>IF(COUNTIFS(Spend_Data!$C:$C,J18,Spend_Data!$J:$J,"Yes")&gt;0,"Yes","No")</x:f>
        <x:v>Yes</x:v>
      </x:c>
      <x:c r="P18" s="41" t="str">
        <x:f>INDEX(Spend_Data!$D:$D,MATCH(J18,Spend_Data!$C:$C,0))</x:f>
        <x:v>Freight &amp; Logistics</x:v>
      </x:c>
    </x:row>
    <x:row r="19">
      <x:c r="A19" s="36" t="str">
        <x:v>Site</x:v>
      </x:c>
      <x:c r="B19" s="37" t="str">
        <x:v>Total Spend</x:v>
      </x:c>
      <x:c r="C19" s="37" t="str">
        <x:v>Addressable Spend</x:v>
      </x:c>
      <x:c r="D19" s="37" t="str">
        <x:v>Maverick Spend</x:v>
      </x:c>
      <x:c r="E19" s="37" t="str">
        <x:v>Savings Opportunity</x:v>
      </x:c>
      <x:c r="F19" s="38" t="str">
        <x:v>% of Total Spend</x:v>
      </x:c>
      <x:c r="J19" s="39" t="str">
        <x:v>Allied Inputs</x:v>
      </x:c>
      <x:c r="K19" s="43" t="n">
        <x:f>SUMIFS(Spend_Data!$H:$H,Spend_Data!$C:$C,J19)</x:f>
        <x:v>171190</x:v>
      </x:c>
      <x:c r="L19" s="43" t="n">
        <x:f>SUMIFS(Spend_Data!$H:$H,Spend_Data!$C:$C,J19,Spend_Data!$K:$K,"Yes")</x:f>
        <x:v>34250</x:v>
      </x:c>
      <x:c r="M19" s="43" t="n">
        <x:f>SUMIFS(Spend_Data!$H:$H,Spend_Data!$C:$C,J19,Spend_Data!$N:$N,"Yes")</x:f>
        <x:v>171190</x:v>
      </x:c>
      <x:c r="N19" s="43" t="n">
        <x:f>SUMIFS(Spend_Data!$P:$P,Spend_Data!$C:$C,J19)</x:f>
        <x:v>1712.5</x:v>
      </x:c>
      <x:c r="O19" s="64" t="str">
        <x:f>IF(COUNTIFS(Spend_Data!$C:$C,J19,Spend_Data!$J:$J,"Yes")&gt;0,"Yes","No")</x:f>
        <x:v>No</x:v>
      </x:c>
      <x:c r="P19" s="41" t="str">
        <x:f>INDEX(Spend_Data!$D:$D,MATCH(J19,Spend_Data!$C:$C,0))</x:f>
        <x:v>Raw Materials</x:v>
      </x:c>
    </x:row>
    <x:row r="20">
      <x:c r="A20" s="39" t="str">
        <x:v>Chicago</x:v>
      </x:c>
      <x:c r="B20" s="43" t="n">
        <x:f>SUMIFS(Spend_Data!$H:$H,Spend_Data!$F:$F,A20)</x:f>
        <x:v>1639390</x:v>
      </x:c>
      <x:c r="C20" s="43" t="n">
        <x:f>SUMIFS(Spend_Data!$H:$H,Spend_Data!$F:$F,A20,Spend_Data!$K:$K,"Yes")</x:f>
        <x:v>663290</x:v>
      </x:c>
      <x:c r="D20" s="43" t="n">
        <x:f>SUMIFS(Spend_Data!$H:$H,Spend_Data!$F:$F,A20,Spend_Data!$N:$N,"Yes")</x:f>
        <x:v>757400</x:v>
      </x:c>
      <x:c r="E20" s="43" t="n">
        <x:f>SUMIFS(Spend_Data!$P:$P,Spend_Data!$F:$F,A20)</x:f>
        <x:v>58079.4</x:v>
      </x:c>
      <x:c r="F20" s="102" t="n">
        <x:f>B20/SUM($B$20:$B$24)</x:f>
        <x:v>0.23501238574721608</x:v>
      </x:c>
      <x:c r="J20" s="44" t="str">
        <x:v>BoxWorks</x:v>
      </x:c>
      <x:c r="K20" s="74" t="n">
        <x:f>SUMIFS(Spend_Data!$H:$H,Spend_Data!$C:$C,J20)</x:f>
        <x:v>163280</x:v>
      </x:c>
      <x:c r="L20" s="74" t="n">
        <x:f>SUMIFS(Spend_Data!$H:$H,Spend_Data!$C:$C,J20,Spend_Data!$K:$K,"Yes")</x:f>
        <x:v>163280</x:v>
      </x:c>
      <x:c r="M20" s="74" t="n">
        <x:f>SUMIFS(Spend_Data!$H:$H,Spend_Data!$C:$C,J20,Spend_Data!$N:$N,"Yes")</x:f>
        <x:v>0</x:v>
      </x:c>
      <x:c r="N20" s="74" t="n">
        <x:f>SUMIFS(Spend_Data!$P:$P,Spend_Data!$C:$C,J20)</x:f>
        <x:v>9796.800000000001</x:v>
      </x:c>
      <x:c r="O20" s="65" t="str">
        <x:f>IF(COUNTIFS(Spend_Data!$C:$C,J20,Spend_Data!$J:$J,"Yes")&gt;0,"Yes","No")</x:f>
        <x:v>Yes</x:v>
      </x:c>
      <x:c r="P20" s="46" t="str">
        <x:f>INDEX(Spend_Data!$D:$D,MATCH(J20,Spend_Data!$C:$C,0))</x:f>
        <x:v>Packaging</x:v>
      </x:c>
    </x:row>
    <x:row r="21">
      <x:c r="A21" s="39" t="str">
        <x:v>Dallas</x:v>
      </x:c>
      <x:c r="B21" s="43" t="n">
        <x:f>SUMIFS(Spend_Data!$H:$H,Spend_Data!$F:$F,A21)</x:f>
        <x:v>1105350</x:v>
      </x:c>
      <x:c r="C21" s="43" t="n">
        <x:f>SUMIFS(Spend_Data!$H:$H,Spend_Data!$F:$F,A21,Spend_Data!$K:$K,"Yes")</x:f>
        <x:v>514430</x:v>
      </x:c>
      <x:c r="D21" s="43" t="n">
        <x:f>SUMIFS(Spend_Data!$H:$H,Spend_Data!$F:$F,A21,Spend_Data!$N:$N,"Yes")</x:f>
        <x:v>706780</x:v>
      </x:c>
      <x:c r="E21" s="43" t="n">
        <x:f>SUMIFS(Spend_Data!$P:$P,Spend_Data!$F:$F,A21)</x:f>
        <x:v>48824.90000000001</x:v>
      </x:c>
      <x:c r="F21" s="102" t="n">
        <x:f>B21/SUM($B$20:$B$24)</x:f>
        <x:v>0.15845585283897382</x:v>
      </x:c>
    </x:row>
    <x:row r="22">
      <x:c r="A22" s="39" t="str">
        <x:v>Atlanta</x:v>
      </x:c>
      <x:c r="B22" s="43" t="n">
        <x:f>SUMIFS(Spend_Data!$H:$H,Spend_Data!$F:$F,A22)</x:f>
        <x:v>1363050</x:v>
      </x:c>
      <x:c r="C22" s="43" t="n">
        <x:f>SUMIFS(Spend_Data!$H:$H,Spend_Data!$F:$F,A22,Spend_Data!$K:$K,"Yes")</x:f>
        <x:v>978550</x:v>
      </x:c>
      <x:c r="D22" s="43" t="n">
        <x:f>SUMIFS(Spend_Data!$H:$H,Spend_Data!$F:$F,A22,Spend_Data!$N:$N,"Yes")</x:f>
        <x:v>1040740</x:v>
      </x:c>
      <x:c r="E22" s="43" t="n">
        <x:f>SUMIFS(Spend_Data!$P:$P,Spend_Data!$F:$F,A22)</x:f>
        <x:v>79474.20000000001</x:v>
      </x:c>
      <x:c r="F22" s="102" t="n">
        <x:f>B22/SUM($B$20:$B$24)</x:f>
        <x:v>0.19539806415358327</x:v>
      </x:c>
    </x:row>
    <x:row r="23">
      <x:c r="A23" s="39" t="str">
        <x:v>Phoenix</x:v>
      </x:c>
      <x:c r="B23" s="43" t="n">
        <x:f>SUMIFS(Spend_Data!$H:$H,Spend_Data!$F:$F,A23)</x:f>
        <x:v>1272650</x:v>
      </x:c>
      <x:c r="C23" s="43" t="n">
        <x:f>SUMIFS(Spend_Data!$H:$H,Spend_Data!$F:$F,A23,Spend_Data!$K:$K,"Yes")</x:f>
        <x:v>596600</x:v>
      </x:c>
      <x:c r="D23" s="43" t="n">
        <x:f>SUMIFS(Spend_Data!$H:$H,Spend_Data!$F:$F,A23,Spend_Data!$N:$N,"Yes")</x:f>
        <x:v>708510</x:v>
      </x:c>
      <x:c r="E23" s="43" t="n">
        <x:f>SUMIFS(Spend_Data!$P:$P,Spend_Data!$F:$F,A23)</x:f>
        <x:v>57118.2</x:v>
      </x:c>
      <x:c r="F23" s="102" t="n">
        <x:f>B23/SUM($B$20:$B$24)</x:f>
        <x:v>0.18243890271454294</x:v>
      </x:c>
    </x:row>
    <x:row r="24">
      <x:c r="A24" s="44" t="str">
        <x:v>Columbus</x:v>
      </x:c>
      <x:c r="B24" s="74" t="n">
        <x:f>SUMIFS(Spend_Data!$H:$H,Spend_Data!$F:$F,A24)</x:f>
        <x:v>1595320</x:v>
      </x:c>
      <x:c r="C24" s="74" t="n">
        <x:f>SUMIFS(Spend_Data!$H:$H,Spend_Data!$F:$F,A24,Spend_Data!$K:$K,"Yes")</x:f>
        <x:v>749460</x:v>
      </x:c>
      <x:c r="D24" s="74" t="n">
        <x:f>SUMIFS(Spend_Data!$H:$H,Spend_Data!$F:$F,A24,Spend_Data!$N:$N,"Yes")</x:f>
        <x:v>933580</x:v>
      </x:c>
      <x:c r="E24" s="74" t="n">
        <x:f>SUMIFS(Spend_Data!$P:$P,Spend_Data!$F:$F,A24)</x:f>
        <x:v>59330.3</x:v>
      </x:c>
      <x:c r="F24" s="103" t="n">
        <x:f>B24/SUM($B$20:$B$24)</x:f>
        <x:v>0.22869479454568392</x:v>
      </x:c>
    </x:row>
  </x:sheetData>
  <x:mergeCells>
    <x:mergeCell ref="A1:K1"/>
    <x:mergeCell ref="A2:K2"/>
    <x:mergeCell ref="A4:K4"/>
    <x:mergeCell ref="A18:K18"/>
    <x:mergeCell ref="J4:Q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12" hidden="0" customWidth="1"/>
    <x:col min="5" max="5" width="14" hidden="0" customWidth="1"/>
    <x:col min="6" max="6" width="15" hidden="0" customWidth="1"/>
    <x:col min="7" max="7" width="18" hidden="0" customWidth="1"/>
    <x:col min="8" max="8" width="18" hidden="0" customWidth="1"/>
    <x:col min="9" max="9" width="16" hidden="0" customWidth="1"/>
    <x:col min="10" max="10" width="10" hidden="0" customWidth="1"/>
    <x:col min="11" max="11" width="34" hidden="0" customWidth="1"/>
  </x:cols>
  <x:sheetData>
    <x:row r="1" ht="34" customHeight="1">
      <x:c r="A1" s="8" t="str">
        <x:v>Vendor Consolidation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4" customHeight="1">
      <x:c r="A2" s="14" t="str">
        <x:v>Identify fragmented categories, tail spend, and preferred-vendor migration opportunities.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36" t="str">
        <x:v>Category</x:v>
      </x:c>
      <x:c r="B4" s="37" t="str">
        <x:v>Total Vendors</x:v>
      </x:c>
      <x:c r="C4" s="37" t="str">
        <x:v>Preferred Vendors</x:v>
      </x:c>
      <x:c r="D4" s="37" t="str">
        <x:v>Tail Vendors</x:v>
      </x:c>
      <x:c r="E4" s="37" t="str">
        <x:v>Tail Spend</x:v>
      </x:c>
      <x:c r="F4" s="37" t="str">
        <x:v>Preferred Spend</x:v>
      </x:c>
      <x:c r="G4" s="37" t="str">
        <x:v>Non-Preferred Spend</x:v>
      </x:c>
      <x:c r="H4" s="37" t="str">
        <x:v>Consolidation Capture</x:v>
      </x:c>
      <x:c r="I4" s="37" t="str">
        <x:v>Estimated Savings</x:v>
      </x:c>
      <x:c r="J4" s="37" t="str">
        <x:v>Priority</x:v>
      </x:c>
      <x:c r="K4" s="38" t="str">
        <x:v>Recommended Action</x:v>
      </x:c>
    </x:row>
    <x:row r="5">
      <x:c r="A5" s="78" t="str">
        <x:v>Freight &amp; Logistics</x:v>
      </x:c>
      <x:c r="B5" s="80" t="n">
        <x:v>5</x:v>
      </x:c>
      <x:c r="C5" s="80" t="n">
        <x:v>2</x:v>
      </x:c>
      <x:c r="D5" s="80" t="n">
        <x:v>3</x:v>
      </x:c>
      <x:c r="E5" s="81" t="n">
        <x:f>SUMIFS(Spend_Data!$H:$H,Spend_Data!$D:$D,A5,Spend_Data!$O:$O,"Yes")</x:f>
        <x:v>0</x:v>
      </x:c>
      <x:c r="F5" s="81" t="n">
        <x:f>SUMIFS(Spend_Data!$H:$H,Spend_Data!$D:$D,A5,Spend_Data!$J:$J,"Yes")</x:f>
        <x:v>547620</x:v>
      </x:c>
      <x:c r="G5" s="81" t="n">
        <x:f>SUMIFS(Spend_Data!$H:$H,Spend_Data!$D:$D,A5,Spend_Data!$J:$J,"No")</x:f>
        <x:v>799910</x:v>
      </x:c>
      <x:c r="H5" s="82" t="n">
        <x:f>Inputs!$B$8</x:f>
        <x:v>0.6</x:v>
      </x:c>
      <x:c r="I5" s="81" t="n">
        <x:f>E5*H5*XLOOKUP(A5,Inputs!$A$14:$A$23,Inputs!$C$14:$C$23,0)</x:f>
        <x:v>0</x:v>
      </x:c>
      <x:c r="J5" s="80" t="str">
        <x:f>IF(I5&gt;=50000,"High",IF(I5&gt;=15000,"Medium","Low"))</x:f>
        <x:v>Low</x:v>
      </x:c>
      <x:c r="K5" s="83" t="str">
        <x:f>IF(J5="High","Rebid / migrate to preferred panel",IF(J5="Medium","Consolidate tail vendors","Monitor / negotiate at renewal"))</x:f>
        <x:v>Monitor / negotiate at renewal</x:v>
      </x:c>
    </x:row>
    <x:row r="6">
      <x:c r="A6" s="78" t="str">
        <x:v>Raw Materials</x:v>
      </x:c>
      <x:c r="B6" s="80" t="n">
        <x:v>5</x:v>
      </x:c>
      <x:c r="C6" s="80" t="n">
        <x:v>2</x:v>
      </x:c>
      <x:c r="D6" s="80" t="n">
        <x:v>3</x:v>
      </x:c>
      <x:c r="E6" s="81" t="n">
        <x:f>SUMIFS(Spend_Data!$H:$H,Spend_Data!$D:$D,A6,Spend_Data!$O:$O,"Yes")</x:f>
        <x:v>396540</x:v>
      </x:c>
      <x:c r="F6" s="81" t="n">
        <x:f>SUMIFS(Spend_Data!$H:$H,Spend_Data!$D:$D,A6,Spend_Data!$J:$J,"Yes")</x:f>
        <x:v>1158090</x:v>
      </x:c>
      <x:c r="G6" s="81" t="n">
        <x:f>SUMIFS(Spend_Data!$H:$H,Spend_Data!$D:$D,A6,Spend_Data!$J:$J,"No")</x:f>
        <x:v>666330</x:v>
      </x:c>
      <x:c r="H6" s="82" t="n">
        <x:f>Inputs!$B$8</x:f>
        <x:v>0.6</x:v>
      </x:c>
      <x:c r="I6" s="81" t="n">
        <x:f>E6*H6*XLOOKUP(A6,Inputs!$A$14:$A$23,Inputs!$C$14:$C$23,0)</x:f>
        <x:v>11896.2</x:v>
      </x:c>
      <x:c r="J6" s="80" t="str">
        <x:f>IF(I6&gt;=50000,"High",IF(I6&gt;=15000,"Medium","Low"))</x:f>
        <x:v>Low</x:v>
      </x:c>
      <x:c r="K6" s="83" t="str">
        <x:f>IF(J6="High","Rebid / migrate to preferred panel",IF(J6="Medium","Consolidate tail vendors","Monitor / negotiate at renewal"))</x:f>
        <x:v>Monitor / negotiate at renewal</x:v>
      </x:c>
    </x:row>
    <x:row r="7">
      <x:c r="A7" s="78" t="str">
        <x:v>Packaging</x:v>
      </x:c>
      <x:c r="B7" s="80" t="n">
        <x:v>5</x:v>
      </x:c>
      <x:c r="C7" s="80" t="n">
        <x:v>2</x:v>
      </x:c>
      <x:c r="D7" s="80" t="n">
        <x:v>3</x:v>
      </x:c>
      <x:c r="E7" s="81" t="n">
        <x:f>SUMIFS(Spend_Data!$H:$H,Spend_Data!$D:$D,A7,Spend_Data!$O:$O,"Yes")</x:f>
        <x:v>139930</x:v>
      </x:c>
      <x:c r="F7" s="81" t="n">
        <x:f>SUMIFS(Spend_Data!$H:$H,Spend_Data!$D:$D,A7,Spend_Data!$J:$J,"Yes")</x:f>
        <x:v>255720</x:v>
      </x:c>
      <x:c r="G7" s="81" t="n">
        <x:f>SUMIFS(Spend_Data!$H:$H,Spend_Data!$D:$D,A7,Spend_Data!$J:$J,"No")</x:f>
        <x:v>300430</x:v>
      </x:c>
      <x:c r="H7" s="82" t="n">
        <x:f>Inputs!$B$8</x:f>
        <x:v>0.6</x:v>
      </x:c>
      <x:c r="I7" s="81" t="n">
        <x:f>E7*H7*XLOOKUP(A7,Inputs!$A$14:$A$23,Inputs!$C$14:$C$23,0)</x:f>
        <x:v>5037.48</x:v>
      </x:c>
      <x:c r="J7" s="80" t="str">
        <x:f>IF(I7&gt;=50000,"High",IF(I7&gt;=15000,"Medium","Low"))</x:f>
        <x:v>Low</x:v>
      </x:c>
      <x:c r="K7" s="83" t="str">
        <x:f>IF(J7="High","Rebid / migrate to preferred panel",IF(J7="Medium","Consolidate tail vendors","Monitor / negotiate at renewal"))</x:f>
        <x:v>Monitor / negotiate at renewal</x:v>
      </x:c>
    </x:row>
    <x:row r="8">
      <x:c r="A8" s="78" t="str">
        <x:v>IT Software</x:v>
      </x:c>
      <x:c r="B8" s="80" t="n">
        <x:v>5</x:v>
      </x:c>
      <x:c r="C8" s="80" t="n">
        <x:v>2</x:v>
      </x:c>
      <x:c r="D8" s="80" t="n">
        <x:v>3</x:v>
      </x:c>
      <x:c r="E8" s="81" t="n">
        <x:f>SUMIFS(Spend_Data!$H:$H,Spend_Data!$D:$D,A8,Spend_Data!$O:$O,"Yes")</x:f>
        <x:v>105640</x:v>
      </x:c>
      <x:c r="F8" s="81" t="n">
        <x:f>SUMIFS(Spend_Data!$H:$H,Spend_Data!$D:$D,A8,Spend_Data!$J:$J,"Yes")</x:f>
        <x:v>152230</x:v>
      </x:c>
      <x:c r="G8" s="81" t="n">
        <x:f>SUMIFS(Spend_Data!$H:$H,Spend_Data!$D:$D,A8,Spend_Data!$J:$J,"No")</x:f>
        <x:v>269490</x:v>
      </x:c>
      <x:c r="H8" s="82" t="n">
        <x:f>Inputs!$B$8</x:f>
        <x:v>0.6</x:v>
      </x:c>
      <x:c r="I8" s="81" t="n">
        <x:f>E8*H8*XLOOKUP(A8,Inputs!$A$14:$A$23,Inputs!$C$14:$C$23,0)</x:f>
        <x:v>7606.08</x:v>
      </x:c>
      <x:c r="J8" s="80" t="str">
        <x:f>IF(I8&gt;=50000,"High",IF(I8&gt;=15000,"Medium","Low"))</x:f>
        <x:v>Low</x:v>
      </x:c>
      <x:c r="K8" s="83" t="str">
        <x:f>IF(J8="High","Rebid / migrate to preferred panel",IF(J8="Medium","Consolidate tail vendors","Monitor / negotiate at renewal"))</x:f>
        <x:v>Monitor / negotiate at renewal</x:v>
      </x:c>
    </x:row>
    <x:row r="9">
      <x:c r="A9" s="78" t="str">
        <x:v>Telecom</x:v>
      </x:c>
      <x:c r="B9" s="80" t="n">
        <x:v>4</x:v>
      </x:c>
      <x:c r="C9" s="80" t="n">
        <x:v>1</x:v>
      </x:c>
      <x:c r="D9" s="80" t="n">
        <x:v>3</x:v>
      </x:c>
      <x:c r="E9" s="81" t="n">
        <x:f>SUMIFS(Spend_Data!$H:$H,Spend_Data!$D:$D,A9,Spend_Data!$O:$O,"Yes")</x:f>
        <x:v>34030</x:v>
      </x:c>
      <x:c r="F9" s="81" t="n">
        <x:f>SUMIFS(Spend_Data!$H:$H,Spend_Data!$D:$D,A9,Spend_Data!$J:$J,"Yes")</x:f>
        <x:v>61190</x:v>
      </x:c>
      <x:c r="G9" s="81" t="n">
        <x:f>SUMIFS(Spend_Data!$H:$H,Spend_Data!$D:$D,A9,Spend_Data!$J:$J,"No")</x:f>
        <x:v>128200</x:v>
      </x:c>
      <x:c r="H9" s="82" t="n">
        <x:f>Inputs!$B$8</x:f>
        <x:v>0.6</x:v>
      </x:c>
      <x:c r="I9" s="81" t="n">
        <x:f>E9*H9*XLOOKUP(A9,Inputs!$A$14:$A$23,Inputs!$C$14:$C$23,0)</x:f>
        <x:v>3062.7</x:v>
      </x:c>
      <x:c r="J9" s="80" t="str">
        <x:f>IF(I9&gt;=50000,"High",IF(I9&gt;=15000,"Medium","Low"))</x:f>
        <x:v>Low</x:v>
      </x:c>
      <x:c r="K9" s="83" t="str">
        <x:f>IF(J9="High","Rebid / migrate to preferred panel",IF(J9="Medium","Consolidate tail vendors","Monitor / negotiate at renewal"))</x:f>
        <x:v>Monitor / negotiate at renewal</x:v>
      </x:c>
    </x:row>
    <x:row r="10">
      <x:c r="A10" s="78" t="str">
        <x:v>Facilities</x:v>
      </x:c>
      <x:c r="B10" s="80" t="n">
        <x:v>5</x:v>
      </x:c>
      <x:c r="C10" s="80" t="n">
        <x:v>2</x:v>
      </x:c>
      <x:c r="D10" s="80" t="n">
        <x:v>3</x:v>
      </x:c>
      <x:c r="E10" s="81" t="n">
        <x:f>SUMIFS(Spend_Data!$H:$H,Spend_Data!$D:$D,A10,Spend_Data!$O:$O,"Yes")</x:f>
        <x:v>116400</x:v>
      </x:c>
      <x:c r="F10" s="81" t="n">
        <x:f>SUMIFS(Spend_Data!$H:$H,Spend_Data!$D:$D,A10,Spend_Data!$J:$J,"Yes")</x:f>
        <x:v>105610</x:v>
      </x:c>
      <x:c r="G10" s="81" t="n">
        <x:f>SUMIFS(Spend_Data!$H:$H,Spend_Data!$D:$D,A10,Spend_Data!$J:$J,"No")</x:f>
        <x:v>170210</x:v>
      </x:c>
      <x:c r="H10" s="82" t="n">
        <x:f>Inputs!$B$8</x:f>
        <x:v>0.6</x:v>
      </x:c>
      <x:c r="I10" s="81" t="n">
        <x:f>E10*H10*XLOOKUP(A10,Inputs!$A$14:$A$23,Inputs!$C$14:$C$23,0)</x:f>
        <x:v>6984</x:v>
      </x:c>
      <x:c r="J10" s="80" t="str">
        <x:f>IF(I10&gt;=50000,"High",IF(I10&gt;=15000,"Medium","Low"))</x:f>
        <x:v>Low</x:v>
      </x:c>
      <x:c r="K10" s="83" t="str">
        <x:f>IF(J10="High","Rebid / migrate to preferred panel",IF(J10="Medium","Consolidate tail vendors","Monitor / negotiate at renewal"))</x:f>
        <x:v>Monitor / negotiate at renewal</x:v>
      </x:c>
    </x:row>
    <x:row r="11">
      <x:c r="A11" s="78" t="str">
        <x:v>Professional Services</x:v>
      </x:c>
      <x:c r="B11" s="80" t="n">
        <x:v>5</x:v>
      </x:c>
      <x:c r="C11" s="80" t="n">
        <x:v>1</x:v>
      </x:c>
      <x:c r="D11" s="80" t="n">
        <x:v>4</x:v>
      </x:c>
      <x:c r="E11" s="81" t="n">
        <x:f>SUMIFS(Spend_Data!$H:$H,Spend_Data!$D:$D,A11,Spend_Data!$O:$O,"Yes")</x:f>
        <x:v>162990</x:v>
      </x:c>
      <x:c r="F11" s="81" t="n">
        <x:f>SUMIFS(Spend_Data!$H:$H,Spend_Data!$D:$D,A11,Spend_Data!$J:$J,"Yes")</x:f>
        <x:v>104470</x:v>
      </x:c>
      <x:c r="G11" s="81" t="n">
        <x:f>SUMIFS(Spend_Data!$H:$H,Spend_Data!$D:$D,A11,Spend_Data!$J:$J,"No")</x:f>
        <x:v>1013850</x:v>
      </x:c>
      <x:c r="H11" s="82" t="n">
        <x:f>Inputs!$B$8</x:f>
        <x:v>0.6</x:v>
      </x:c>
      <x:c r="I11" s="81" t="n">
        <x:f>E11*H11*XLOOKUP(A11,Inputs!$A$14:$A$23,Inputs!$C$14:$C$23,0)</x:f>
        <x:v>8801.46</x:v>
      </x:c>
      <x:c r="J11" s="80" t="str">
        <x:f>IF(I11&gt;=50000,"High",IF(I11&gt;=15000,"Medium","Low"))</x:f>
        <x:v>Low</x:v>
      </x:c>
      <x:c r="K11" s="83" t="str">
        <x:f>IF(J11="High","Rebid / migrate to preferred panel",IF(J11="Medium","Consolidate tail vendors","Monitor / negotiate at renewal"))</x:f>
        <x:v>Monitor / negotiate at renewal</x:v>
      </x:c>
    </x:row>
    <x:row r="12">
      <x:c r="A12" s="78" t="str">
        <x:v>Temp Labor</x:v>
      </x:c>
      <x:c r="B12" s="80" t="n">
        <x:v>4</x:v>
      </x:c>
      <x:c r="C12" s="80" t="n">
        <x:v>1</x:v>
      </x:c>
      <x:c r="D12" s="80" t="n">
        <x:v>3</x:v>
      </x:c>
      <x:c r="E12" s="81" t="n">
        <x:f>SUMIFS(Spend_Data!$H:$H,Spend_Data!$D:$D,A12,Spend_Data!$O:$O,"Yes")</x:f>
        <x:v>26390</x:v>
      </x:c>
      <x:c r="F12" s="81" t="n">
        <x:f>SUMIFS(Spend_Data!$H:$H,Spend_Data!$D:$D,A12,Spend_Data!$J:$J,"Yes")</x:f>
        <x:v>307200</x:v>
      </x:c>
      <x:c r="G12" s="81" t="n">
        <x:f>SUMIFS(Spend_Data!$H:$H,Spend_Data!$D:$D,A12,Spend_Data!$J:$J,"No")</x:f>
        <x:v>417050</x:v>
      </x:c>
      <x:c r="H12" s="82" t="n">
        <x:f>Inputs!$B$8</x:f>
        <x:v>0.6</x:v>
      </x:c>
      <x:c r="I12" s="81" t="n">
        <x:f>E12*H12*XLOOKUP(A12,Inputs!$A$14:$A$23,Inputs!$C$14:$C$23,0)</x:f>
        <x:v>1108.38</x:v>
      </x:c>
      <x:c r="J12" s="80" t="str">
        <x:f>IF(I12&gt;=50000,"High",IF(I12&gt;=15000,"Medium","Low"))</x:f>
        <x:v>Low</x:v>
      </x:c>
      <x:c r="K12" s="83" t="str">
        <x:f>IF(J12="High","Rebid / migrate to preferred panel",IF(J12="Medium","Consolidate tail vendors","Monitor / negotiate at renewal"))</x:f>
        <x:v>Monitor / negotiate at renewal</x:v>
      </x:c>
    </x:row>
    <x:row r="13">
      <x:c r="A13" s="78" t="str">
        <x:v>Office Supplies</x:v>
      </x:c>
      <x:c r="B13" s="80" t="n">
        <x:v>4</x:v>
      </x:c>
      <x:c r="C13" s="80" t="n">
        <x:v>1</x:v>
      </x:c>
      <x:c r="D13" s="80" t="n">
        <x:v>3</x:v>
      </x:c>
      <x:c r="E13" s="81" t="n">
        <x:f>SUMIFS(Spend_Data!$H:$H,Spend_Data!$D:$D,A13,Spend_Data!$O:$O,"Yes")</x:f>
        <x:v>17750</x:v>
      </x:c>
      <x:c r="F13" s="81" t="n">
        <x:f>SUMIFS(Spend_Data!$H:$H,Spend_Data!$D:$D,A13,Spend_Data!$J:$J,"Yes")</x:f>
        <x:v>41680</x:v>
      </x:c>
      <x:c r="G13" s="81" t="n">
        <x:f>SUMIFS(Spend_Data!$H:$H,Spend_Data!$D:$D,A13,Spend_Data!$J:$J,"No")</x:f>
        <x:v>108110</x:v>
      </x:c>
      <x:c r="H13" s="82" t="n">
        <x:f>Inputs!$B$8</x:f>
        <x:v>0.6</x:v>
      </x:c>
      <x:c r="I13" s="81" t="n">
        <x:f>E13*H13*XLOOKUP(A13,Inputs!$A$14:$A$23,Inputs!$C$14:$C$23,0)</x:f>
        <x:v>1917</x:v>
      </x:c>
      <x:c r="J13" s="80" t="str">
        <x:f>IF(I13&gt;=50000,"High",IF(I13&gt;=15000,"Medium","Low"))</x:f>
        <x:v>Low</x:v>
      </x:c>
      <x:c r="K13" s="83" t="str">
        <x:f>IF(J13="High","Rebid / migrate to preferred panel",IF(J13="Medium","Consolidate tail vendors","Monitor / negotiate at renewal"))</x:f>
        <x:v>Monitor / negotiate at renewal</x:v>
      </x:c>
    </x:row>
    <x:row r="14">
      <x:c r="A14" s="84" t="str">
        <x:v>MRO</x:v>
      </x:c>
      <x:c r="B14" s="86" t="n">
        <x:v>5</x:v>
      </x:c>
      <x:c r="C14" s="86" t="n">
        <x:v>2</x:v>
      </x:c>
      <x:c r="D14" s="86" t="n">
        <x:v>3</x:v>
      </x:c>
      <x:c r="E14" s="87" t="n">
        <x:f>SUMIFS(Spend_Data!$H:$H,Spend_Data!$D:$D,A14,Spend_Data!$O:$O,"Yes")</x:f>
        <x:v>4930</x:v>
      </x:c>
      <x:c r="F14" s="87" t="n">
        <x:f>SUMIFS(Spend_Data!$H:$H,Spend_Data!$D:$D,A14,Spend_Data!$J:$J,"Yes")</x:f>
        <x:v>211360</x:v>
      </x:c>
      <x:c r="G14" s="87" t="n">
        <x:f>SUMIFS(Spend_Data!$H:$H,Spend_Data!$D:$D,A14,Spend_Data!$J:$J,"No")</x:f>
        <x:v>157010</x:v>
      </x:c>
      <x:c r="H14" s="88" t="n">
        <x:f>Inputs!$B$8</x:f>
        <x:v>0.6</x:v>
      </x:c>
      <x:c r="I14" s="87" t="n">
        <x:f>E14*H14*XLOOKUP(A14,Inputs!$A$14:$A$23,Inputs!$C$14:$C$23,0)</x:f>
        <x:v>177.48</x:v>
      </x:c>
      <x:c r="J14" s="86" t="str">
        <x:f>IF(I14&gt;=50000,"High",IF(I14&gt;=15000,"Medium","Low"))</x:f>
        <x:v>Low</x:v>
      </x:c>
      <x:c r="K14" s="89" t="str">
        <x:f>IF(J14="High","Rebid / migrate to preferred panel",IF(J14="Medium","Consolidate tail vendors","Monitor / negotiate at renewal"))</x:f>
        <x:v>Monitor / negotiate at renewal</x:v>
      </x:c>
    </x:row>
  </x:sheetData>
  <x:mergeCells>
    <x:mergeCell ref="A1:K1"/>
    <x:mergeCell ref="A2:K2"/>
  </x:mergeCells>
  <x:conditionalFormatting sqref="I5:I14">
    <x:cfRule type="dataBar" priority="1">
      <x:dataBar>
        <x:cfvo type="min"/>
        <x:cfvo type="max"/>
        <x:color rgb="B8862F"/>
      </x:dataBar>
      <x:extLst>
        <x:ext xmlns:x14="http://schemas.microsoft.com/office/spreadsheetml/2009/9/main" uri="{B025F937-C7B1-47D3-B67F-A62EFF666E3E}">
          <x14:id>{116FC022-A23D-B89D-0EDB-A412C9A18703}</x14:id>
        </x:ext>
      </x:extLst>
    </x:cfRule>
  </x:conditionalFormatting>
  <x:conditionalFormatting sqref="J5:J14">
    <x:cfRule type="expression" dxfId="0" priority="2">
      <x:formula>J5="High"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16FC022-A23D-B89D-0EDB-A412C9A18703}">
            <x14:dataBar gradient="0">
              <x14:cfvo type="min"/>
              <x14:cfvo type="max"/>
              <x14:fillColor rgb="B8862F"/>
            </x14:dataBar>
          </x14:cfRule>
          <xm:sqref>I5:I14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12" hidden="0" customWidth="1"/>
    <x:col min="5" max="5" width="24" hidden="0" customWidth="1"/>
    <x:col min="6" max="6" width="15" hidden="0" customWidth="1"/>
    <x:col min="7" max="7" width="12" hidden="0" customWidth="1"/>
    <x:col min="8" max="8" width="14" hidden="0" customWidth="1"/>
    <x:col min="9" max="9" width="13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34" customHeight="1">
      <x:c r="A1" s="8" t="str">
        <x:v>Savings Pipeline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4" customHeight="1">
      <x:c r="A2" s="14" t="str">
        <x:v>Opportunity register for sourcing, consolidation, maverick spend control, and benefit capture.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36" t="str">
        <x:v>ID</x:v>
      </x:c>
      <x:c r="B4" s="37" t="str">
        <x:v>Opportunity</x:v>
      </x:c>
      <x:c r="C4" s="37" t="str">
        <x:v>Category</x:v>
      </x:c>
      <x:c r="D4" s="37" t="str">
        <x:v>Owner</x:v>
      </x:c>
      <x:c r="E4" s="37" t="str">
        <x:v>Lever</x:v>
      </x:c>
      <x:c r="F4" s="37" t="str">
        <x:v>Baseline Spend</x:v>
      </x:c>
      <x:c r="G4" s="37" t="str">
        <x:v>Savings Rate</x:v>
      </x:c>
      <x:c r="H4" s="37" t="str">
        <x:v>Gross Savings</x:v>
      </x:c>
      <x:c r="I4" s="37" t="str">
        <x:v>Realization %</x:v>
      </x:c>
      <x:c r="J4" s="37" t="str">
        <x:v>Run-Rate EBITDA</x:v>
      </x:c>
      <x:c r="K4" s="37" t="str">
        <x:v>Status</x:v>
      </x:c>
      <x:c r="L4" s="38" t="str">
        <x:v>Target Date</x:v>
      </x:c>
    </x:row>
    <x:row r="5">
      <x:c r="A5" s="78" t="n">
        <x:v>1</x:v>
      </x:c>
      <x:c r="B5" s="80" t="str">
        <x:v>Rebid top freight lanes</x:v>
      </x:c>
      <x:c r="C5" s="80" t="str">
        <x:v>Freight &amp; Logistics</x:v>
      </x:c>
      <x:c r="D5" s="80" t="str">
        <x:v>COO</x:v>
      </x:c>
      <x:c r="E5" s="80" t="str">
        <x:v>Carrier rebid</x:v>
      </x:c>
      <x:c r="F5" s="81" t="n">
        <x:f>SUMIFS(Spend_Data!$H:$H,Spend_Data!$D:$D,C5,Spend_Data!$K:$K,"Yes")</x:f>
        <x:v>1347530</x:v>
      </x:c>
      <x:c r="G5" s="82" t="n">
        <x:v>0.075</x:v>
      </x:c>
      <x:c r="H5" s="81" t="n">
        <x:f>F5*G5</x:f>
        <x:v>101064.75</x:v>
      </x:c>
      <x:c r="I5" s="82" t="n">
        <x:f>Inputs!$B$6</x:f>
        <x:v>0.8</x:v>
      </x:c>
      <x:c r="J5" s="81" t="n">
        <x:f>H5*I5</x:f>
        <x:v>80851.8</x:v>
      </x:c>
      <x:c r="K5" s="80" t="str">
        <x:v>In Progress</x:v>
      </x:c>
      <x:c r="L5" s="110" t="n">
        <x:v>46203</x:v>
      </x:c>
    </x:row>
    <x:row r="6">
      <x:c r="A6" s="78" t="n">
        <x:v>2</x:v>
      </x:c>
      <x:c r="B6" s="80" t="str">
        <x:v>Consolidate IT software licenses</x:v>
      </x:c>
      <x:c r="C6" s="80" t="str">
        <x:v>IT Software</x:v>
      </x:c>
      <x:c r="D6" s="80" t="str">
        <x:v>CIO</x:v>
      </x:c>
      <x:c r="E6" s="80" t="str">
        <x:v>License rationalization</x:v>
      </x:c>
      <x:c r="F6" s="81" t="n">
        <x:f>SUMIFS(Spend_Data!$H:$H,Spend_Data!$D:$D,C6,Spend_Data!$K:$K,"Yes")</x:f>
        <x:v>421720</x:v>
      </x:c>
      <x:c r="G6" s="82" t="n">
        <x:v>0.12</x:v>
      </x:c>
      <x:c r="H6" s="81" t="n">
        <x:f>F6*G6</x:f>
        <x:v>50606.4</x:v>
      </x:c>
      <x:c r="I6" s="82" t="n">
        <x:f>Inputs!$B$6</x:f>
        <x:v>0.8</x:v>
      </x:c>
      <x:c r="J6" s="81" t="n">
        <x:f>H6*I6</x:f>
        <x:v>40485.12</x:v>
      </x:c>
      <x:c r="K6" s="80" t="str">
        <x:v>Not Started</x:v>
      </x:c>
      <x:c r="L6" s="110" t="n">
        <x:v>46234</x:v>
      </x:c>
    </x:row>
    <x:row r="7">
      <x:c r="A7" s="78" t="n">
        <x:v>3</x:v>
      </x:c>
      <x:c r="B7" s="80" t="str">
        <x:v>Migrate office supplies to catalog</x:v>
      </x:c>
      <x:c r="C7" s="80" t="str">
        <x:v>Office Supplies</x:v>
      </x:c>
      <x:c r="D7" s="80" t="str">
        <x:v>CFO</x:v>
      </x:c>
      <x:c r="E7" s="80" t="str">
        <x:v>Preferred vendor control</x:v>
      </x:c>
      <x:c r="F7" s="81" t="n">
        <x:f>SUMIFS(Spend_Data!$H:$H,Spend_Data!$D:$D,C7,Spend_Data!$K:$K,"Yes")</x:f>
        <x:v>149790</x:v>
      </x:c>
      <x:c r="G7" s="82" t="n">
        <x:v>0.18</x:v>
      </x:c>
      <x:c r="H7" s="81" t="n">
        <x:f>F7*G7</x:f>
        <x:v>26962.2</x:v>
      </x:c>
      <x:c r="I7" s="82" t="n">
        <x:f>Inputs!$B$6</x:f>
        <x:v>0.8</x:v>
      </x:c>
      <x:c r="J7" s="81" t="n">
        <x:f>H7*I7</x:f>
        <x:v>21569.760000000002</x:v>
      </x:c>
      <x:c r="K7" s="80" t="str">
        <x:v>In Progress</x:v>
      </x:c>
      <x:c r="L7" s="110" t="n">
        <x:v>46188</x:v>
      </x:c>
    </x:row>
    <x:row r="8">
      <x:c r="A8" s="78" t="n">
        <x:v>4</x:v>
      </x:c>
      <x:c r="B8" s="80" t="str">
        <x:v>Facilities vendor panel</x:v>
      </x:c>
      <x:c r="C8" s="80" t="str">
        <x:v>Facilities</x:v>
      </x:c>
      <x:c r="D8" s="80" t="str">
        <x:v>COO</x:v>
      </x:c>
      <x:c r="E8" s="80" t="str">
        <x:v>Vendor consolidation</x:v>
      </x:c>
      <x:c r="F8" s="81" t="n">
        <x:f>SUMIFS(Spend_Data!$H:$H,Spend_Data!$D:$D,C8,Spend_Data!$K:$K,"Yes")</x:f>
        <x:v>275820</x:v>
      </x:c>
      <x:c r="G8" s="82" t="n">
        <x:v>0.09</x:v>
      </x:c>
      <x:c r="H8" s="81" t="n">
        <x:f>F8*G8</x:f>
        <x:v>24823.8</x:v>
      </x:c>
      <x:c r="I8" s="82" t="n">
        <x:f>Inputs!$B$6</x:f>
        <x:v>0.8</x:v>
      </x:c>
      <x:c r="J8" s="81" t="n">
        <x:f>H8*I8</x:f>
        <x:v>19859.04</x:v>
      </x:c>
      <x:c r="K8" s="80" t="str">
        <x:v>Not Started</x:v>
      </x:c>
      <x:c r="L8" s="110" t="n">
        <x:v>46265</x:v>
      </x:c>
    </x:row>
    <x:row r="9">
      <x:c r="A9" s="78" t="n">
        <x:v>5</x:v>
      </x:c>
      <x:c r="B9" s="80" t="str">
        <x:v>Telecom plan normalization</x:v>
      </x:c>
      <x:c r="C9" s="80" t="str">
        <x:v>Telecom</x:v>
      </x:c>
      <x:c r="D9" s="80" t="str">
        <x:v>CIO</x:v>
      </x:c>
      <x:c r="E9" s="80" t="str">
        <x:v>Contract rebid</x:v>
      </x:c>
      <x:c r="F9" s="81" t="n">
        <x:f>SUMIFS(Spend_Data!$H:$H,Spend_Data!$D:$D,C9,Spend_Data!$K:$K,"Yes")</x:f>
        <x:v>189390</x:v>
      </x:c>
      <x:c r="G9" s="82" t="n">
        <x:v>0.15</x:v>
      </x:c>
      <x:c r="H9" s="81" t="n">
        <x:f>F9*G9</x:f>
        <x:v>28408.5</x:v>
      </x:c>
      <x:c r="I9" s="82" t="n">
        <x:f>Inputs!$B$6</x:f>
        <x:v>0.8</x:v>
      </x:c>
      <x:c r="J9" s="81" t="n">
        <x:f>H9*I9</x:f>
        <x:v>22726.800000000003</x:v>
      </x:c>
      <x:c r="K9" s="80" t="str">
        <x:v>Complete</x:v>
      </x:c>
      <x:c r="L9" s="110" t="n">
        <x:v>46173</x:v>
      </x:c>
    </x:row>
    <x:row r="10">
      <x:c r="A10" s="78" t="n">
        <x:v>6</x:v>
      </x:c>
      <x:c r="B10" s="80" t="str">
        <x:v>Packaging spec standardization</x:v>
      </x:c>
      <x:c r="C10" s="80" t="str">
        <x:v>Packaging</x:v>
      </x:c>
      <x:c r="D10" s="80" t="str">
        <x:v>COO</x:v>
      </x:c>
      <x:c r="E10" s="80" t="str">
        <x:v>Specification rationalization</x:v>
      </x:c>
      <x:c r="F10" s="81" t="n">
        <x:f>SUMIFS(Spend_Data!$H:$H,Spend_Data!$D:$D,C10,Spend_Data!$K:$K,"Yes")</x:f>
        <x:v>556150</x:v>
      </x:c>
      <x:c r="G10" s="82" t="n">
        <x:v>0.06</x:v>
      </x:c>
      <x:c r="H10" s="81" t="n">
        <x:f>F10*G10</x:f>
        <x:v>33369</x:v>
      </x:c>
      <x:c r="I10" s="82" t="n">
        <x:f>Inputs!$B$6</x:f>
        <x:v>0.8</x:v>
      </x:c>
      <x:c r="J10" s="81" t="n">
        <x:f>H10*I10</x:f>
        <x:v>26695.2</x:v>
      </x:c>
      <x:c r="K10" s="80" t="str">
        <x:v>In Progress</x:v>
      </x:c>
      <x:c r="L10" s="110" t="n">
        <x:v>46295</x:v>
      </x:c>
    </x:row>
    <x:row r="11">
      <x:c r="A11" s="78" t="n">
        <x:v>7</x:v>
      </x:c>
      <x:c r="B11" s="80" t="str">
        <x:v>Professional services demand controls</x:v>
      </x:c>
      <x:c r="C11" s="80" t="str">
        <x:v>Professional Services</x:v>
      </x:c>
      <x:c r="D11" s="80" t="str">
        <x:v>CFO</x:v>
      </x:c>
      <x:c r="E11" s="80" t="str">
        <x:v>Demand management</x:v>
      </x:c>
      <x:c r="F11" s="81" t="n">
        <x:f>SUMIFS(Spend_Data!$H:$H,Spend_Data!$D:$D,C11,Spend_Data!$K:$K,"Yes")</x:f>
        <x:v>0</x:v>
      </x:c>
      <x:c r="G11" s="82" t="n">
        <x:v>0.07</x:v>
      </x:c>
      <x:c r="H11" s="81" t="n">
        <x:f>F11*G11</x:f>
        <x:v>0</x:v>
      </x:c>
      <x:c r="I11" s="82" t="n">
        <x:f>Inputs!$B$6</x:f>
        <x:v>0.8</x:v>
      </x:c>
      <x:c r="J11" s="81" t="n">
        <x:f>H11*I11</x:f>
        <x:v>0</x:v>
      </x:c>
      <x:c r="K11" s="80" t="str">
        <x:v>At Risk</x:v>
      </x:c>
      <x:c r="L11" s="110" t="n">
        <x:v>46326</x:v>
      </x:c>
    </x:row>
    <x:row r="12">
      <x:c r="A12" s="84" t="n">
        <x:v>8</x:v>
      </x:c>
      <x:c r="B12" s="86" t="str">
        <x:v>Temp labor vendor markup reset</x:v>
      </x:c>
      <x:c r="C12" s="86" t="str">
        <x:v>Temp Labor</x:v>
      </x:c>
      <x:c r="D12" s="86" t="str">
        <x:v>CHRO</x:v>
      </x:c>
      <x:c r="E12" s="86" t="str">
        <x:v>Rate negotiation</x:v>
      </x:c>
      <x:c r="F12" s="87" t="n">
        <x:f>SUMIFS(Spend_Data!$H:$H,Spend_Data!$D:$D,C12,Spend_Data!$K:$K,"Yes")</x:f>
        <x:v>0</x:v>
      </x:c>
      <x:c r="G12" s="88" t="n">
        <x:v>0.065</x:v>
      </x:c>
      <x:c r="H12" s="87" t="n">
        <x:f>F12*G12</x:f>
        <x:v>0</x:v>
      </x:c>
      <x:c r="I12" s="88" t="n">
        <x:f>Inputs!$B$6</x:f>
        <x:v>0.8</x:v>
      </x:c>
      <x:c r="J12" s="87" t="n">
        <x:f>H12*I12</x:f>
        <x:v>0</x:v>
      </x:c>
      <x:c r="K12" s="86" t="str">
        <x:v>Not Started</x:v>
      </x:c>
      <x:c r="L12" s="111" t="n">
        <x:v>46280</x:v>
      </x:c>
    </x:row>
  </x:sheetData>
  <x:mergeCells>
    <x:mergeCell ref="A1:L1"/>
    <x:mergeCell ref="A2:L2"/>
  </x:mergeCells>
  <x:conditionalFormatting sqref="K5:K12">
    <x:cfRule type="expression" dxfId="1" priority="1">
      <x:formula>K5="At Risk"</x:formula>
    </x:cfRule>
    <x:cfRule type="expression" dxfId="2" priority="2">
      <x:formula>K5="Complete"</x:formula>
    </x:cfRule>
  </x:conditionalFormatting>
  <x:dataValidations count="1">
    <x:dataValidation type="list" sqref="K5:K50">
      <x:formula1>"Not Started,In Progress,At Risk,Complete"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902038fe8e45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5" max="5" width="28" hidden="0" customWidth="1"/>
    <x:col min="6" max="6" width="18" hidden="0" customWidth="1"/>
  </x:cols>
  <x:sheetData>
    <x:row r="1" ht="34" customHeight="1">
      <x:c r="A1" s="8" t="str">
        <x:v>EBITDA Validation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4" customHeight="1">
      <x:c r="A2" s="14" t="str">
        <x:v>Bridge identified procurement opportunities into validated run-rate EBITDA and enterprise value.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 ht="22" customHeight="1">
      <x:c r="A4" s="60" t="str">
        <x:v>SUMMARY</x:v>
      </x:c>
      <x:c r="E4" s="60" t="str">
        <x:v>EBITDA BRIDGE</x:v>
      </x:c>
    </x:row>
    <x:row r="5">
      <x:c r="A5" s="36" t="str">
        <x:v>Metric</x:v>
      </x:c>
      <x:c r="B5" s="37" t="str">
        <x:v>Formula / Source</x:v>
      </x:c>
      <x:c r="C5" s="38" t="str">
        <x:v>Value</x:v>
      </x:c>
      <x:c r="E5" s="36" t="str">
        <x:v>Bridge Item</x:v>
      </x:c>
      <x:c r="F5" s="38" t="str">
        <x:v>Amount</x:v>
      </x:c>
    </x:row>
    <x:row r="6">
      <x:c r="A6" s="39" t="str">
        <x:v>Total Third-Party Spend</x:v>
      </x:c>
      <x:c r="B6" s="64" t="str">
        <x:v>Spend_Data total spend</x:v>
      </x:c>
      <x:c r="C6" s="114" t="n">
        <x:f>SUM(Spend_Data!$H:$H)</x:f>
        <x:v>6975760</x:v>
      </x:c>
      <x:c r="E6" s="39" t="str">
        <x:v>Identified Gross Savings</x:v>
      </x:c>
      <x:c r="F6" s="114" t="n">
        <x:f>C9</x:f>
        <x:v>265234.65</x:v>
      </x:c>
    </x:row>
    <x:row r="7">
      <x:c r="A7" s="39" t="str">
        <x:v>Addressable Spend</x:v>
      </x:c>
      <x:c r="B7" s="64" t="str">
        <x:v>Spend marked addressable</x:v>
      </x:c>
      <x:c r="C7" s="114" t="n">
        <x:f>SUMIFS(Spend_Data!$H:$H,Spend_Data!$K:$K,"Yes")</x:f>
        <x:v>3502330</x:v>
      </x:c>
      <x:c r="E7" s="39" t="str">
        <x:v>Realization Discount</x:v>
      </x:c>
      <x:c r="F7" s="114" t="n">
        <x:f>-(C9-C11)</x:f>
        <x:v>-53046.92999999999</x:v>
      </x:c>
    </x:row>
    <x:row r="8">
      <x:c r="A8" s="39" t="str">
        <x:v>Identified Gross Savings</x:v>
      </x:c>
      <x:c r="B8" s="64" t="str">
        <x:v>Spend_Data savings opportunity</x:v>
      </x:c>
      <x:c r="C8" s="114" t="n">
        <x:f>SUM(Spend_Data!$P:$P)</x:f>
        <x:v>302826.99999999994</x:v>
      </x:c>
      <x:c r="E8" s="39" t="str">
        <x:v>Validated Run-Rate EBITDA</x:v>
      </x:c>
      <x:c r="F8" s="114" t="n">
        <x:f>C11</x:f>
        <x:v>212187.72000000003</x:v>
      </x:c>
    </x:row>
    <x:row r="9">
      <x:c r="A9" s="39" t="str">
        <x:v>Pipeline Gross Savings</x:v>
      </x:c>
      <x:c r="B9" s="64" t="str">
        <x:v>Savings_Pipeline gross savings</x:v>
      </x:c>
      <x:c r="C9" s="114" t="n">
        <x:f>SUM(Savings_Pipeline!$H$5:$H$12)</x:f>
        <x:v>265234.65</x:v>
      </x:c>
      <x:c r="E9" s="44" t="str">
        <x:v>Enterprise Value Impact</x:v>
      </x:c>
      <x:c r="F9" s="115" t="n">
        <x:f>C12</x:f>
        <x:v>2121877.2</x:v>
      </x:c>
    </x:row>
    <x:row r="10">
      <x:c r="A10" s="39" t="str">
        <x:v>Realization Rate</x:v>
      </x:c>
      <x:c r="B10" s="64" t="str">
        <x:v>Inputs assumption</x:v>
      </x:c>
      <x:c r="C10" s="102" t="n">
        <x:f>Inputs!$B$6</x:f>
        <x:v>0.8</x:v>
      </x:c>
    </x:row>
    <x:row r="11">
      <x:c r="A11" s="39" t="str">
        <x:v>Validated Run-Rate EBITDA</x:v>
      </x:c>
      <x:c r="B11" s="64" t="str">
        <x:v>Pipeline gross savings × realization rate</x:v>
      </x:c>
      <x:c r="C11" s="114" t="n">
        <x:f>SUM(Savings_Pipeline!$J$5:$J$12)</x:f>
        <x:v>212187.72000000003</x:v>
      </x:c>
    </x:row>
    <x:row r="12">
      <x:c r="A12" s="44" t="str">
        <x:v>Enterprise Value Impact</x:v>
      </x:c>
      <x:c r="B12" s="65" t="str">
        <x:v>Run-rate EBITDA × EBITDA multiple</x:v>
      </x:c>
      <x:c r="C12" s="115" t="n">
        <x:f>C11*Inputs!$B$5</x:f>
        <x:v>2121877.2</x:v>
      </x:c>
    </x:row>
  </x:sheetData>
  <x:mergeCells>
    <x:mergeCell ref="A1:J1"/>
    <x:mergeCell ref="A2:J2"/>
    <x:mergeCell ref="A4:J4"/>
    <x:mergeCell ref="E4:J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70" hidden="0" customWidth="1"/>
  </x:cols>
  <x:sheetData>
    <x:row r="1" ht="34" customHeight="1">
      <x:c r="A1" s="8" t="str">
        <x:v>Sources &amp; Assumptions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4" customHeight="1">
      <x:c r="A2" s="14" t="str">
        <x:v>Plain-English assumptions and source notes for model inputs.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36" t="str">
        <x:v>Area</x:v>
      </x:c>
      <x:c r="B4" s="37" t="str">
        <x:v>Source / Assumption</x:v>
      </x:c>
      <x:c r="C4" s="38" t="str">
        <x:v>Notes</x:v>
      </x:c>
    </x:row>
    <x:row r="5">
      <x:c r="A5" s="78" t="str">
        <x:v>Sample spend data</x:v>
      </x:c>
      <x:c r="B5" s="80" t="str">
        <x:v>Synthetic sample data generated for model demonstration</x:v>
      </x:c>
      <x:c r="C5" s="83" t="str">
        <x:v>Replace with AP, PO, invoice, or GL spend extract.</x:v>
      </x:c>
    </x:row>
    <x:row r="6">
      <x:c r="A6" s="78" t="str">
        <x:v>Savings rates</x:v>
      </x:c>
      <x:c r="B6" s="80" t="str">
        <x:v>Benchmark assumptions in Inputs category table</x:v>
      </x:c>
      <x:c r="C6" s="83" t="str">
        <x:v>Users should replace with category-specific sourcing benchmarks or actual bid results.</x:v>
      </x:c>
    </x:row>
    <x:row r="7">
      <x:c r="A7" s="78" t="str">
        <x:v>EBITDA multiple</x:v>
      </x:c>
      <x:c r="B7" s="80" t="str">
        <x:v>User-defined input</x:v>
      </x:c>
      <x:c r="C7" s="83" t="str">
        <x:v>Used only to illustrate enterprise value impact. Not investment advice.</x:v>
      </x:c>
    </x:row>
    <x:row r="8">
      <x:c r="A8" s="78" t="str">
        <x:v>Realization rate</x:v>
      </x:c>
      <x:c r="B8" s="80" t="str">
        <x:v>User-defined input</x:v>
      </x:c>
      <x:c r="C8" s="83" t="str">
        <x:v>Represents expected share of gross savings that becomes validated run-rate EBITDA.</x:v>
      </x:c>
    </x:row>
    <x:row r="9">
      <x:c r="A9" s="78" t="str">
        <x:v>Maverick spend</x:v>
      </x:c>
      <x:c r="B9" s="80" t="str">
        <x:v>Defined as spend not under contract or with non-preferred vendors</x:v>
      </x:c>
      <x:c r="C9" s="83" t="str">
        <x:v>Definition can be modified based on procurement policy.</x:v>
      </x:c>
    </x:row>
    <x:row r="10">
      <x:c r="A10" s="84" t="str">
        <x:v>Tail vendor</x:v>
      </x:c>
      <x:c r="B10" s="86" t="str">
        <x:v>Vendor with fewer than five invoices in sample data</x:v>
      </x:c>
      <x:c r="C10" s="89" t="str">
        <x:v>This is a practical proxy; replace with vendor count or spend threshold if preferred.</x:v>
      </x:c>
    </x:row>
  </x:sheetData>
  <x:mergeCells>
    <x:mergeCell ref="A1:H1"/>
    <x:mergeCell ref="A2:H2"/>
  </x:mergeCells>
  <x:pageMargins left="0.7" right="0.7" top="0.75" bottom="0.75" header="0.3" footer="0.3"/>
</x:worksheet>
</file>