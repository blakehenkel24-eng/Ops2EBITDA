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f84b50c90549d8" /></Relationships>
</file>

<file path=xl/workbook.xml><?xml version="1.0" encoding="utf-8"?>
<x:workbook xmlns:x="http://schemas.openxmlformats.org/spreadsheetml/2006/main">
  <x:sheets>
    <x:sheet xmlns:r="http://schemas.openxmlformats.org/officeDocument/2006/relationships" name="Dashboard" sheetId="1" r:id="Rd2a8ccce53994e81"/>
    <x:sheet xmlns:r="http://schemas.openxmlformats.org/officeDocument/2006/relationships" name="Instructions" sheetId="2" r:id="R9954b97bc1cd48c2"/>
    <x:sheet xmlns:r="http://schemas.openxmlformats.org/officeDocument/2006/relationships" name="Inputs" sheetId="3" r:id="Rb769615bc5084371"/>
    <x:sheet xmlns:r="http://schemas.openxmlformats.org/officeDocument/2006/relationships" name="Customer_SKU_Data" sheetId="4" r:id="R6683cf5956fb459c"/>
    <x:sheet xmlns:r="http://schemas.openxmlformats.org/officeDocument/2006/relationships" name="Waterfall" sheetId="5" r:id="Rc61c4d1258914c35"/>
    <x:sheet xmlns:r="http://schemas.openxmlformats.org/officeDocument/2006/relationships" name="Segmentation" sheetId="6" r:id="Rc1edef0ffd90490a"/>
    <x:sheet xmlns:r="http://schemas.openxmlformats.org/officeDocument/2006/relationships" name="Scenarios" sheetId="7" r:id="Re6ca143e79604a59"/>
    <x:sheet xmlns:r="http://schemas.openxmlformats.org/officeDocument/2006/relationships" name="Sources" sheetId="8" r:id="Rd79db402b8de48c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Red](0.0%);-"/>
    <x:numFmt numFmtId="201" formatCode="0.0x"/>
    <x:numFmt numFmtId="202" formatCode="m/d/yy"/>
    <x:numFmt numFmtId="203" formatCode="#,##0;[Red](#,##0);-"/>
    <x:numFmt numFmtId="204" formatCode="$#,##0;[Red]($#,##0);-"/>
    <x:numFmt numFmtId="205" formatCode="0"/>
  </x:numFmts>
  <x:fonts count="14">
    <x:font>
      <x:sz val="11"/>
      <x:name val="Carlito"/>
    </x:font>
    <x:font>
      <x:sz val="10"/>
      <x:color rgb="161413"/>
      <x:name val="Geist"/>
    </x:font>
    <x:font>
      <x:b/>
      <x:sz val="24"/>
      <x:color rgb="161413"/>
      <x:name val="Newsreader"/>
    </x:font>
    <x:font>
      <x:b/>
      <x:sz val="10"/>
      <x:color rgb="B8862F"/>
      <x:name val="JetBrains Mono"/>
    </x:font>
    <x:font>
      <x:sz val="11"/>
      <x:color rgb="161413"/>
      <x:name val="Geist"/>
    </x:font>
    <x:font>
      <x:b/>
      <x:sz val="10"/>
      <x:color rgb="FFFFFF"/>
      <x:name val="JetBrains Mono"/>
    </x:font>
    <x:font>
      <x:b/>
      <x:sz val="10"/>
      <x:color rgb="FFFFFF"/>
      <x:name val="Geist"/>
    </x:font>
    <x:font>
      <x:sz val="10"/>
      <x:color rgb="0000FF"/>
      <x:name val="Geist"/>
    </x:font>
    <x:font>
      <x:sz val="9"/>
      <x:color rgb="161413"/>
      <x:name val="Geist"/>
    </x:font>
    <x:font>
      <x:sz val="9"/>
      <x:color rgb="0000FF"/>
      <x:name val="Geist"/>
    </x:font>
    <x:font>
      <x:b/>
      <x:sz val="10"/>
      <x:color rgb="161413"/>
      <x:name val="Geist"/>
    </x:font>
    <x:font>
      <x:sz val="11"/>
      <x:color rgb="928B7E"/>
      <x:name val="Geist"/>
    </x:font>
    <x:font>
      <x:b/>
      <x:sz val="9"/>
      <x:color rgb="B8862F"/>
      <x:name val="JetBrains Mono"/>
    </x:font>
    <x:font>
      <x:b/>
      <x:sz val="20"/>
      <x:color rgb="161413"/>
      <x:name val="Newsreader"/>
    </x:font>
  </x:fonts>
  <x:fills count="8">
    <x:fill>
      <x:patternFill patternType="none"/>
    </x:fill>
    <x:fill>
      <x:patternFill patternType="gray125"/>
    </x:fill>
    <x:fill>
      <x:patternFill patternType="solid">
        <x:fgColor rgb="FBF8F2"/>
      </x:patternFill>
    </x:fill>
    <x:fill>
      <x:patternFill patternType="solid">
        <x:fgColor rgb="F4EFE6"/>
      </x:patternFill>
    </x:fill>
    <x:fill>
      <x:patternFill patternType="solid">
        <x:fgColor rgb="FFFFFF"/>
      </x:patternFill>
    </x:fill>
    <x:fill>
      <x:patternFill patternType="solid">
        <x:fgColor rgb="161413"/>
      </x:patternFill>
    </x:fill>
    <x:fill>
      <x:patternFill patternType="solid">
        <x:fgColor rgb="B8862F"/>
      </x:patternFill>
    </x:fill>
    <x:fill>
      <x:patternFill patternType="solid">
        <x:fgColor rgb="FFF2CC"/>
      </x:patternFill>
    </x:fill>
  </x:fills>
  <x:borders count="2">
    <x:border/>
    <x:border/>
  </x:borders>
  <x:cellStyleXfs count="1">
    <x:xf numFmtId="0" fontId="0" fillId="0" borderId="0"/>
  </x:cellStyleXfs>
  <x:cellXfs count="15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1"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2" borderId="0" xfId="0" applyNumberFormat="1" applyFont="1" applyFill="1" applyBorder="1"/>
    <x:xf numFmtId="0" fontId="3" fillId="2"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1"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1" fillId="5" borderId="0" xfId="0" applyNumberFormat="1" applyFont="1" applyFill="1" applyBorder="1"/>
    <x:xf numFmtId="0" fontId="5" fillId="5" borderId="0" xfId="0" applyNumberFormat="1" applyFont="1" applyFill="1" applyBorder="1"/>
    <x:xf numFmtId="0" fontId="1" fillId="5" borderId="1" xfId="0" applyNumberFormat="1" applyFont="1" applyFill="1" applyBorder="1"/>
    <x:xf numFmtId="0" fontId="5" fillId="5" borderId="1" xfId="0" applyNumberFormat="1" applyFont="1" applyFill="1" applyBorder="1"/>
    <x:xf numFmtId="0" fontId="1" fillId="6" borderId="0" xfId="0" applyNumberFormat="1" applyFont="1" applyFill="1" applyBorder="1"/>
    <x:xf numFmtId="0" fontId="6" fillId="6" borderId="0" xfId="0" applyNumberFormat="1" applyFont="1" applyFill="1" applyBorder="1"/>
    <x:xf numFmtId="0" fontId="1" fillId="6" borderId="1" xfId="0" applyNumberFormat="1" applyFont="1" applyFill="1" applyBorder="1"/>
    <x:xf numFmtId="0" fontId="6" fillId="6"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6" fillId="5" borderId="0" xfId="0" applyNumberFormat="1" applyFont="1" applyFill="1" applyBorder="1"/>
    <x:xf numFmtId="0" fontId="6" fillId="5"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1" xfId="0" applyNumberFormat="1" applyFont="1" applyFill="1" applyBorder="1"/>
    <x:xf numFmtId="0" fontId="7" fillId="4" borderId="1" xfId="0" applyNumberFormat="1" applyFont="1" applyFill="1" applyBorder="1" applyAlignment="1">
      <x:alignment wrapText="1"/>
    </x:xf>
    <x:xf numFmtId="200" fontId="7" fillId="4" borderId="0" xfId="0" applyNumberFormat="1" applyFont="1" applyFill="1" applyBorder="1" applyAlignment="1">
      <x:alignment wrapText="1"/>
    </x:xf>
    <x:xf numFmtId="200" fontId="7" fillId="4" borderId="1" xfId="0" applyNumberFormat="1" applyFont="1" applyFill="1" applyBorder="1" applyAlignment="1">
      <x:alignment wrapText="1"/>
    </x:xf>
    <x:xf numFmtId="201" fontId="7" fillId="4" borderId="0" xfId="0" applyNumberFormat="1" applyFont="1" applyFill="1" applyBorder="1" applyAlignment="1">
      <x:alignment wrapText="1"/>
    </x:xf>
    <x:xf numFmtId="201" fontId="7" fillId="4" borderId="1"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0" xfId="0" applyNumberFormat="1" applyFont="1" applyFill="1" applyBorder="1" applyAlignment="1">
      <x:alignment horizontal="center" wrapText="1"/>
    </x:xf>
    <x:xf numFmtId="0" fontId="6" fillId="5" borderId="1" xfId="0" applyNumberFormat="1" applyFont="1" applyFill="1" applyBorder="1" applyAlignment="1">
      <x:alignment wrapText="1"/>
    </x:xf>
    <x:xf numFmtId="0" fontId="6" fillId="5" borderId="1" xfId="0" applyNumberFormat="1" applyFont="1" applyFill="1" applyBorder="1" applyAlignment="1">
      <x:alignment horizontal="center" wrapText="1"/>
    </x:xf>
    <x:xf numFmtId="0" fontId="8" fillId="4" borderId="0" xfId="0" applyNumberFormat="1" applyFont="1" applyFill="1" applyBorder="1"/>
    <x:xf numFmtId="0" fontId="8" fillId="4" borderId="1" xfId="0" applyNumberFormat="1" applyFont="1" applyFill="1" applyBorder="1"/>
    <x:xf numFmtId="202" fontId="8" fillId="4" borderId="0" xfId="0" applyNumberFormat="1" applyFont="1" applyFill="1" applyBorder="1"/>
    <x:xf numFmtId="202" fontId="8" fillId="4" borderId="1" xfId="0" applyNumberFormat="1" applyFont="1" applyFill="1" applyBorder="1"/>
    <x:xf numFmtId="203" fontId="8" fillId="4" borderId="0" xfId="0" applyNumberFormat="1" applyFont="1" applyFill="1" applyBorder="1"/>
    <x:xf numFmtId="203" fontId="8" fillId="4" borderId="1" xfId="0" applyNumberFormat="1" applyFont="1" applyFill="1" applyBorder="1"/>
    <x:xf numFmtId="204" fontId="8" fillId="4" borderId="0" xfId="0" applyNumberFormat="1" applyFont="1" applyFill="1" applyBorder="1"/>
    <x:xf numFmtId="204" fontId="8" fillId="4" borderId="1" xfId="0" applyNumberFormat="1" applyFont="1" applyFill="1" applyBorder="1"/>
    <x:xf numFmtId="200" fontId="8" fillId="4" borderId="0" xfId="0" applyNumberFormat="1" applyFont="1" applyFill="1" applyBorder="1"/>
    <x:xf numFmtId="200" fontId="8" fillId="4" borderId="1" xfId="0" applyNumberFormat="1" applyFont="1" applyFill="1" applyBorder="1"/>
    <x:xf numFmtId="0" fontId="9" fillId="4" borderId="0" xfId="0" applyNumberFormat="1" applyFont="1" applyFill="1" applyBorder="1"/>
    <x:xf numFmtId="202" fontId="9" fillId="4" borderId="0" xfId="0" applyNumberFormat="1" applyFont="1" applyFill="1" applyBorder="1"/>
    <x:xf numFmtId="203" fontId="9" fillId="4" borderId="0" xfId="0" applyNumberFormat="1" applyFont="1" applyFill="1" applyBorder="1"/>
    <x:xf numFmtId="204" fontId="9" fillId="4" borderId="0" xfId="0" applyNumberFormat="1" applyFont="1" applyFill="1" applyBorder="1"/>
    <x:xf numFmtId="200" fontId="9" fillId="4" borderId="0" xfId="0" applyNumberFormat="1" applyFont="1" applyFill="1" applyBorder="1"/>
    <x:xf numFmtId="0" fontId="9" fillId="4" borderId="1" xfId="0" applyNumberFormat="1" applyFont="1" applyFill="1" applyBorder="1"/>
    <x:xf numFmtId="202" fontId="9" fillId="4" borderId="1" xfId="0" applyNumberFormat="1" applyFont="1" applyFill="1" applyBorder="1"/>
    <x:xf numFmtId="203" fontId="9" fillId="4" borderId="1" xfId="0" applyNumberFormat="1" applyFont="1" applyFill="1" applyBorder="1"/>
    <x:xf numFmtId="204" fontId="9" fillId="4" borderId="1" xfId="0" applyNumberFormat="1" applyFont="1" applyFill="1" applyBorder="1"/>
    <x:xf numFmtId="200" fontId="9" fillId="4" borderId="1" xfId="0" applyNumberFormat="1" applyFont="1" applyFill="1" applyBorder="1"/>
    <x:xf numFmtId="0" fontId="6" fillId="5" borderId="0" xfId="0" applyNumberFormat="1" applyFont="1" applyFill="1" applyBorder="1" applyAlignment="1">
      <x:alignment horizontal="center" wrapText="0"/>
    </x:xf>
    <x:xf numFmtId="0" fontId="9" fillId="4" borderId="0" xfId="0" applyNumberFormat="1" applyFont="1" applyFill="1" applyBorder="1" applyAlignment="1">
      <x:alignment wrapText="0"/>
    </x:xf>
    <x:xf numFmtId="202" fontId="9" fillId="4" borderId="0" xfId="0" applyNumberFormat="1" applyFont="1" applyFill="1" applyBorder="1" applyAlignment="1">
      <x:alignment wrapText="0"/>
    </x:xf>
    <x:xf numFmtId="203" fontId="9" fillId="4" borderId="0" xfId="0" applyNumberFormat="1" applyFont="1" applyFill="1" applyBorder="1" applyAlignment="1">
      <x:alignment wrapText="0"/>
    </x:xf>
    <x:xf numFmtId="204" fontId="9" fillId="4" borderId="0" xfId="0" applyNumberFormat="1" applyFont="1" applyFill="1" applyBorder="1" applyAlignment="1">
      <x:alignment wrapText="0"/>
    </x:xf>
    <x:xf numFmtId="200" fontId="9" fillId="4" borderId="0" xfId="0" applyNumberFormat="1" applyFont="1" applyFill="1" applyBorder="1" applyAlignment="1">
      <x:alignment wrapText="0"/>
    </x:xf>
    <x:xf numFmtId="204" fontId="8" fillId="4" borderId="0" xfId="0" applyNumberFormat="1" applyFont="1" applyFill="1" applyBorder="1" applyAlignment="1">
      <x:alignment wrapText="0"/>
    </x:xf>
    <x:xf numFmtId="200" fontId="8" fillId="4" borderId="0" xfId="0" applyNumberFormat="1" applyFont="1" applyFill="1" applyBorder="1" applyAlignment="1">
      <x:alignment wrapText="0"/>
    </x:xf>
    <x:xf numFmtId="0" fontId="8" fillId="4" borderId="0" xfId="0" applyNumberFormat="1" applyFont="1" applyFill="1" applyBorder="1" applyAlignment="1">
      <x:alignment wrapText="0"/>
    </x:xf>
    <x:xf numFmtId="0" fontId="6" fillId="5" borderId="1" xfId="0" applyNumberFormat="1" applyFont="1" applyFill="1" applyBorder="1" applyAlignment="1">
      <x:alignment horizontal="center" wrapText="0"/>
    </x:xf>
    <x:xf numFmtId="0" fontId="9" fillId="4" borderId="1" xfId="0" applyNumberFormat="1" applyFont="1" applyFill="1" applyBorder="1" applyAlignment="1">
      <x:alignment wrapText="0"/>
    </x:xf>
    <x:xf numFmtId="202" fontId="9" fillId="4" borderId="1" xfId="0" applyNumberFormat="1" applyFont="1" applyFill="1" applyBorder="1" applyAlignment="1">
      <x:alignment wrapText="0"/>
    </x:xf>
    <x:xf numFmtId="203" fontId="9" fillId="4" borderId="1" xfId="0" applyNumberFormat="1" applyFont="1" applyFill="1" applyBorder="1" applyAlignment="1">
      <x:alignment wrapText="0"/>
    </x:xf>
    <x:xf numFmtId="204" fontId="9" fillId="4" borderId="1" xfId="0" applyNumberFormat="1" applyFont="1" applyFill="1" applyBorder="1" applyAlignment="1">
      <x:alignment wrapText="0"/>
    </x:xf>
    <x:xf numFmtId="200" fontId="9" fillId="4" borderId="1" xfId="0" applyNumberFormat="1" applyFont="1" applyFill="1" applyBorder="1" applyAlignment="1">
      <x:alignment wrapText="0"/>
    </x:xf>
    <x:xf numFmtId="204" fontId="8" fillId="4" borderId="1" xfId="0" applyNumberFormat="1" applyFont="1" applyFill="1" applyBorder="1" applyAlignment="1">
      <x:alignment wrapText="0"/>
    </x:xf>
    <x:xf numFmtId="200" fontId="8" fillId="4" borderId="1" xfId="0" applyNumberFormat="1" applyFont="1" applyFill="1" applyBorder="1" applyAlignment="1">
      <x:alignment wrapText="0"/>
    </x:xf>
    <x:xf numFmtId="0" fontId="8" fillId="4" borderId="1" xfId="0" applyNumberFormat="1" applyFont="1" applyFill="1" applyBorder="1" applyAlignment="1">
      <x:alignment wrapText="0"/>
    </x:xf>
    <x:xf numFmtId="204" fontId="1" fillId="4" borderId="0" xfId="0" applyNumberFormat="1" applyFont="1" applyFill="1" applyBorder="1" applyAlignment="1">
      <x:alignment wrapText="1"/>
    </x:xf>
    <x:xf numFmtId="204" fontId="1" fillId="4" borderId="1" xfId="0" applyNumberFormat="1" applyFont="1" applyFill="1" applyBorder="1" applyAlignment="1">
      <x:alignment wrapText="1"/>
    </x:xf>
    <x:xf numFmtId="200" fontId="1" fillId="4" borderId="0" xfId="0" applyNumberFormat="1" applyFont="1" applyFill="1" applyBorder="1" applyAlignment="1">
      <x:alignment wrapText="1"/>
    </x:xf>
    <x:xf numFmtId="200" fontId="1" fillId="4" borderId="1" xfId="0" applyNumberFormat="1" applyFont="1" applyFill="1" applyBorder="1" applyAlignment="1">
      <x:alignment wrapText="1"/>
    </x:xf>
    <x:xf numFmtId="0" fontId="1" fillId="3" borderId="0" xfId="0" applyNumberFormat="1" applyFont="1" applyFill="1" applyBorder="1" applyAlignment="1">
      <x:alignment wrapText="1"/>
    </x:xf>
    <x:xf numFmtId="204" fontId="1" fillId="3" borderId="0" xfId="0" applyNumberFormat="1" applyFont="1" applyFill="1" applyBorder="1" applyAlignment="1">
      <x:alignment wrapText="1"/>
    </x:xf>
    <x:xf numFmtId="200" fontId="1" fillId="3" borderId="0" xfId="0" applyNumberFormat="1" applyFont="1" applyFill="1" applyBorder="1" applyAlignment="1">
      <x:alignment wrapText="1"/>
    </x:xf>
    <x:xf numFmtId="0" fontId="10" fillId="3" borderId="0" xfId="0" applyNumberFormat="1" applyFont="1" applyFill="1" applyBorder="1" applyAlignment="1">
      <x:alignment wrapText="1"/>
    </x:xf>
    <x:xf numFmtId="204" fontId="10" fillId="3" borderId="0" xfId="0" applyNumberFormat="1" applyFont="1" applyFill="1" applyBorder="1" applyAlignment="1">
      <x:alignment wrapText="1"/>
    </x:xf>
    <x:xf numFmtId="200" fontId="10" fillId="3" borderId="0" xfId="0" applyNumberFormat="1" applyFont="1" applyFill="1" applyBorder="1" applyAlignment="1">
      <x:alignment wrapText="1"/>
    </x:xf>
    <x:xf numFmtId="0" fontId="1" fillId="3" borderId="1" xfId="0" applyNumberFormat="1" applyFont="1" applyFill="1" applyBorder="1" applyAlignment="1">
      <x:alignment wrapText="1"/>
    </x:xf>
    <x:xf numFmtId="204" fontId="1" fillId="3" borderId="1" xfId="0" applyNumberFormat="1" applyFont="1" applyFill="1" applyBorder="1" applyAlignment="1">
      <x:alignment wrapText="1"/>
    </x:xf>
    <x:xf numFmtId="200" fontId="1" fillId="3" borderId="1" xfId="0" applyNumberFormat="1" applyFont="1" applyFill="1" applyBorder="1" applyAlignment="1">
      <x:alignment wrapText="1"/>
    </x:xf>
    <x:xf numFmtId="0" fontId="10" fillId="3" borderId="1" xfId="0" applyNumberFormat="1" applyFont="1" applyFill="1" applyBorder="1" applyAlignment="1">
      <x:alignment wrapText="1"/>
    </x:xf>
    <x:xf numFmtId="204" fontId="10" fillId="3" borderId="1" xfId="0" applyNumberFormat="1" applyFont="1" applyFill="1" applyBorder="1" applyAlignment="1">
      <x:alignment wrapText="1"/>
    </x:xf>
    <x:xf numFmtId="200" fontId="10" fillId="3" borderId="1" xfId="0" applyNumberFormat="1" applyFont="1" applyFill="1" applyBorder="1" applyAlignment="1">
      <x:alignment wrapText="1"/>
    </x:xf>
    <x:xf numFmtId="203" fontId="1" fillId="4" borderId="0" xfId="0" applyNumberFormat="1" applyFont="1" applyFill="1" applyBorder="1"/>
    <x:xf numFmtId="203" fontId="1" fillId="4" borderId="1" xfId="0" applyNumberFormat="1" applyFont="1" applyFill="1" applyBorder="1"/>
    <x:xf numFmtId="204" fontId="1" fillId="4" borderId="0" xfId="0" applyNumberFormat="1" applyFont="1" applyFill="1" applyBorder="1"/>
    <x:xf numFmtId="204" fontId="1" fillId="4" borderId="1" xfId="0" applyNumberFormat="1" applyFont="1" applyFill="1" applyBorder="1"/>
    <x:xf numFmtId="200" fontId="1" fillId="4" borderId="0" xfId="0" applyNumberFormat="1" applyFont="1" applyFill="1" applyBorder="1"/>
    <x:xf numFmtId="200" fontId="1" fillId="4" borderId="1" xfId="0" applyNumberFormat="1" applyFont="1" applyFill="1" applyBorder="1"/>
    <x:xf numFmtId="200" fontId="7" fillId="4" borderId="0" xfId="0" applyNumberFormat="1" applyFont="1" applyFill="1" applyBorder="1"/>
    <x:xf numFmtId="200" fontId="7" fillId="4" borderId="1" xfId="0" applyNumberFormat="1" applyFont="1" applyFill="1" applyBorder="1"/>
    <x:xf numFmtId="200" fontId="6" fillId="6" borderId="0" xfId="0" applyNumberFormat="1" applyFont="1" applyFill="1" applyBorder="1"/>
    <x:xf numFmtId="200" fontId="6" fillId="6" borderId="1" xfId="0" applyNumberFormat="1" applyFont="1" applyFill="1" applyBorder="1"/>
    <x:xf numFmtId="0" fontId="11" fillId="3" borderId="0" xfId="0" applyNumberFormat="1" applyFont="1" applyFill="1" applyBorder="1"/>
    <x:xf numFmtId="0" fontId="11" fillId="3" borderId="1" xfId="0" applyNumberFormat="1" applyFont="1" applyFill="1" applyBorder="1"/>
    <x:xf numFmtId="0" fontId="12" fillId="4" borderId="0" xfId="0" applyNumberFormat="1" applyFont="1" applyFill="1" applyBorder="1"/>
    <x:xf numFmtId="0" fontId="12" fillId="4" borderId="1" xfId="0" applyNumberFormat="1" applyFont="1" applyFill="1" applyBorder="1"/>
    <x:xf numFmtId="0" fontId="13" fillId="4" borderId="0" xfId="0" applyNumberFormat="1" applyFont="1" applyFill="1" applyBorder="1"/>
    <x:xf numFmtId="0" fontId="13" fillId="4" borderId="1" xfId="0" applyNumberFormat="1" applyFont="1" applyFill="1" applyBorder="1"/>
    <x:xf numFmtId="204" fontId="13" fillId="4" borderId="0" xfId="0" applyNumberFormat="1" applyFont="1" applyFill="1" applyBorder="1"/>
    <x:xf numFmtId="204" fontId="13" fillId="4" borderId="1" xfId="0" applyNumberFormat="1" applyFont="1" applyFill="1" applyBorder="1"/>
    <x:xf numFmtId="205" fontId="1" fillId="4" borderId="0" xfId="0" applyNumberFormat="1" applyFont="1" applyFill="1" applyBorder="1"/>
    <x:xf numFmtId="205" fontId="1" fillId="4" borderId="1" xfId="0" applyNumberFormat="1" applyFont="1" applyFill="1" applyBorder="1"/>
    <x:xf numFmtId="0" fontId="2" fillId="3" borderId="0" xfId="0" applyNumberFormat="1" applyFont="1" applyFill="1" applyBorder="1" applyAlignment="1">
      <x:alignment wrapText="1"/>
    </x:xf>
    <x:xf numFmtId="0" fontId="1" fillId="2" borderId="0" xfId="0" applyNumberFormat="1" applyFont="1" applyFill="1" applyBorder="1" applyAlignment="1">
      <x:alignment wrapText="1"/>
    </x:xf>
    <x:xf numFmtId="0" fontId="11" fillId="3" borderId="0" xfId="0" applyNumberFormat="1" applyFont="1" applyFill="1" applyBorder="1" applyAlignment="1">
      <x:alignment wrapText="1"/>
    </x:xf>
    <x:xf numFmtId="0" fontId="12" fillId="4" borderId="0" xfId="0" applyNumberFormat="1" applyFont="1" applyFill="1" applyBorder="1" applyAlignment="1">
      <x:alignment wrapText="1"/>
    </x:xf>
    <x:xf numFmtId="204" fontId="13" fillId="4" borderId="0" xfId="0" applyNumberFormat="1" applyFont="1" applyFill="1" applyBorder="1" applyAlignment="1">
      <x:alignment wrapText="1"/>
    </x:xf>
    <x:xf numFmtId="0" fontId="5" fillId="5" borderId="0" xfId="0" applyNumberFormat="1" applyFont="1" applyFill="1" applyBorder="1" applyAlignment="1">
      <x:alignment wrapText="1"/>
    </x:xf>
    <x:xf numFmtId="0" fontId="6" fillId="6" borderId="0" xfId="0" applyNumberFormat="1" applyFont="1" applyFill="1" applyBorder="1" applyAlignment="1">
      <x:alignment wrapText="1"/>
    </x:xf>
    <x:xf numFmtId="205" fontId="1" fillId="4" borderId="0" xfId="0" applyNumberFormat="1" applyFont="1" applyFill="1" applyBorder="1" applyAlignment="1">
      <x:alignment wrapText="1"/>
    </x:xf>
    <x:xf numFmtId="0" fontId="2" fillId="3" borderId="1" xfId="0" applyNumberFormat="1" applyFont="1" applyFill="1" applyBorder="1" applyAlignment="1">
      <x:alignment wrapText="1"/>
    </x:xf>
    <x:xf numFmtId="0" fontId="1" fillId="2" borderId="1" xfId="0" applyNumberFormat="1" applyFont="1" applyFill="1" applyBorder="1" applyAlignment="1">
      <x:alignment wrapText="1"/>
    </x:xf>
    <x:xf numFmtId="0" fontId="11" fillId="3" borderId="1" xfId="0" applyNumberFormat="1" applyFont="1" applyFill="1" applyBorder="1" applyAlignment="1">
      <x:alignment wrapText="1"/>
    </x:xf>
    <x:xf numFmtId="0" fontId="12" fillId="4" borderId="1" xfId="0" applyNumberFormat="1" applyFont="1" applyFill="1" applyBorder="1" applyAlignment="1">
      <x:alignment wrapText="1"/>
    </x:xf>
    <x:xf numFmtId="204" fontId="13" fillId="4" borderId="1" xfId="0" applyNumberFormat="1" applyFont="1" applyFill="1" applyBorder="1" applyAlignment="1">
      <x:alignment wrapText="1"/>
    </x:xf>
    <x:xf numFmtId="0" fontId="5" fillId="5" borderId="1" xfId="0" applyNumberFormat="1" applyFont="1" applyFill="1" applyBorder="1" applyAlignment="1">
      <x:alignment wrapText="1"/>
    </x:xf>
    <x:xf numFmtId="0" fontId="6" fillId="6" borderId="1" xfId="0" applyNumberFormat="1" applyFont="1" applyFill="1" applyBorder="1" applyAlignment="1">
      <x:alignment wrapText="1"/>
    </x:xf>
    <x:xf numFmtId="205" fontId="1" fillId="4" borderId="1" xfId="0" applyNumberFormat="1" applyFont="1" applyFill="1" applyBorder="1" applyAlignment="1">
      <x:alignment wrapText="1"/>
    </x:xf>
    <x:xf numFmtId="0" fontId="10" fillId="4" borderId="0" xfId="0" applyNumberFormat="1" applyFont="1" applyFill="1" applyBorder="1" applyAlignment="1">
      <x:alignment wrapText="1"/>
    </x:xf>
    <x:xf numFmtId="204" fontId="10" fillId="4" borderId="0" xfId="0" applyNumberFormat="1" applyFont="1" applyFill="1" applyBorder="1" applyAlignment="1">
      <x:alignment wrapText="1"/>
    </x:xf>
    <x:xf numFmtId="200" fontId="10" fillId="4" borderId="0" xfId="0" applyNumberFormat="1" applyFont="1" applyFill="1" applyBorder="1" applyAlignment="1">
      <x:alignment wrapText="1"/>
    </x:xf>
    <x:xf numFmtId="0" fontId="10" fillId="4" borderId="1" xfId="0" applyNumberFormat="1" applyFont="1" applyFill="1" applyBorder="1" applyAlignment="1">
      <x:alignment wrapText="1"/>
    </x:xf>
    <x:xf numFmtId="204" fontId="10" fillId="4" borderId="1" xfId="0" applyNumberFormat="1" applyFont="1" applyFill="1" applyBorder="1" applyAlignment="1">
      <x:alignment wrapText="1"/>
    </x:xf>
    <x:xf numFmtId="200" fontId="10" fillId="4" borderId="1" xfId="0" applyNumberFormat="1" applyFont="1" applyFill="1" applyBorder="1" applyAlignment="1">
      <x:alignment wrapText="1"/>
    </x:xf>
    <x:xf numFmtId="200" fontId="7" fillId="7" borderId="0" xfId="0" applyNumberFormat="1" applyFont="1" applyFill="1" applyBorder="1"/>
    <x:xf numFmtId="200" fontId="7" fillId="7" borderId="1" xfId="0" applyNumberFormat="1" applyFont="1" applyFill="1" applyBorder="1"/>
    <x:xf numFmtId="200" fontId="7" fillId="7" borderId="0" xfId="0" applyNumberFormat="1" applyFont="1" applyFill="1" applyBorder="1" applyAlignment="1">
      <x:alignment wrapText="1"/>
    </x:xf>
    <x:xf numFmtId="201" fontId="7" fillId="7" borderId="0" xfId="0" applyNumberFormat="1" applyFont="1" applyFill="1" applyBorder="1" applyAlignment="1">
      <x:alignment wrapText="1"/>
    </x:xf>
    <x:xf numFmtId="200" fontId="7" fillId="7" borderId="1" xfId="0" applyNumberFormat="1" applyFont="1" applyFill="1" applyBorder="1" applyAlignment="1">
      <x:alignment wrapText="1"/>
    </x:xf>
    <x:xf numFmtId="201" fontId="7" fillId="7"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166224dc4b4c19" /><Relationship Type="http://schemas.openxmlformats.org/officeDocument/2006/relationships/theme" Target="/xl/theme/theme1.xml" Id="R0eaa8bbf31ba4565" /><Relationship Type="http://schemas.openxmlformats.org/officeDocument/2006/relationships/sharedStrings" Target="/xl/sharedStrings.xml" Id="R0f4bd418a039470a" /><Relationship Type="http://schemas.openxmlformats.org/officeDocument/2006/relationships/worksheet" Target="/xl/worksheets/sheet1.xml" Id="Rd2a8ccce53994e81" /><Relationship Type="http://schemas.openxmlformats.org/officeDocument/2006/relationships/worksheet" Target="/xl/worksheets/sheet2.xml" Id="R9954b97bc1cd48c2" /><Relationship Type="http://schemas.openxmlformats.org/officeDocument/2006/relationships/worksheet" Target="/xl/worksheets/sheet3.xml" Id="Rb769615bc5084371" /><Relationship Type="http://schemas.openxmlformats.org/officeDocument/2006/relationships/worksheet" Target="/xl/worksheets/sheet4.xml" Id="R6683cf5956fb459c" /><Relationship Type="http://schemas.openxmlformats.org/officeDocument/2006/relationships/worksheet" Target="/xl/worksheets/sheet5.xml" Id="Rc61c4d1258914c35" /><Relationship Type="http://schemas.openxmlformats.org/officeDocument/2006/relationships/worksheet" Target="/xl/worksheets/sheet6.xml" Id="Rc1edef0ffd90490a" /><Relationship Type="http://schemas.openxmlformats.org/officeDocument/2006/relationships/worksheet" Target="/xl/worksheets/sheet7.xml" Id="Re6ca143e79604a59" /><Relationship Type="http://schemas.openxmlformats.org/officeDocument/2006/relationships/worksheet" Target="/xl/worksheets/sheet8.xml" Id="Rd79db402b8de48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1179e1eae9a4b33" /><Relationship Type="http://schemas.openxmlformats.org/officeDocument/2006/relationships/chart" Target="/xl/drawings/charts/chart2.xml" Id="R9152ff600b074ef2"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Amount</c:v>
          </c:tx>
          <c:cat>
            <c:strRef>
              <c:f>'Dashboard'!$J$5:$J$11</c:f>
              <c:strCache>
                <c:ptCount val="0"/>
              </c:strCache>
            </c:strRef>
          </c:cat>
          <c:val>
            <c:numRef>
              <c:f>'Dashboard'!$K$5:$K$11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grouping val="clustered"/>
        <c:varyColors val="0"/>
        <c:ser>
          <c:idx val="0"/>
          <c:order val="0"/>
          <c:tx>
            <c:v>Incremental EBITDA</c:v>
          </c:tx>
          <c:cat>
            <c:strRef>
              <c:f>'Dashboard'!$J$32:$J$35</c:f>
              <c:strCache>
                <c:ptCount val="0"/>
              </c:strCache>
            </c:strRef>
          </c:cat>
          <c:val>
            <c:numRef>
              <c:f>'Dashboard'!$K$32:$K$35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12</xdr:row>
      <xdr:rowOff>0</xdr:rowOff>
    </xdr:from>
    <xdr:to>
      <xdr:col>17</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179e1eae9a4b33"/>
        </a:graphicData>
      </a:graphic>
    </xdr:graphicFrame>
    <xdr:clientData/>
  </xdr:twoCellAnchor>
  <xdr:twoCellAnchor>
    <xdr:from>
      <xdr:col>9</xdr:col>
      <xdr:colOff>0</xdr:colOff>
      <xdr:row>30</xdr:row>
      <xdr:rowOff>0</xdr:rowOff>
    </xdr:from>
    <xdr:to>
      <xdr:col>17</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52ff600b074ef2"/>
        </a:graphicData>
      </a:graphic>
    </xdr:graphicFrame>
    <xdr:clientData/>
  </xdr:twoCellAnchor>
</xdr:wsDr>
</file>

<file path=xl/tables/table1.xml><?xml version="1.0" encoding="utf-8"?>
<x:table xmlns:x="http://schemas.openxmlformats.org/spreadsheetml/2006/main" id="1" name="TransactionData" displayName="TransactionData" ref="A3:Y123" headerRowCount="1">
  <x:tableColumns count="25">
    <x:tableColumn id="1" name="Txn_ID"/>
    <x:tableColumn id="2" name="Date"/>
    <x:tableColumn id="3" name="Customer"/>
    <x:tableColumn id="4" name="Segment"/>
    <x:tableColumn id="5" name="SKU"/>
    <x:tableColumn id="6" name="Product_Family"/>
    <x:tableColumn id="7" name="Units"/>
    <x:tableColumn id="8" name="List_Price"/>
    <x:tableColumn id="9" name="Unit_Cost"/>
    <x:tableColumn id="10" name="Contract_Discount_%"/>
    <x:tableColumn id="11" name="Promo_Discount_%"/>
    <x:tableColumn id="12" name="Rebate_%"/>
    <x:tableColumn id="13" name="Freight_Absorb_$"/>
    <x:tableColumn id="14" name="Invoice_Price"/>
    <x:tableColumn id="15" name="Gross_Revenue"/>
    <x:tableColumn id="16" name="Contract_Discount_$"/>
    <x:tableColumn id="17" name="Promo_Discount_$"/>
    <x:tableColumn id="18" name="Rebate_$"/>
    <x:tableColumn id="19" name="Net_Revenue"/>
    <x:tableColumn id="20" name="Standard_Cost"/>
    <x:tableColumn id="21" name="Gross_Margin"/>
    <x:tableColumn id="22" name="Pocket_Margin_%"/>
    <x:tableColumn id="23" name="Total_Leakage_$"/>
    <x:tableColumn id="24" name="Leakage_Rate_%"/>
    <x:tableColumn id="25" name="Suggested_Action"/>
  </x:tableColumns>
  <x:tableStyleInfo name="TableStyleMedium2" showRowStripes="1"/>
</x:table>
</file>

<file path=xl/tables/table2.xml><?xml version="1.0" encoding="utf-8"?>
<x:table xmlns:x="http://schemas.openxmlformats.org/spreadsheetml/2006/main" id="2" name="WaterfallTable" displayName="WaterfallTable" ref="A3:D11" headerRowCount="1">
  <x:tableColumns count="4">
    <x:tableColumn id="1" name="Waterfall Step"/>
    <x:tableColumn id="2" name="Amount ($)"/>
    <x:tableColumn id="3" name="% of Gross Revenue"/>
    <x:tableColumn id="4" name="Formula / Interpretation"/>
  </x:tableColumns>
  <x:tableStyleInfo name="TableStyleMedium2" showRowStripes="1"/>
</x:table>
</file>

<file path=xl/tables/table3.xml><?xml version="1.0" encoding="utf-8"?>
<x:table xmlns:x="http://schemas.openxmlformats.org/spreadsheetml/2006/main" id="3" name="CustomerSegmentation" displayName="CustomerSegmentation" ref="A3:L15" headerRowCount="1">
  <x:tableColumns count="12">
    <x:tableColumn id="1" name="Customer"/>
    <x:tableColumn id="2" name="Segment"/>
    <x:tableColumn id="3" name="Transactions"/>
    <x:tableColumn id="4" name="Units"/>
    <x:tableColumn id="5" name="Gross Revenue ($)"/>
    <x:tableColumn id="6" name="Net Revenue ($)"/>
    <x:tableColumn id="7" name="Gross Margin ($)"/>
    <x:tableColumn id="8" name="Pocket Margin %"/>
    <x:tableColumn id="9" name="Total Leakage ($)"/>
    <x:tableColumn id="10" name="Leakage Rate %"/>
    <x:tableColumn id="11" name="Avg Contract Discount %"/>
    <x:tableColumn id="12" name="Suggested Action"/>
  </x:tableColumns>
  <x:tableStyleInfo name="TableStyleMedium2" showRowStripes="1"/>
</x:table>
</file>

<file path=xl/tables/table4.xml><?xml version="1.0" encoding="utf-8"?>
<x:table xmlns:x="http://schemas.openxmlformats.org/spreadsheetml/2006/main" id="4" name="ScenarioTable" displayName="ScenarioTable" ref="A3:H7" headerRowCount="1">
  <x:tableColumns count="8">
    <x:tableColumn id="1" name="Scenario"/>
    <x:tableColumn id="2" name="Price Increase"/>
    <x:tableColumn id="3" name="Volume Retention"/>
    <x:tableColumn id="4" name="Discount Recapture"/>
    <x:tableColumn id="5" name="Rebate Reduction"/>
    <x:tableColumn id="6" name="Freight Recovery"/>
    <x:tableColumn id="7" name="Incremental EBITDA ($)"/>
    <x:tableColumn id="8" name="Enterprise Value Impact ($)"/>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84fca1b0c514404" /></Relationships>
</file>

<file path=xl/worksheets/_rels/sheet4.xml.rels>&#65279;<?xml version="1.0" encoding="utf-8"?><Relationships xmlns="http://schemas.openxmlformats.org/package/2006/relationships"><Relationship Type="http://schemas.openxmlformats.org/officeDocument/2006/relationships/table" Target="/xl/tables/table1.xml" Id="Rb1b13ba79c7d4f95" /></Relationships>
</file>

<file path=xl/worksheets/_rels/sheet5.xml.rels>&#65279;<?xml version="1.0" encoding="utf-8"?><Relationships xmlns="http://schemas.openxmlformats.org/package/2006/relationships"><Relationship Type="http://schemas.openxmlformats.org/officeDocument/2006/relationships/table" Target="/xl/tables/table2.xml" Id="R15a6362809734b22" /></Relationships>
</file>

<file path=xl/worksheets/_rels/sheet6.xml.rels>&#65279;<?xml version="1.0" encoding="utf-8"?><Relationships xmlns="http://schemas.openxmlformats.org/package/2006/relationships"><Relationship Type="http://schemas.openxmlformats.org/officeDocument/2006/relationships/table" Target="/xl/tables/table3.xml" Id="Ra5ffae97f1c2403b" /></Relationships>
</file>

<file path=xl/worksheets/_rels/sheet7.xml.rels>&#65279;<?xml version="1.0" encoding="utf-8"?><Relationships xmlns="http://schemas.openxmlformats.org/package/2006/relationships"><Relationship Type="http://schemas.openxmlformats.org/officeDocument/2006/relationships/table" Target="/xl/tables/table4.xml" Id="Rd2c0ef06f56c4195"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16" hidden="0" customWidth="1"/>
    <x:col min="4" max="4" width="14" hidden="0" customWidth="1"/>
    <x:col min="5" max="5" width="16" hidden="0" customWidth="1"/>
    <x:col min="6" max="6" width="14" hidden="0" customWidth="1"/>
    <x:col min="7" max="7" width="26" hidden="0" customWidth="1"/>
    <x:col min="8" max="8" width="12" hidden="0" customWidth="1"/>
    <x:col min="10" max="10" width="24" hidden="0" customWidth="1"/>
    <x:col min="11" max="11" width="18" hidden="0" customWidth="1"/>
  </x:cols>
  <x:sheetData>
    <x:row r="1" ht="172.8000030517578" hidden="0" customHeight="1">
      <x:c r="A1" s="130" t="str">
        <x:v>Ops2EBITDA — Pricing Waterfall &amp; Margin Leakage Model</x:v>
      </x:c>
      <x:c r="B1" s="130"/>
      <x:c r="C1" s="130"/>
      <x:c r="D1" s="130"/>
      <x:c r="E1" s="130"/>
      <x:c r="F1" s="130"/>
      <x:c r="G1" s="130"/>
      <x:c r="H1" s="130"/>
      <x:c r="I1" s="131"/>
      <x:c r="J1" s="131"/>
      <x:c r="K1" s="131"/>
      <x:c r="L1" s="131"/>
      <x:c r="M1" s="131"/>
      <x:c r="N1" s="131"/>
      <x:c r="O1" s="131"/>
      <x:c r="P1" s="131"/>
      <x:c r="Q1" s="131"/>
      <x:c r="R1" s="4"/>
      <x:c r="S1" s="4"/>
      <x:c r="T1" s="4"/>
      <x:c r="U1" s="4"/>
      <x:c r="V1" s="4"/>
      <x:c r="W1" s="4"/>
      <x:c r="X1" s="4"/>
      <x:c r="Y1" s="4"/>
      <x:c r="Z1" s="4"/>
    </x:row>
    <x:row r="2" ht="66" hidden="0" customHeight="1">
      <x:c r="A2" s="132" t="str">
        <x:v>Operator dashboard · Diagnose discounting, pocket price leakage, margin dispersion, and EBITDA upside</x:v>
      </x:c>
      <x:c r="B2" s="132"/>
      <x:c r="C2" s="132"/>
      <x:c r="D2" s="132"/>
      <x:c r="E2" s="132"/>
      <x:c r="F2" s="132"/>
      <x:c r="G2" s="132"/>
      <x:c r="H2" s="132"/>
      <x:c r="I2" s="131"/>
      <x:c r="J2" s="131"/>
      <x:c r="K2" s="131"/>
      <x:c r="L2" s="131"/>
      <x:c r="M2" s="131"/>
      <x:c r="N2" s="131"/>
      <x:c r="O2" s="131"/>
      <x:c r="P2" s="131"/>
      <x:c r="Q2" s="131"/>
      <x:c r="R2" s="4"/>
      <x:c r="S2" s="4"/>
      <x:c r="T2" s="4"/>
      <x:c r="U2" s="4"/>
      <x:c r="V2" s="4"/>
      <x:c r="W2" s="4"/>
      <x:c r="X2" s="4"/>
      <x:c r="Y2" s="4"/>
      <x:c r="Z2" s="4"/>
    </x:row>
    <x:row r="3" ht="15" hidden="0" customHeight="1">
      <x:c r="A3" s="131"/>
      <x:c r="B3" s="131"/>
      <x:c r="C3" s="131"/>
      <x:c r="D3" s="131"/>
      <x:c r="E3" s="131"/>
      <x:c r="F3" s="131"/>
      <x:c r="G3" s="131"/>
      <x:c r="H3" s="131"/>
      <x:c r="I3" s="131"/>
      <x:c r="J3" s="131"/>
      <x:c r="K3" s="131"/>
      <x:c r="L3" s="131"/>
      <x:c r="M3" s="131"/>
      <x:c r="N3" s="131"/>
      <x:c r="O3" s="131"/>
      <x:c r="P3" s="131"/>
      <x:c r="Q3" s="131"/>
      <x:c r="R3" s="4"/>
      <x:c r="S3" s="4"/>
      <x:c r="T3" s="4"/>
      <x:c r="U3" s="4"/>
      <x:c r="V3" s="4"/>
      <x:c r="W3" s="4"/>
      <x:c r="X3" s="4"/>
      <x:c r="Y3" s="4"/>
      <x:c r="Z3" s="4"/>
    </x:row>
    <x:row r="4" ht="15" hidden="0" customHeight="1">
      <x:c r="A4" s="133" t="str">
        <x:v>Pocket Revenue</x:v>
      </x:c>
      <x:c r="B4" s="36"/>
      <x:c r="C4" s="133" t="str">
        <x:v>Pocket Gross Margin</x:v>
      </x:c>
      <x:c r="D4" s="36"/>
      <x:c r="E4" s="133" t="str">
        <x:v>Total Leakage</x:v>
      </x:c>
      <x:c r="F4" s="36"/>
      <x:c r="G4" s="133" t="str">
        <x:v>Base Case EBITDA Upside</x:v>
      </x:c>
      <x:c r="H4" s="36"/>
      <x:c r="I4" s="131"/>
      <x:c r="J4" s="36" t="str">
        <x:v>Step</x:v>
      </x:c>
      <x:c r="K4" s="36" t="str">
        <x:v>Amount</x:v>
      </x:c>
      <x:c r="L4" s="131"/>
      <x:c r="M4" s="131"/>
      <x:c r="N4" s="131"/>
      <x:c r="O4" s="131"/>
      <x:c r="P4" s="131"/>
      <x:c r="Q4" s="131"/>
      <x:c r="R4" s="4"/>
      <x:c r="S4" s="4"/>
      <x:c r="T4" s="4"/>
      <x:c r="U4" s="4"/>
      <x:c r="V4" s="4"/>
      <x:c r="W4" s="4"/>
      <x:c r="X4" s="4"/>
      <x:c r="Y4" s="4"/>
      <x:c r="Z4" s="4"/>
    </x:row>
    <x:row r="5" ht="24" hidden="0" customHeight="1">
      <x:c r="A5" s="134" t="n">
        <x:f>Waterfall!B9</x:f>
        <x:v>1841936.1952767977</x:v>
      </x:c>
      <x:c r="B5" s="36"/>
      <x:c r="C5" s="134" t="n">
        <x:f>Waterfall!B11</x:f>
        <x:v>816807.1952767977</x:v>
      </x:c>
      <x:c r="D5" s="36"/>
      <x:c r="E5" s="134" t="n">
        <x:f>SUM(Customer_SKU_Data!W4:W123)</x:f>
        <x:v>326858.80472320254</x:v>
      </x:c>
      <x:c r="F5" s="36"/>
      <x:c r="G5" s="134" t="n">
        <x:f>Scenarios!G5</x:f>
        <x:v>98059.25703450988</x:v>
      </x:c>
      <x:c r="H5" s="36"/>
      <x:c r="I5" s="131"/>
      <x:c r="J5" s="36" t="str">
        <x:v>Gross List Revenue</x:v>
      </x:c>
      <x:c r="K5" s="94" t="n">
        <x:f>Waterfall!B4</x:f>
        <x:v>2168795</x:v>
      </x:c>
      <x:c r="L5" s="131"/>
      <x:c r="M5" s="131"/>
      <x:c r="N5" s="131"/>
      <x:c r="O5" s="131"/>
      <x:c r="P5" s="131"/>
      <x:c r="Q5" s="131"/>
      <x:c r="R5" s="4"/>
      <x:c r="S5" s="4"/>
      <x:c r="T5" s="4"/>
      <x:c r="U5" s="4"/>
      <x:c r="V5" s="4"/>
      <x:c r="W5" s="4"/>
      <x:c r="X5" s="4"/>
      <x:c r="Y5" s="4"/>
      <x:c r="Z5" s="4"/>
    </x:row>
    <x:row r="6" ht="15" hidden="0" customHeight="1">
      <x:c r="A6" s="36"/>
      <x:c r="B6" s="36"/>
      <x:c r="C6" s="36"/>
      <x:c r="D6" s="36"/>
      <x:c r="E6" s="36"/>
      <x:c r="F6" s="36"/>
      <x:c r="G6" s="36"/>
      <x:c r="H6" s="36"/>
      <x:c r="I6" s="131"/>
      <x:c r="J6" s="36" t="str">
        <x:v>Contract Discounts</x:v>
      </x:c>
      <x:c r="K6" s="94" t="n">
        <x:f>Waterfall!B5</x:f>
        <x:v>-188064.8905487378</x:v>
      </x:c>
      <x:c r="L6" s="131"/>
      <x:c r="M6" s="131"/>
      <x:c r="N6" s="131"/>
      <x:c r="O6" s="131"/>
      <x:c r="P6" s="131"/>
      <x:c r="Q6" s="131"/>
      <x:c r="R6" s="4"/>
      <x:c r="S6" s="4"/>
      <x:c r="T6" s="4"/>
      <x:c r="U6" s="4"/>
      <x:c r="V6" s="4"/>
      <x:c r="W6" s="4"/>
      <x:c r="X6" s="4"/>
      <x:c r="Y6" s="4"/>
      <x:c r="Z6" s="4"/>
    </x:row>
    <x:row r="7" ht="15" hidden="0" customHeight="1">
      <x:c r="A7" s="131"/>
      <x:c r="B7" s="131"/>
      <x:c r="C7" s="131"/>
      <x:c r="D7" s="131"/>
      <x:c r="E7" s="131"/>
      <x:c r="F7" s="131"/>
      <x:c r="G7" s="131"/>
      <x:c r="H7" s="131"/>
      <x:c r="I7" s="131"/>
      <x:c r="J7" s="36" t="str">
        <x:v>Promo Discounts</x:v>
      </x:c>
      <x:c r="K7" s="94" t="n">
        <x:f>Waterfall!B6</x:f>
        <x:v>-74462.76709884065</x:v>
      </x:c>
      <x:c r="L7" s="131"/>
      <x:c r="M7" s="131"/>
      <x:c r="N7" s="131"/>
      <x:c r="O7" s="131"/>
      <x:c r="P7" s="131"/>
      <x:c r="Q7" s="131"/>
      <x:c r="R7" s="4"/>
      <x:c r="S7" s="4"/>
      <x:c r="T7" s="4"/>
      <x:c r="U7" s="4"/>
      <x:c r="V7" s="4"/>
      <x:c r="W7" s="4"/>
      <x:c r="X7" s="4"/>
      <x:c r="Y7" s="4"/>
      <x:c r="Z7" s="4"/>
    </x:row>
    <x:row r="8" ht="15" hidden="0" customHeight="1">
      <x:c r="A8" s="135" t="str">
        <x:v>Executive Readout</x:v>
      </x:c>
      <x:c r="B8" s="135"/>
      <x:c r="C8" s="135"/>
      <x:c r="D8" s="135"/>
      <x:c r="E8" s="135"/>
      <x:c r="F8" s="135"/>
      <x:c r="G8" s="135"/>
      <x:c r="H8" s="135"/>
      <x:c r="I8" s="131"/>
      <x:c r="J8" s="36" t="str">
        <x:v>Rebates</x:v>
      </x:c>
      <x:c r="K8" s="94" t="n">
        <x:f>Waterfall!B7</x:f>
        <x:v>-52033.69683579913</x:v>
      </x:c>
      <x:c r="L8" s="131"/>
      <x:c r="M8" s="131"/>
      <x:c r="N8" s="131"/>
      <x:c r="O8" s="131"/>
      <x:c r="P8" s="131"/>
      <x:c r="Q8" s="131"/>
      <x:c r="R8" s="4"/>
      <x:c r="S8" s="4"/>
      <x:c r="T8" s="4"/>
      <x:c r="U8" s="4"/>
      <x:c r="V8" s="4"/>
      <x:c r="W8" s="4"/>
      <x:c r="X8" s="4"/>
      <x:c r="Y8" s="4"/>
      <x:c r="Z8" s="4"/>
    </x:row>
    <x:row r="9" ht="171.60000610351562" hidden="0" customHeight="1">
      <x:c r="A9" s="19" t="str">
        <x:f>TEXT(Waterfall!B9,"$#,##0")&amp;" of pocket revenue is generated after "&amp;TEXT(SUM(Customer_SKU_Data!W4:W123),"$#,##0")&amp;" of visible price leakage. Base case scenario indicates "&amp;TEXT(Scenarios!G5,"$#,##0")&amp;" of incremental EBITDA and "&amp;TEXT(Scenarios!H5,"$#,##0")&amp;" of implied enterprise value at the selected exit multiple. Focus should start with customers flagged for both low pocket margin and high leakage."</x:f>
        <x:v>$1,841,936 of pocket revenue is generated after $326,859 of visible price leakage. Base case scenario indicates $98,059 of incremental EBITDA and $1,176,711 of implied enterprise value at the selected exit multiple. Focus should start with customers flagged for both low pocket margin and high leakage.</x:v>
      </x:c>
      <x:c r="B9" s="19"/>
      <x:c r="C9" s="19"/>
      <x:c r="D9" s="19"/>
      <x:c r="E9" s="19"/>
      <x:c r="F9" s="19"/>
      <x:c r="G9" s="19"/>
      <x:c r="H9" s="19"/>
      <x:c r="I9" s="131"/>
      <x:c r="J9" s="36" t="str">
        <x:v>Freight Absorption</x:v>
      </x:c>
      <x:c r="K9" s="94" t="n">
        <x:f>Waterfall!B8</x:f>
        <x:v>-12297.450239824904</x:v>
      </x:c>
      <x:c r="L9" s="131"/>
      <x:c r="M9" s="131"/>
      <x:c r="N9" s="131"/>
      <x:c r="O9" s="131"/>
      <x:c r="P9" s="131"/>
      <x:c r="Q9" s="131"/>
      <x:c r="R9" s="4"/>
      <x:c r="S9" s="4"/>
      <x:c r="T9" s="4"/>
      <x:c r="U9" s="4"/>
      <x:c r="V9" s="4"/>
      <x:c r="W9" s="4"/>
      <x:c r="X9" s="4"/>
      <x:c r="Y9" s="4"/>
      <x:c r="Z9" s="4"/>
    </x:row>
    <x:row r="10" ht="15" hidden="0" customHeight="1">
      <x:c r="A10" s="19"/>
      <x:c r="B10" s="19"/>
      <x:c r="C10" s="19"/>
      <x:c r="D10" s="19"/>
      <x:c r="E10" s="19"/>
      <x:c r="F10" s="19"/>
      <x:c r="G10" s="19"/>
      <x:c r="H10" s="19"/>
      <x:c r="I10" s="131"/>
      <x:c r="J10" s="36" t="str">
        <x:v>Pocket Revenue</x:v>
      </x:c>
      <x:c r="K10" s="94" t="n">
        <x:f>Waterfall!B9</x:f>
        <x:v>1841936.1952767977</x:v>
      </x:c>
      <x:c r="L10" s="131"/>
      <x:c r="M10" s="131"/>
      <x:c r="N10" s="131"/>
      <x:c r="O10" s="131"/>
      <x:c r="P10" s="131"/>
      <x:c r="Q10" s="131"/>
      <x:c r="R10" s="4"/>
      <x:c r="S10" s="4"/>
      <x:c r="T10" s="4"/>
      <x:c r="U10" s="4"/>
      <x:c r="V10" s="4"/>
      <x:c r="W10" s="4"/>
      <x:c r="X10" s="4"/>
      <x:c r="Y10" s="4"/>
      <x:c r="Z10" s="4"/>
    </x:row>
    <x:row r="11" ht="15" hidden="0" customHeight="1">
      <x:c r="A11" s="19"/>
      <x:c r="B11" s="19"/>
      <x:c r="C11" s="19"/>
      <x:c r="D11" s="19"/>
      <x:c r="E11" s="19"/>
      <x:c r="F11" s="19"/>
      <x:c r="G11" s="19"/>
      <x:c r="H11" s="19"/>
      <x:c r="I11" s="131"/>
      <x:c r="J11" s="36" t="str">
        <x:v>Pocket Gross Margin</x:v>
      </x:c>
      <x:c r="K11" s="94" t="n">
        <x:f>Waterfall!B11</x:f>
        <x:v>816807.1952767977</x:v>
      </x:c>
      <x:c r="L11" s="131"/>
      <x:c r="M11" s="131"/>
      <x:c r="N11" s="131"/>
      <x:c r="O11" s="131"/>
      <x:c r="P11" s="131"/>
      <x:c r="Q11" s="131"/>
      <x:c r="R11" s="4"/>
      <x:c r="S11" s="4"/>
      <x:c r="T11" s="4"/>
      <x:c r="U11" s="4"/>
      <x:c r="V11" s="4"/>
      <x:c r="W11" s="4"/>
      <x:c r="X11" s="4"/>
      <x:c r="Y11" s="4"/>
      <x:c r="Z11" s="4"/>
    </x:row>
    <x:row r="12" ht="15" hidden="0" customHeight="1">
      <x:c r="A12" s="19"/>
      <x:c r="B12" s="19"/>
      <x:c r="C12" s="19"/>
      <x:c r="D12" s="19"/>
      <x:c r="E12" s="19"/>
      <x:c r="F12" s="19"/>
      <x:c r="G12" s="19"/>
      <x:c r="H12" s="19"/>
      <x:c r="I12" s="131"/>
      <x:c r="J12" s="131"/>
      <x:c r="K12" s="131"/>
      <x:c r="L12" s="131"/>
      <x:c r="M12" s="131"/>
      <x:c r="N12" s="131"/>
      <x:c r="O12" s="131"/>
      <x:c r="P12" s="131"/>
      <x:c r="Q12" s="131"/>
      <x:c r="R12" s="4"/>
      <x:c r="S12" s="4"/>
      <x:c r="T12" s="4"/>
      <x:c r="U12" s="4"/>
      <x:c r="V12" s="4"/>
      <x:c r="W12" s="4"/>
      <x:c r="X12" s="4"/>
      <x:c r="Y12" s="4"/>
      <x:c r="Z12" s="4"/>
    </x:row>
    <x:row r="13" ht="15" hidden="0" customHeight="1">
      <x:c r="A13" s="131"/>
      <x:c r="B13" s="131"/>
      <x:c r="C13" s="131"/>
      <x:c r="D13" s="131"/>
      <x:c r="E13" s="131"/>
      <x:c r="F13" s="131"/>
      <x:c r="G13" s="131"/>
      <x:c r="H13" s="131"/>
      <x:c r="I13" s="131"/>
      <x:c r="J13" s="131"/>
      <x:c r="K13" s="131"/>
      <x:c r="L13" s="131"/>
      <x:c r="M13" s="131"/>
      <x:c r="N13" s="131"/>
      <x:c r="O13" s="131"/>
      <x:c r="P13" s="131"/>
      <x:c r="Q13" s="131"/>
      <x:c r="R13" s="4"/>
      <x:c r="S13" s="4"/>
      <x:c r="T13" s="4"/>
      <x:c r="U13" s="4"/>
      <x:c r="V13" s="4"/>
      <x:c r="W13" s="4"/>
      <x:c r="X13" s="4"/>
      <x:c r="Y13" s="4"/>
      <x:c r="Z13" s="4"/>
    </x:row>
    <x:row r="14" ht="15" hidden="0" customHeight="1">
      <x:c r="A14" s="135" t="str">
        <x:v>Customer Priority View</x:v>
      </x:c>
      <x:c r="B14" s="135"/>
      <x:c r="C14" s="135"/>
      <x:c r="D14" s="135"/>
      <x:c r="E14" s="135"/>
      <x:c r="F14" s="135"/>
      <x:c r="G14" s="135"/>
      <x:c r="H14" s="135"/>
      <x:c r="I14" s="131"/>
      <x:c r="J14" s="131"/>
      <x:c r="K14" s="131"/>
      <x:c r="L14" s="131"/>
      <x:c r="M14" s="131"/>
      <x:c r="N14" s="131"/>
      <x:c r="O14" s="131"/>
      <x:c r="P14" s="131"/>
      <x:c r="Q14" s="131"/>
      <x:c r="R14" s="4"/>
      <x:c r="S14" s="4"/>
      <x:c r="T14" s="4"/>
      <x:c r="U14" s="4"/>
      <x:c r="V14" s="4"/>
      <x:c r="W14" s="4"/>
      <x:c r="X14" s="4"/>
      <x:c r="Y14" s="4"/>
      <x:c r="Z14" s="4"/>
    </x:row>
    <x:row r="15" ht="15" hidden="0" customHeight="1">
      <x:c r="A15" s="136" t="str">
        <x:v>Customer</x:v>
      </x:c>
      <x:c r="B15" s="136" t="str">
        <x:v>Segment</x:v>
      </x:c>
      <x:c r="C15" s="136" t="str">
        <x:v>Net Revenue</x:v>
      </x:c>
      <x:c r="D15" s="136" t="str">
        <x:v>Margin %</x:v>
      </x:c>
      <x:c r="E15" s="136" t="str">
        <x:v>Leakage $</x:v>
      </x:c>
      <x:c r="F15" s="136" t="str">
        <x:v>Leakage Rate</x:v>
      </x:c>
      <x:c r="G15" s="136" t="str">
        <x:v>Action</x:v>
      </x:c>
      <x:c r="H15" s="136" t="str">
        <x:v>Priority Rank</x:v>
      </x:c>
      <x:c r="I15" s="131"/>
      <x:c r="J15" s="131"/>
      <x:c r="K15" s="131"/>
      <x:c r="L15" s="131"/>
      <x:c r="M15" s="131"/>
      <x:c r="N15" s="131"/>
      <x:c r="O15" s="131"/>
      <x:c r="P15" s="131"/>
      <x:c r="Q15" s="131"/>
      <x:c r="R15" s="4"/>
      <x:c r="S15" s="4"/>
      <x:c r="T15" s="4"/>
      <x:c r="U15" s="4"/>
      <x:c r="V15" s="4"/>
      <x:c r="W15" s="4"/>
      <x:c r="X15" s="4"/>
      <x:c r="Y15" s="4"/>
      <x:c r="Z15" s="4"/>
    </x:row>
    <x:row r="16" ht="15" hidden="0" customHeight="1">
      <x:c r="A16" s="36" t="str">
        <x:f>Segmentation!A4</x:f>
        <x:v>Acme Health</x:v>
      </x:c>
      <x:c r="B16" s="36" t="str">
        <x:f>Segmentation!B4</x:f>
        <x:v>Enterprise</x:v>
      </x:c>
      <x:c r="C16" s="94" t="n">
        <x:f>Segmentation!F4</x:f>
        <x:v>139013.69337635188</x:v>
      </x:c>
      <x:c r="D16" s="96" t="n">
        <x:f>Segmentation!H4</x:f>
        <x:v>0.4400983233408528</x:v>
      </x:c>
      <x:c r="E16" s="94" t="n">
        <x:f>Segmentation!I4</x:f>
        <x:v>30161.30662364813</x:v>
      </x:c>
      <x:c r="F16" s="96" t="n">
        <x:f>Segmentation!J4</x:f>
        <x:v>0.17828465567399515</x:v>
      </x:c>
      <x:c r="G16" s="36" t="str">
        <x:f>Segmentation!L4</x:f>
        <x:v>Reduce leakage</x:v>
      </x:c>
      <x:c r="H16" s="137" t="n">
        <x:f>RANK.EQ(E16,$E$16:$E$23,0)</x:f>
        <x:v>4</x:v>
      </x:c>
      <x:c r="I16" s="131"/>
      <x:c r="J16" s="131"/>
      <x:c r="K16" s="131"/>
      <x:c r="L16" s="131"/>
      <x:c r="M16" s="131"/>
      <x:c r="N16" s="131"/>
      <x:c r="O16" s="131"/>
      <x:c r="P16" s="131"/>
      <x:c r="Q16" s="131"/>
      <x:c r="R16" s="4"/>
      <x:c r="S16" s="4"/>
      <x:c r="T16" s="4"/>
      <x:c r="U16" s="4"/>
      <x:c r="V16" s="4"/>
      <x:c r="W16" s="4"/>
      <x:c r="X16" s="4"/>
      <x:c r="Y16" s="4"/>
      <x:c r="Z16" s="4"/>
    </x:row>
    <x:row r="17" ht="15" hidden="0" customHeight="1">
      <x:c r="A17" s="36" t="str">
        <x:f>Segmentation!A5</x:f>
        <x:v>Boreal Clinics</x:v>
      </x:c>
      <x:c r="B17" s="36" t="str">
        <x:f>Segmentation!B5</x:f>
        <x:v>Enterprise</x:v>
      </x:c>
      <x:c r="C17" s="94" t="n">
        <x:f>Segmentation!F5</x:f>
        <x:v>182246.5507218645</x:v>
      </x:c>
      <x:c r="D17" s="96" t="n">
        <x:f>Segmentation!H5</x:f>
        <x:v>0.40019166581194715</x:v>
      </x:c>
      <x:c r="E17" s="94" t="n">
        <x:f>Segmentation!I5</x:f>
        <x:v>37578.44927813551</x:v>
      </x:c>
      <x:c r="F17" s="96" t="n">
        <x:f>Segmentation!J5</x:f>
        <x:v>0.1709471137410918</x:v>
      </x:c>
      <x:c r="G17" s="36" t="str">
        <x:f>Segmentation!L5</x:f>
        <x:v>Reduce leakage</x:v>
      </x:c>
      <x:c r="H17" s="137" t="n">
        <x:f>RANK.EQ(E17,$E$16:$E$23,0)</x:f>
        <x:v>2</x:v>
      </x:c>
      <x:c r="I17" s="131"/>
      <x:c r="J17" s="131"/>
      <x:c r="K17" s="131"/>
      <x:c r="L17" s="131"/>
      <x:c r="M17" s="131"/>
      <x:c r="N17" s="131"/>
      <x:c r="O17" s="131"/>
      <x:c r="P17" s="131"/>
      <x:c r="Q17" s="131"/>
      <x:c r="R17" s="4"/>
      <x:c r="S17" s="4"/>
      <x:c r="T17" s="4"/>
      <x:c r="U17" s="4"/>
      <x:c r="V17" s="4"/>
      <x:c r="W17" s="4"/>
      <x:c r="X17" s="4"/>
      <x:c r="Y17" s="4"/>
      <x:c r="Z17" s="4"/>
    </x:row>
    <x:row r="18" ht="15" hidden="0" customHeight="1">
      <x:c r="A18" s="36" t="str">
        <x:f>Segmentation!A6</x:f>
        <x:v>Cobalt Services</x:v>
      </x:c>
      <x:c r="B18" s="36" t="str">
        <x:f>Segmentation!B6</x:f>
        <x:v>Mid-Market</x:v>
      </x:c>
      <x:c r="C18" s="94" t="n">
        <x:f>Segmentation!F6</x:f>
        <x:v>162236.40209608455</x:v>
      </x:c>
      <x:c r="D18" s="96" t="n">
        <x:f>Segmentation!H6</x:f>
        <x:v>0.43469530379696814</x:v>
      </x:c>
      <x:c r="E18" s="94" t="n">
        <x:f>Segmentation!I6</x:f>
        <x:v>30838.597903915444</x:v>
      </x:c>
      <x:c r="F18" s="96" t="n">
        <x:f>Segmentation!J6</x:f>
        <x:v>0.15972341268375215</x:v>
      </x:c>
      <x:c r="G18" s="36" t="str">
        <x:f>Segmentation!L6</x:f>
        <x:v>Reduce leakage</x:v>
      </x:c>
      <x:c r="H18" s="137" t="n">
        <x:f>RANK.EQ(E18,$E$16:$E$23,0)</x:f>
        <x:v>3</x:v>
      </x:c>
      <x:c r="I18" s="131"/>
      <x:c r="J18" s="131"/>
      <x:c r="K18" s="131"/>
      <x:c r="L18" s="131"/>
      <x:c r="M18" s="131"/>
      <x:c r="N18" s="131"/>
      <x:c r="O18" s="131"/>
      <x:c r="P18" s="131"/>
      <x:c r="Q18" s="131"/>
      <x:c r="R18" s="4"/>
      <x:c r="S18" s="4"/>
      <x:c r="T18" s="4"/>
      <x:c r="U18" s="4"/>
      <x:c r="V18" s="4"/>
      <x:c r="W18" s="4"/>
      <x:c r="X18" s="4"/>
      <x:c r="Y18" s="4"/>
      <x:c r="Z18" s="4"/>
    </x:row>
    <x:row r="19" ht="15" hidden="0" customHeight="1">
      <x:c r="A19" s="36" t="str">
        <x:f>Segmentation!A7</x:f>
        <x:v>Delta Dental Group</x:v>
      </x:c>
      <x:c r="B19" s="36" t="str">
        <x:f>Segmentation!B7</x:f>
        <x:v>Enterprise</x:v>
      </x:c>
      <x:c r="C19" s="94" t="n">
        <x:f>Segmentation!F7</x:f>
        <x:v>75029.64371824739</x:v>
      </x:c>
      <x:c r="D19" s="96" t="n">
        <x:f>Segmentation!H7</x:f>
        <x:v>0.43059838907898335</x:v>
      </x:c>
      <x:c r="E19" s="94" t="n">
        <x:f>Segmentation!I7</x:f>
        <x:v>17970.356281752618</x:v>
      </x:c>
      <x:c r="F19" s="96" t="n">
        <x:f>Segmentation!J7</x:f>
        <x:v>0.1932296374382002</x:v>
      </x:c>
      <x:c r="G19" s="36" t="str">
        <x:f>Segmentation!L7</x:f>
        <x:v>Reduce leakage</x:v>
      </x:c>
      <x:c r="H19" s="137" t="n">
        <x:f>RANK.EQ(E19,$E$16:$E$23,0)</x:f>
        <x:v>7</x:v>
      </x:c>
      <x:c r="I19" s="131"/>
      <x:c r="J19" s="131"/>
      <x:c r="K19" s="131"/>
      <x:c r="L19" s="131"/>
      <x:c r="M19" s="131"/>
      <x:c r="N19" s="131"/>
      <x:c r="O19" s="131"/>
      <x:c r="P19" s="131"/>
      <x:c r="Q19" s="131"/>
      <x:c r="R19" s="4"/>
      <x:c r="S19" s="4"/>
      <x:c r="T19" s="4"/>
      <x:c r="U19" s="4"/>
      <x:c r="V19" s="4"/>
      <x:c r="W19" s="4"/>
      <x:c r="X19" s="4"/>
      <x:c r="Y19" s="4"/>
      <x:c r="Z19" s="4"/>
    </x:row>
    <x:row r="20" ht="15" hidden="0" customHeight="1">
      <x:c r="A20" s="36" t="str">
        <x:f>Segmentation!A8</x:f>
        <x:v>Evergreen Rehab</x:v>
      </x:c>
      <x:c r="B20" s="36" t="str">
        <x:f>Segmentation!B8</x:f>
        <x:v>Mid-Market</x:v>
      </x:c>
      <x:c r="C20" s="94" t="n">
        <x:f>Segmentation!F8</x:f>
        <x:v>145921.451056762</x:v>
      </x:c>
      <x:c r="D20" s="96" t="n">
        <x:f>Segmentation!H8</x:f>
        <x:v>0.40258269521943413</x:v>
      </x:c>
      <x:c r="E20" s="94" t="n">
        <x:f>Segmentation!I8</x:f>
        <x:v>25253.548943238013</x:v>
      </x:c>
      <x:c r="F20" s="96" t="n">
        <x:f>Segmentation!J8</x:f>
        <x:v>0.1475305911683249</x:v>
      </x:c>
      <x:c r="G20" s="36" t="str">
        <x:f>Segmentation!L8</x:f>
        <x:v>Reduce leakage</x:v>
      </x:c>
      <x:c r="H20" s="137" t="n">
        <x:f>RANK.EQ(E20,$E$16:$E$23,0)</x:f>
        <x:v>5</x:v>
      </x:c>
      <x:c r="I20" s="131"/>
      <x:c r="J20" s="131"/>
      <x:c r="K20" s="131"/>
      <x:c r="L20" s="131"/>
      <x:c r="M20" s="131"/>
      <x:c r="N20" s="131"/>
      <x:c r="O20" s="131"/>
      <x:c r="P20" s="131"/>
      <x:c r="Q20" s="131"/>
      <x:c r="R20" s="4"/>
      <x:c r="S20" s="4"/>
      <x:c r="T20" s="4"/>
      <x:c r="U20" s="4"/>
      <x:c r="V20" s="4"/>
      <x:c r="W20" s="4"/>
      <x:c r="X20" s="4"/>
      <x:c r="Y20" s="4"/>
      <x:c r="Z20" s="4"/>
    </x:row>
    <x:row r="21" ht="15" hidden="0" customHeight="1">
      <x:c r="A21" s="36" t="str">
        <x:f>Segmentation!A9</x:f>
        <x:v>Fulton Labs</x:v>
      </x:c>
      <x:c r="B21" s="36" t="str">
        <x:f>Segmentation!B9</x:f>
        <x:v>SMB</x:v>
      </x:c>
      <x:c r="C21" s="94" t="n">
        <x:f>Segmentation!F9</x:f>
        <x:v>143895.2247622517</x:v>
      </x:c>
      <x:c r="D21" s="96" t="n">
        <x:f>Segmentation!H9</x:f>
        <x:v>0.46248390015864993</x:v>
      </x:c>
      <x:c r="E21" s="94" t="n">
        <x:f>Segmentation!I9</x:f>
        <x:v>14044.775237748288</x:v>
      </x:c>
      <x:c r="F21" s="96" t="n">
        <x:f>Segmentation!J9</x:f>
        <x:v>0.08892475141033486</x:v>
      </x:c>
      <x:c r="G21" s="36" t="str">
        <x:f>Segmentation!L9</x:f>
        <x:v>Monitor</x:v>
      </x:c>
      <x:c r="H21" s="137" t="n">
        <x:f>RANK.EQ(E21,$E$16:$E$23,0)</x:f>
        <x:v>8</x:v>
      </x:c>
      <x:c r="I21" s="131"/>
      <x:c r="J21" s="131"/>
      <x:c r="K21" s="131"/>
      <x:c r="L21" s="131"/>
      <x:c r="M21" s="131"/>
      <x:c r="N21" s="131"/>
      <x:c r="O21" s="131"/>
      <x:c r="P21" s="131"/>
      <x:c r="Q21" s="131"/>
      <x:c r="R21" s="4"/>
      <x:c r="S21" s="4"/>
      <x:c r="T21" s="4"/>
      <x:c r="U21" s="4"/>
      <x:c r="V21" s="4"/>
      <x:c r="W21" s="4"/>
      <x:c r="X21" s="4"/>
      <x:c r="Y21" s="4"/>
      <x:c r="Z21" s="4"/>
    </x:row>
    <x:row r="22" ht="15" hidden="0" customHeight="1">
      <x:c r="A22" s="36" t="str">
        <x:f>Segmentation!A10</x:f>
        <x:v>Granite Medical</x:v>
      </x:c>
      <x:c r="B22" s="36" t="str">
        <x:f>Segmentation!B10</x:f>
        <x:v>Mid-Market</x:v>
      </x:c>
      <x:c r="C22" s="94" t="n">
        <x:f>Segmentation!F10</x:f>
        <x:v>127421.46492189364</x:v>
      </x:c>
      <x:c r="D22" s="96" t="n">
        <x:f>Segmentation!H10</x:f>
        <x:v>0.4476519317750592</x:v>
      </x:c>
      <x:c r="E22" s="94" t="n">
        <x:f>Segmentation!I10</x:f>
        <x:v>19173.535078106368</x:v>
      </x:c>
      <x:c r="F22" s="96" t="n">
        <x:f>Segmentation!J10</x:f>
        <x:v>0.13079255825987496</x:v>
      </x:c>
      <x:c r="G22" s="36" t="str">
        <x:f>Segmentation!L10</x:f>
        <x:v>Reduce leakage</x:v>
      </x:c>
      <x:c r="H22" s="137" t="n">
        <x:f>RANK.EQ(E22,$E$16:$E$23,0)</x:f>
        <x:v>6</x:v>
      </x:c>
      <x:c r="I22" s="131"/>
      <x:c r="J22" s="131"/>
      <x:c r="K22" s="131"/>
      <x:c r="L22" s="131"/>
      <x:c r="M22" s="131"/>
      <x:c r="N22" s="131"/>
      <x:c r="O22" s="131"/>
      <x:c r="P22" s="131"/>
      <x:c r="Q22" s="131"/>
      <x:c r="R22" s="4"/>
      <x:c r="S22" s="4"/>
      <x:c r="T22" s="4"/>
      <x:c r="U22" s="4"/>
      <x:c r="V22" s="4"/>
      <x:c r="W22" s="4"/>
      <x:c r="X22" s="4"/>
      <x:c r="Y22" s="4"/>
      <x:c r="Z22" s="4"/>
    </x:row>
    <x:row r="23" ht="15" hidden="0" customHeight="1">
      <x:c r="A23" s="36" t="str">
        <x:f>Segmentation!A11</x:f>
        <x:v>Harbor Care</x:v>
      </x:c>
      <x:c r="B23" s="36" t="str">
        <x:f>Segmentation!B11</x:f>
        <x:v>Enterprise</x:v>
      </x:c>
      <x:c r="C23" s="94" t="n">
        <x:f>Segmentation!F11</x:f>
        <x:v>217953.6584124916</x:v>
      </x:c>
      <x:c r="D23" s="96" t="n">
        <x:f>Segmentation!H11</x:f>
        <x:v>0.4640512077162493</x:v>
      </x:c>
      <x:c r="E23" s="94" t="n">
        <x:f>Segmentation!I11</x:f>
        <x:v>49476.34158750842</x:v>
      </x:c>
      <x:c r="F23" s="96" t="n">
        <x:f>Segmentation!J11</x:f>
        <x:v>0.18500669927647764</x:v>
      </x:c>
      <x:c r="G23" s="36" t="str">
        <x:f>Segmentation!L11</x:f>
        <x:v>Reduce leakage</x:v>
      </x:c>
      <x:c r="H23" s="137" t="n">
        <x:f>RANK.EQ(E23,$E$16:$E$23,0)</x:f>
        <x:v>1</x:v>
      </x:c>
      <x:c r="I23" s="131"/>
      <x:c r="J23" s="131"/>
      <x:c r="K23" s="131"/>
      <x:c r="L23" s="131"/>
      <x:c r="M23" s="131"/>
      <x:c r="N23" s="131"/>
      <x:c r="O23" s="131"/>
      <x:c r="P23" s="131"/>
      <x:c r="Q23" s="131"/>
      <x:c r="R23" s="4"/>
      <x:c r="S23" s="4"/>
      <x:c r="T23" s="4"/>
      <x:c r="U23" s="4"/>
      <x:c r="V23" s="4"/>
      <x:c r="W23" s="4"/>
      <x:c r="X23" s="4"/>
      <x:c r="Y23" s="4"/>
      <x:c r="Z23" s="4"/>
    </x:row>
    <x:row r="24" ht="15" hidden="0" customHeight="1">
      <x:c r="A24" s="131"/>
      <x:c r="B24" s="131"/>
      <x:c r="C24" s="131"/>
      <x:c r="D24" s="131"/>
      <x:c r="E24" s="131"/>
      <x:c r="F24" s="131"/>
      <x:c r="G24" s="131"/>
      <x:c r="H24" s="131"/>
      <x:c r="I24" s="131"/>
      <x:c r="J24" s="131"/>
      <x:c r="K24" s="131"/>
      <x:c r="L24" s="131"/>
      <x:c r="M24" s="131"/>
      <x:c r="N24" s="131"/>
      <x:c r="O24" s="131"/>
      <x:c r="P24" s="131"/>
      <x:c r="Q24" s="131"/>
      <x:c r="R24" s="4"/>
      <x:c r="S24" s="4"/>
      <x:c r="T24" s="4"/>
      <x:c r="U24" s="4"/>
      <x:c r="V24" s="4"/>
      <x:c r="W24" s="4"/>
      <x:c r="X24" s="4"/>
      <x:c r="Y24" s="4"/>
      <x:c r="Z24" s="4"/>
    </x:row>
    <x:row r="25" ht="15" hidden="0" customHeight="1">
      <x:c r="A25" s="131"/>
      <x:c r="B25" s="131"/>
      <x:c r="C25" s="131"/>
      <x:c r="D25" s="131"/>
      <x:c r="E25" s="131"/>
      <x:c r="F25" s="131"/>
      <x:c r="G25" s="131"/>
      <x:c r="H25" s="131"/>
      <x:c r="I25" s="131"/>
      <x:c r="J25" s="131"/>
      <x:c r="K25" s="131"/>
      <x:c r="L25" s="131"/>
      <x:c r="M25" s="131"/>
      <x:c r="N25" s="131"/>
      <x:c r="O25" s="131"/>
      <x:c r="P25" s="131"/>
      <x:c r="Q25" s="131"/>
      <x:c r="R25" s="4"/>
      <x:c r="S25" s="4"/>
      <x:c r="T25" s="4"/>
      <x:c r="U25" s="4"/>
      <x:c r="V25" s="4"/>
      <x:c r="W25" s="4"/>
      <x:c r="X25" s="4"/>
      <x:c r="Y25" s="4"/>
      <x:c r="Z25" s="4"/>
    </x:row>
    <x:row r="26" ht="15" hidden="0" customHeight="1">
      <x:c r="A26" s="131"/>
      <x:c r="B26" s="131"/>
      <x:c r="C26" s="131"/>
      <x:c r="D26" s="131"/>
      <x:c r="E26" s="131"/>
      <x:c r="F26" s="131"/>
      <x:c r="G26" s="131"/>
      <x:c r="H26" s="131"/>
      <x:c r="I26" s="131"/>
      <x:c r="J26" s="131"/>
      <x:c r="K26" s="131"/>
      <x:c r="L26" s="131"/>
      <x:c r="M26" s="131"/>
      <x:c r="N26" s="131"/>
      <x:c r="O26" s="131"/>
      <x:c r="P26" s="131"/>
      <x:c r="Q26" s="131"/>
      <x:c r="R26" s="4"/>
      <x:c r="S26" s="4"/>
      <x:c r="T26" s="4"/>
      <x:c r="U26" s="4"/>
      <x:c r="V26" s="4"/>
      <x:c r="W26" s="4"/>
      <x:c r="X26" s="4"/>
      <x:c r="Y26" s="4"/>
      <x:c r="Z26" s="4"/>
    </x:row>
    <x:row r="27" ht="15" hidden="0" customHeight="1">
      <x:c r="A27" s="131"/>
      <x:c r="B27" s="131"/>
      <x:c r="C27" s="131"/>
      <x:c r="D27" s="131"/>
      <x:c r="E27" s="131"/>
      <x:c r="F27" s="131"/>
      <x:c r="G27" s="131"/>
      <x:c r="H27" s="131"/>
      <x:c r="I27" s="131"/>
      <x:c r="J27" s="131"/>
      <x:c r="K27" s="131"/>
      <x:c r="L27" s="131"/>
      <x:c r="M27" s="131"/>
      <x:c r="N27" s="131"/>
      <x:c r="O27" s="131"/>
      <x:c r="P27" s="131"/>
      <x:c r="Q27" s="131"/>
      <x:c r="R27" s="4"/>
      <x:c r="S27" s="4"/>
      <x:c r="T27" s="4"/>
      <x:c r="U27" s="4"/>
      <x:c r="V27" s="4"/>
      <x:c r="W27" s="4"/>
      <x:c r="X27" s="4"/>
      <x:c r="Y27" s="4"/>
      <x:c r="Z27" s="4"/>
    </x:row>
    <x:row r="28" ht="15" hidden="0" customHeight="1">
      <x:c r="A28" s="131"/>
      <x:c r="B28" s="131"/>
      <x:c r="C28" s="131"/>
      <x:c r="D28" s="131"/>
      <x:c r="E28" s="131"/>
      <x:c r="F28" s="131"/>
      <x:c r="G28" s="131"/>
      <x:c r="H28" s="131"/>
      <x:c r="I28" s="131"/>
      <x:c r="J28" s="131"/>
      <x:c r="K28" s="131"/>
      <x:c r="L28" s="131"/>
      <x:c r="M28" s="131"/>
      <x:c r="N28" s="131"/>
      <x:c r="O28" s="131"/>
      <x:c r="P28" s="131"/>
      <x:c r="Q28" s="131"/>
      <x:c r="R28" s="4"/>
      <x:c r="S28" s="4"/>
      <x:c r="T28" s="4"/>
      <x:c r="U28" s="4"/>
      <x:c r="V28" s="4"/>
      <x:c r="W28" s="4"/>
      <x:c r="X28" s="4"/>
      <x:c r="Y28" s="4"/>
      <x:c r="Z28" s="4"/>
    </x:row>
    <x:row r="29" ht="15" hidden="0" customHeight="1">
      <x:c r="A29" s="131"/>
      <x:c r="B29" s="131"/>
      <x:c r="C29" s="131"/>
      <x:c r="D29" s="131"/>
      <x:c r="E29" s="131"/>
      <x:c r="F29" s="131"/>
      <x:c r="G29" s="131"/>
      <x:c r="H29" s="131"/>
      <x:c r="I29" s="131"/>
      <x:c r="J29" s="131"/>
      <x:c r="K29" s="131"/>
      <x:c r="L29" s="131"/>
      <x:c r="M29" s="131"/>
      <x:c r="N29" s="131"/>
      <x:c r="O29" s="131"/>
      <x:c r="P29" s="131"/>
      <x:c r="Q29" s="131"/>
      <x:c r="R29" s="4"/>
      <x:c r="S29" s="4"/>
      <x:c r="T29" s="4"/>
      <x:c r="U29" s="4"/>
      <x:c r="V29" s="4"/>
      <x:c r="W29" s="4"/>
      <x:c r="X29" s="4"/>
      <x:c r="Y29" s="4"/>
      <x:c r="Z29" s="4"/>
    </x:row>
    <x:row r="30" ht="15" hidden="0" customHeight="1">
      <x:c r="A30" s="131"/>
      <x:c r="B30" s="131"/>
      <x:c r="C30" s="131"/>
      <x:c r="D30" s="131"/>
      <x:c r="E30" s="131"/>
      <x:c r="F30" s="131"/>
      <x:c r="G30" s="131"/>
      <x:c r="H30" s="131"/>
      <x:c r="I30" s="131"/>
      <x:c r="J30" s="131"/>
      <x:c r="K30" s="131"/>
      <x:c r="L30" s="131"/>
      <x:c r="M30" s="131"/>
      <x:c r="N30" s="131"/>
      <x:c r="O30" s="131"/>
      <x:c r="P30" s="131"/>
      <x:c r="Q30" s="131"/>
      <x:c r="R30" s="4"/>
      <x:c r="S30" s="4"/>
      <x:c r="T30" s="4"/>
      <x:c r="U30" s="4"/>
      <x:c r="V30" s="4"/>
      <x:c r="W30" s="4"/>
      <x:c r="X30" s="4"/>
      <x:c r="Y30" s="4"/>
      <x:c r="Z30" s="4"/>
    </x:row>
    <x:row r="31" ht="15" hidden="0" customHeight="1">
      <x:c r="A31" s="131"/>
      <x:c r="B31" s="131"/>
      <x:c r="C31" s="131"/>
      <x:c r="D31" s="131"/>
      <x:c r="E31" s="131"/>
      <x:c r="F31" s="131"/>
      <x:c r="G31" s="131"/>
      <x:c r="H31" s="131"/>
      <x:c r="I31" s="131"/>
      <x:c r="J31" s="36" t="str">
        <x:v>Scenario</x:v>
      </x:c>
      <x:c r="K31" s="36" t="str">
        <x:v>Incremental EBITDA</x:v>
      </x:c>
      <x:c r="L31" s="131"/>
      <x:c r="M31" s="131"/>
      <x:c r="N31" s="131"/>
      <x:c r="O31" s="131"/>
      <x:c r="P31" s="131"/>
      <x:c r="Q31" s="131"/>
      <x:c r="R31" s="4"/>
      <x:c r="S31" s="4"/>
      <x:c r="T31" s="4"/>
      <x:c r="U31" s="4"/>
      <x:c r="V31" s="4"/>
      <x:c r="W31" s="4"/>
      <x:c r="X31" s="4"/>
      <x:c r="Y31" s="4"/>
      <x:c r="Z31" s="4"/>
    </x:row>
    <x:row r="32" ht="15" hidden="0" customHeight="1">
      <x:c r="A32" s="131"/>
      <x:c r="B32" s="131"/>
      <x:c r="C32" s="131"/>
      <x:c r="D32" s="131"/>
      <x:c r="E32" s="131"/>
      <x:c r="F32" s="131"/>
      <x:c r="G32" s="131"/>
      <x:c r="H32" s="131"/>
      <x:c r="I32" s="131"/>
      <x:c r="J32" s="36" t="str">
        <x:v>Conservative</x:v>
      </x:c>
      <x:c r="K32" s="94" t="n">
        <x:f>Scenarios!G4</x:f>
        <x:v>43993.85492924365</x:v>
      </x:c>
      <x:c r="L32" s="131"/>
      <x:c r="M32" s="131"/>
      <x:c r="N32" s="131"/>
      <x:c r="O32" s="131"/>
      <x:c r="P32" s="131"/>
      <x:c r="Q32" s="131"/>
      <x:c r="R32" s="4"/>
      <x:c r="S32" s="4"/>
      <x:c r="T32" s="4"/>
      <x:c r="U32" s="4"/>
      <x:c r="V32" s="4"/>
      <x:c r="W32" s="4"/>
      <x:c r="X32" s="4"/>
      <x:c r="Y32" s="4"/>
      <x:c r="Z32" s="4"/>
    </x:row>
    <x:row r="33" ht="15" hidden="0" customHeight="1">
      <x:c r="A33" s="131"/>
      <x:c r="B33" s="131"/>
      <x:c r="C33" s="131"/>
      <x:c r="D33" s="131"/>
      <x:c r="E33" s="131"/>
      <x:c r="F33" s="131"/>
      <x:c r="G33" s="131"/>
      <x:c r="H33" s="131"/>
      <x:c r="I33" s="131"/>
      <x:c r="J33" s="36" t="str">
        <x:v>Base Case</x:v>
      </x:c>
      <x:c r="K33" s="94" t="n">
        <x:f>Scenarios!G5</x:f>
        <x:v>98059.25703450988</x:v>
      </x:c>
      <x:c r="L33" s="131"/>
      <x:c r="M33" s="131"/>
      <x:c r="N33" s="131"/>
      <x:c r="O33" s="131"/>
      <x:c r="P33" s="131"/>
      <x:c r="Q33" s="131"/>
      <x:c r="R33" s="4"/>
      <x:c r="S33" s="4"/>
      <x:c r="T33" s="4"/>
      <x:c r="U33" s="4"/>
      <x:c r="V33" s="4"/>
      <x:c r="W33" s="4"/>
      <x:c r="X33" s="4"/>
      <x:c r="Y33" s="4"/>
      <x:c r="Z33" s="4"/>
    </x:row>
    <x:row r="34" ht="15" hidden="0" customHeight="1">
      <x:c r="A34" s="131"/>
      <x:c r="B34" s="131"/>
      <x:c r="C34" s="131"/>
      <x:c r="D34" s="131"/>
      <x:c r="E34" s="131"/>
      <x:c r="F34" s="131"/>
      <x:c r="G34" s="131"/>
      <x:c r="H34" s="131"/>
      <x:c r="I34" s="131"/>
      <x:c r="J34" s="36" t="str">
        <x:v>Upside</x:v>
      </x:c>
      <x:c r="K34" s="94" t="n">
        <x:f>Scenarios!G6</x:f>
        <x:v>146669.06608712976</x:v>
      </x:c>
      <x:c r="L34" s="131"/>
      <x:c r="M34" s="131"/>
      <x:c r="N34" s="131"/>
      <x:c r="O34" s="131"/>
      <x:c r="P34" s="131"/>
      <x:c r="Q34" s="131"/>
      <x:c r="R34" s="4"/>
      <x:c r="S34" s="4"/>
      <x:c r="T34" s="4"/>
      <x:c r="U34" s="4"/>
      <x:c r="V34" s="4"/>
      <x:c r="W34" s="4"/>
      <x:c r="X34" s="4"/>
      <x:c r="Y34" s="4"/>
      <x:c r="Z34" s="4"/>
    </x:row>
    <x:row r="35" ht="15" hidden="0" customHeight="1">
      <x:c r="A35" s="131"/>
      <x:c r="B35" s="131"/>
      <x:c r="C35" s="131"/>
      <x:c r="D35" s="131"/>
      <x:c r="E35" s="131"/>
      <x:c r="F35" s="131"/>
      <x:c r="G35" s="131"/>
      <x:c r="H35" s="131"/>
      <x:c r="I35" s="131"/>
      <x:c r="J35" s="36" t="str">
        <x:v>Aggressive</x:v>
      </x:c>
      <x:c r="K35" s="94" t="n">
        <x:f>Scenarios!G7</x:f>
        <x:v>202535.04097231384</x:v>
      </x:c>
      <x:c r="L35" s="131"/>
      <x:c r="M35" s="131"/>
      <x:c r="N35" s="131"/>
      <x:c r="O35" s="131"/>
      <x:c r="P35" s="131"/>
      <x:c r="Q35" s="131"/>
      <x:c r="R35" s="4"/>
      <x:c r="S35" s="4"/>
      <x:c r="T35" s="4"/>
      <x:c r="U35" s="4"/>
      <x:c r="V35" s="4"/>
      <x:c r="W35" s="4"/>
      <x:c r="X35" s="4"/>
      <x:c r="Y35" s="4"/>
      <x:c r="Z35" s="4"/>
    </x:row>
    <x:row r="36" ht="15" hidden="0" customHeight="1">
      <x:c r="A36" s="131"/>
      <x:c r="B36" s="131"/>
      <x:c r="C36" s="131"/>
      <x:c r="D36" s="131"/>
      <x:c r="E36" s="131"/>
      <x:c r="F36" s="131"/>
      <x:c r="G36" s="131"/>
      <x:c r="H36" s="131"/>
      <x:c r="I36" s="131"/>
      <x:c r="J36" s="131"/>
      <x:c r="K36" s="131"/>
      <x:c r="L36" s="131"/>
      <x:c r="M36" s="131"/>
      <x:c r="N36" s="131"/>
      <x:c r="O36" s="131"/>
      <x:c r="P36" s="131"/>
      <x:c r="Q36" s="131"/>
      <x:c r="R36" s="4"/>
      <x:c r="S36" s="4"/>
      <x:c r="T36" s="4"/>
      <x:c r="U36" s="4"/>
      <x:c r="V36" s="4"/>
      <x:c r="W36" s="4"/>
      <x:c r="X36" s="4"/>
      <x:c r="Y36" s="4"/>
      <x:c r="Z36" s="4"/>
    </x:row>
    <x:row r="37" ht="15" hidden="0" customHeight="1">
      <x:c r="A37" s="131"/>
      <x:c r="B37" s="131"/>
      <x:c r="C37" s="131"/>
      <x:c r="D37" s="131"/>
      <x:c r="E37" s="131"/>
      <x:c r="F37" s="131"/>
      <x:c r="G37" s="131"/>
      <x:c r="H37" s="131"/>
      <x:c r="I37" s="131"/>
      <x:c r="J37" s="131"/>
      <x:c r="K37" s="131"/>
      <x:c r="L37" s="131"/>
      <x:c r="M37" s="131"/>
      <x:c r="N37" s="131"/>
      <x:c r="O37" s="131"/>
      <x:c r="P37" s="131"/>
      <x:c r="Q37" s="131"/>
      <x:c r="R37" s="4"/>
      <x:c r="S37" s="4"/>
      <x:c r="T37" s="4"/>
      <x:c r="U37" s="4"/>
      <x:c r="V37" s="4"/>
      <x:c r="W37" s="4"/>
      <x:c r="X37" s="4"/>
      <x:c r="Y37" s="4"/>
      <x:c r="Z37" s="4"/>
    </x:row>
    <x:row r="38" ht="15" hidden="0" customHeight="1">
      <x:c r="A38" s="131"/>
      <x:c r="B38" s="131"/>
      <x:c r="C38" s="131"/>
      <x:c r="D38" s="131"/>
      <x:c r="E38" s="131"/>
      <x:c r="F38" s="131"/>
      <x:c r="G38" s="131"/>
      <x:c r="H38" s="131"/>
      <x:c r="I38" s="131"/>
      <x:c r="J38" s="131"/>
      <x:c r="K38" s="131"/>
      <x:c r="L38" s="131"/>
      <x:c r="M38" s="131"/>
      <x:c r="N38" s="131"/>
      <x:c r="O38" s="131"/>
      <x:c r="P38" s="131"/>
      <x:c r="Q38" s="131"/>
      <x:c r="R38" s="4"/>
      <x:c r="S38" s="4"/>
      <x:c r="T38" s="4"/>
      <x:c r="U38" s="4"/>
      <x:c r="V38" s="4"/>
      <x:c r="W38" s="4"/>
      <x:c r="X38" s="4"/>
      <x:c r="Y38" s="4"/>
      <x:c r="Z38" s="4"/>
    </x:row>
    <x:row r="39" ht="15" hidden="0" customHeight="1">
      <x:c r="A39" s="131"/>
      <x:c r="B39" s="131"/>
      <x:c r="C39" s="131"/>
      <x:c r="D39" s="131"/>
      <x:c r="E39" s="131"/>
      <x:c r="F39" s="131"/>
      <x:c r="G39" s="131"/>
      <x:c r="H39" s="131"/>
      <x:c r="I39" s="131"/>
      <x:c r="J39" s="131"/>
      <x:c r="K39" s="131"/>
      <x:c r="L39" s="131"/>
      <x:c r="M39" s="131"/>
      <x:c r="N39" s="131"/>
      <x:c r="O39" s="131"/>
      <x:c r="P39" s="131"/>
      <x:c r="Q39" s="131"/>
      <x:c r="R39" s="4"/>
      <x:c r="S39" s="4"/>
      <x:c r="T39" s="4"/>
      <x:c r="U39" s="4"/>
      <x:c r="V39" s="4"/>
      <x:c r="W39" s="4"/>
      <x:c r="X39" s="4"/>
      <x:c r="Y39" s="4"/>
      <x:c r="Z39" s="4"/>
    </x:row>
    <x:row r="40" ht="15" hidden="0" customHeight="1">
      <x:c r="A40" s="131"/>
      <x:c r="B40" s="131"/>
      <x:c r="C40" s="131"/>
      <x:c r="D40" s="131"/>
      <x:c r="E40" s="131"/>
      <x:c r="F40" s="131"/>
      <x:c r="G40" s="131"/>
      <x:c r="H40" s="131"/>
      <x:c r="I40" s="131"/>
      <x:c r="J40" s="131"/>
      <x:c r="K40" s="131"/>
      <x:c r="L40" s="131"/>
      <x:c r="M40" s="131"/>
      <x:c r="N40" s="131"/>
      <x:c r="O40" s="131"/>
      <x:c r="P40" s="131"/>
      <x:c r="Q40" s="131"/>
      <x:c r="R40" s="4"/>
      <x:c r="S40" s="4"/>
      <x:c r="T40" s="4"/>
      <x:c r="U40" s="4"/>
      <x:c r="V40" s="4"/>
      <x:c r="W40" s="4"/>
      <x:c r="X40" s="4"/>
      <x:c r="Y40" s="4"/>
      <x:c r="Z40" s="4"/>
    </x:row>
    <x:row r="41" ht="15" hidden="0" customHeight="1">
      <x:c r="A41" s="131"/>
      <x:c r="B41" s="131"/>
      <x:c r="C41" s="131"/>
      <x:c r="D41" s="131"/>
      <x:c r="E41" s="131"/>
      <x:c r="F41" s="131"/>
      <x:c r="G41" s="131"/>
      <x:c r="H41" s="131"/>
      <x:c r="I41" s="131"/>
      <x:c r="J41" s="131"/>
      <x:c r="K41" s="131"/>
      <x:c r="L41" s="131"/>
      <x:c r="M41" s="131"/>
      <x:c r="N41" s="131"/>
      <x:c r="O41" s="131"/>
      <x:c r="P41" s="131"/>
      <x:c r="Q41" s="131"/>
      <x:c r="R41" s="4"/>
      <x:c r="S41" s="4"/>
      <x:c r="T41" s="4"/>
      <x:c r="U41" s="4"/>
      <x:c r="V41" s="4"/>
      <x:c r="W41" s="4"/>
      <x:c r="X41" s="4"/>
      <x:c r="Y41" s="4"/>
      <x:c r="Z41" s="4"/>
    </x:row>
    <x:row r="42" ht="15" hidden="0" customHeight="1">
      <x:c r="A42" s="131"/>
      <x:c r="B42" s="131"/>
      <x:c r="C42" s="131"/>
      <x:c r="D42" s="131"/>
      <x:c r="E42" s="131"/>
      <x:c r="F42" s="131"/>
      <x:c r="G42" s="131"/>
      <x:c r="H42" s="131"/>
      <x:c r="I42" s="131"/>
      <x:c r="J42" s="131"/>
      <x:c r="K42" s="131"/>
      <x:c r="L42" s="131"/>
      <x:c r="M42" s="131"/>
      <x:c r="N42" s="131"/>
      <x:c r="O42" s="131"/>
      <x:c r="P42" s="131"/>
      <x:c r="Q42" s="131"/>
      <x:c r="R42" s="4"/>
      <x:c r="S42" s="4"/>
      <x:c r="T42" s="4"/>
      <x:c r="U42" s="4"/>
      <x:c r="V42" s="4"/>
      <x:c r="W42" s="4"/>
      <x:c r="X42" s="4"/>
      <x:c r="Y42" s="4"/>
      <x:c r="Z42" s="4"/>
    </x:row>
    <x:row r="43" ht="15" hidden="0" customHeight="1">
      <x:c r="A43" s="131"/>
      <x:c r="B43" s="131"/>
      <x:c r="C43" s="131"/>
      <x:c r="D43" s="131"/>
      <x:c r="E43" s="131"/>
      <x:c r="F43" s="131"/>
      <x:c r="G43" s="131"/>
      <x:c r="H43" s="131"/>
      <x:c r="I43" s="131"/>
      <x:c r="J43" s="131"/>
      <x:c r="K43" s="131"/>
      <x:c r="L43" s="131"/>
      <x:c r="M43" s="131"/>
      <x:c r="N43" s="131"/>
      <x:c r="O43" s="131"/>
      <x:c r="P43" s="131"/>
      <x:c r="Q43" s="131"/>
      <x:c r="R43" s="4"/>
      <x:c r="S43" s="4"/>
      <x:c r="T43" s="4"/>
      <x:c r="U43" s="4"/>
      <x:c r="V43" s="4"/>
      <x:c r="W43" s="4"/>
      <x:c r="X43" s="4"/>
      <x:c r="Y43" s="4"/>
      <x:c r="Z43" s="4"/>
    </x:row>
    <x:row r="44" ht="15" hidden="0" customHeight="1">
      <x:c r="A44" s="131"/>
      <x:c r="B44" s="131"/>
      <x:c r="C44" s="131"/>
      <x:c r="D44" s="131"/>
      <x:c r="E44" s="131"/>
      <x:c r="F44" s="131"/>
      <x:c r="G44" s="131"/>
      <x:c r="H44" s="131"/>
      <x:c r="I44" s="131"/>
      <x:c r="J44" s="131"/>
      <x:c r="K44" s="131"/>
      <x:c r="L44" s="131"/>
      <x:c r="M44" s="131"/>
      <x:c r="N44" s="131"/>
      <x:c r="O44" s="131"/>
      <x:c r="P44" s="131"/>
      <x:c r="Q44" s="131"/>
      <x:c r="R44" s="4"/>
      <x:c r="S44" s="4"/>
      <x:c r="T44" s="4"/>
      <x:c r="U44" s="4"/>
      <x:c r="V44" s="4"/>
      <x:c r="W44" s="4"/>
      <x:c r="X44" s="4"/>
      <x:c r="Y44" s="4"/>
      <x:c r="Z44" s="4"/>
    </x:row>
    <x:row r="45" ht="15" hidden="0" customHeight="1">
      <x:c r="A45" s="131"/>
      <x:c r="B45" s="131"/>
      <x:c r="C45" s="131"/>
      <x:c r="D45" s="131"/>
      <x:c r="E45" s="131"/>
      <x:c r="F45" s="131"/>
      <x:c r="G45" s="131"/>
      <x:c r="H45" s="131"/>
      <x:c r="I45" s="131"/>
      <x:c r="J45" s="131"/>
      <x:c r="K45" s="131"/>
      <x:c r="L45" s="131"/>
      <x:c r="M45" s="131"/>
      <x:c r="N45" s="131"/>
      <x:c r="O45" s="131"/>
      <x:c r="P45" s="131"/>
      <x:c r="Q45" s="131"/>
      <x:c r="R45" s="4"/>
      <x:c r="S45" s="4"/>
      <x:c r="T45" s="4"/>
      <x:c r="U45" s="4"/>
      <x:c r="V45" s="4"/>
      <x:c r="W45" s="4"/>
      <x:c r="X45" s="4"/>
      <x:c r="Y45" s="4"/>
      <x:c r="Z45" s="4"/>
    </x:row>
    <x:row r="46" ht="15" hidden="0" customHeight="1">
      <x:c r="A46" s="131"/>
      <x:c r="B46" s="131"/>
      <x:c r="C46" s="131"/>
      <x:c r="D46" s="131"/>
      <x:c r="E46" s="131"/>
      <x:c r="F46" s="131"/>
      <x:c r="G46" s="131"/>
      <x:c r="H46" s="131"/>
      <x:c r="I46" s="131"/>
      <x:c r="J46" s="131"/>
      <x:c r="K46" s="131"/>
      <x:c r="L46" s="131"/>
      <x:c r="M46" s="131"/>
      <x:c r="N46" s="131"/>
      <x:c r="O46" s="131"/>
      <x:c r="P46" s="131"/>
      <x:c r="Q46" s="131"/>
      <x:c r="R46" s="4"/>
      <x:c r="S46" s="4"/>
      <x:c r="T46" s="4"/>
      <x:c r="U46" s="4"/>
      <x:c r="V46" s="4"/>
      <x:c r="W46" s="4"/>
      <x:c r="X46" s="4"/>
      <x:c r="Y46" s="4"/>
      <x:c r="Z46" s="4"/>
    </x:row>
    <x:row r="47" ht="15" hidden="0" customHeight="1">
      <x:c r="A47" s="131"/>
      <x:c r="B47" s="131"/>
      <x:c r="C47" s="131"/>
      <x:c r="D47" s="131"/>
      <x:c r="E47" s="131"/>
      <x:c r="F47" s="131"/>
      <x:c r="G47" s="131"/>
      <x:c r="H47" s="131"/>
      <x:c r="I47" s="131"/>
      <x:c r="J47" s="131"/>
      <x:c r="K47" s="131"/>
      <x:c r="L47" s="131"/>
      <x:c r="M47" s="131"/>
      <x:c r="N47" s="131"/>
      <x:c r="O47" s="131"/>
      <x:c r="P47" s="131"/>
      <x:c r="Q47" s="131"/>
      <x:c r="R47" s="4"/>
      <x:c r="S47" s="4"/>
      <x:c r="T47" s="4"/>
      <x:c r="U47" s="4"/>
      <x:c r="V47" s="4"/>
      <x:c r="W47" s="4"/>
      <x:c r="X47" s="4"/>
      <x:c r="Y47" s="4"/>
      <x:c r="Z47" s="4"/>
    </x:row>
    <x:row r="48" ht="15" hidden="0" customHeight="1">
      <x:c r="A48" s="131"/>
      <x:c r="B48" s="131"/>
      <x:c r="C48" s="131"/>
      <x:c r="D48" s="131"/>
      <x:c r="E48" s="131"/>
      <x:c r="F48" s="131"/>
      <x:c r="G48" s="131"/>
      <x:c r="H48" s="131"/>
      <x:c r="I48" s="131"/>
      <x:c r="J48" s="131"/>
      <x:c r="K48" s="131"/>
      <x:c r="L48" s="131"/>
      <x:c r="M48" s="131"/>
      <x:c r="N48" s="131"/>
      <x:c r="O48" s="131"/>
      <x:c r="P48" s="131"/>
      <x:c r="Q48" s="131"/>
      <x:c r="R48" s="4"/>
      <x:c r="S48" s="4"/>
      <x:c r="T48" s="4"/>
      <x:c r="U48" s="4"/>
      <x:c r="V48" s="4"/>
      <x:c r="W48" s="4"/>
      <x:c r="X48" s="4"/>
      <x:c r="Y48" s="4"/>
      <x:c r="Z48" s="4"/>
    </x:row>
    <x:row r="49" ht="15" hidden="0" customHeight="1">
      <x:c r="A49" s="131"/>
      <x:c r="B49" s="131"/>
      <x:c r="C49" s="131"/>
      <x:c r="D49" s="131"/>
      <x:c r="E49" s="131"/>
      <x:c r="F49" s="131"/>
      <x:c r="G49" s="131"/>
      <x:c r="H49" s="131"/>
      <x:c r="I49" s="131"/>
      <x:c r="J49" s="131"/>
      <x:c r="K49" s="131"/>
      <x:c r="L49" s="131"/>
      <x:c r="M49" s="131"/>
      <x:c r="N49" s="131"/>
      <x:c r="O49" s="131"/>
      <x:c r="P49" s="131"/>
      <x:c r="Q49" s="131"/>
      <x:c r="R49" s="4"/>
      <x:c r="S49" s="4"/>
      <x:c r="T49" s="4"/>
      <x:c r="U49" s="4"/>
      <x:c r="V49" s="4"/>
      <x:c r="W49" s="4"/>
      <x:c r="X49" s="4"/>
      <x:c r="Y49" s="4"/>
      <x:c r="Z49" s="4"/>
    </x:row>
    <x:row r="50" ht="15" hidden="0" customHeight="1">
      <x:c r="A50" s="131"/>
      <x:c r="B50" s="131"/>
      <x:c r="C50" s="131"/>
      <x:c r="D50" s="131"/>
      <x:c r="E50" s="131"/>
      <x:c r="F50" s="131"/>
      <x:c r="G50" s="131"/>
      <x:c r="H50" s="131"/>
      <x:c r="I50" s="131"/>
      <x:c r="J50" s="131"/>
      <x:c r="K50" s="131"/>
      <x:c r="L50" s="131"/>
      <x:c r="M50" s="131"/>
      <x:c r="N50" s="131"/>
      <x:c r="O50" s="131"/>
      <x:c r="P50" s="131"/>
      <x:c r="Q50" s="131"/>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 ref="A4:B4"/>
    <x:mergeCell ref="C4:D4"/>
    <x:mergeCell ref="E4:F4"/>
    <x:mergeCell ref="G4:H4"/>
    <x:mergeCell ref="A8:H8"/>
    <x:mergeCell ref="A9:H12"/>
    <x:mergeCell ref="A14:H14"/>
  </x:mergeCells>
  <x:pageMargins left="0.7" right="0.7" top="0.75" bottom="0.75" header="0.3" footer="0.3"/>
  <x:drawing xmlns:r="http://schemas.openxmlformats.org/officeDocument/2006/relationships" r:id="Re84fca1b0c514404"/>
</x:worksheet>
</file>

<file path=xl/worksheets/sheet2.xml><?xml version="1.0" encoding="utf-8"?>
<x:worksheet xmlns:x="http://schemas.openxmlformats.org/spreadsheetml/2006/main">
  <x:sheetFormatPr defaultRowHeight="15"/>
  <x:cols>
    <x:col min="1" max="1" width="28" hidden="0" customWidth="1"/>
    <x:col min="2" max="2" width="38" hidden="0" customWidth="1"/>
    <x:col min="3" max="3" width="16" hidden="0" customWidth="1"/>
    <x:col min="4" max="4" width="70" hidden="0" customWidth="1"/>
  </x:cols>
  <x:sheetData>
    <x:row r="1" ht="28.799999237060547" hidden="0" customHeight="1">
      <x:c r="A1" s="9" t="str">
        <x:v>Ops2EBITDA — Pricing Waterfall &amp; Margin Leakage Model</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14" t="str">
        <x:v>Purpose</x:v>
      </x:c>
      <x:c r="B3" s="4"/>
      <x:c r="C3" s="4"/>
      <x:c r="D3" s="4"/>
      <x:c r="E3" s="4"/>
      <x:c r="F3" s="4"/>
      <x:c r="G3" s="4"/>
      <x:c r="H3" s="4"/>
      <x:c r="I3" s="4"/>
      <x:c r="J3" s="4"/>
      <x:c r="K3" s="4"/>
      <x:c r="L3" s="4"/>
      <x:c r="M3" s="4"/>
      <x:c r="N3" s="4"/>
      <x:c r="O3" s="4"/>
      <x:c r="P3" s="4"/>
      <x:c r="Q3" s="4"/>
      <x:c r="R3" s="4"/>
      <x:c r="S3" s="4"/>
      <x:c r="T3" s="4"/>
      <x:c r="U3" s="4"/>
      <x:c r="V3" s="4"/>
      <x:c r="W3" s="4"/>
      <x:c r="X3" s="4"/>
      <x:c r="Y3" s="4"/>
      <x:c r="Z3" s="4"/>
    </x:row>
    <x:row r="4" ht="118.80000305175781" hidden="0" customHeight="1">
      <x:c r="A4" s="19" t="str">
        <x:v>This workbook helps diagnose pricing leakage across customers, SKUs, discounts, rebates, freight absorption, and pocket margin. It is designed for PE operating teams, value creation analysts, and consultants who need to quantify price upside and translate it into EBITDA impact.</x:v>
      </x:c>
      <x:c r="B4" s="19"/>
      <x:c r="C4" s="19"/>
      <x:c r="D4" s="19"/>
      <x:c r="E4" s="19"/>
      <x:c r="F4" s="19"/>
      <x:c r="G4" s="19"/>
      <x:c r="H4" s="19"/>
      <x:c r="I4" s="4"/>
      <x:c r="J4" s="4"/>
      <x:c r="K4" s="4"/>
      <x:c r="L4" s="4"/>
      <x:c r="M4" s="4"/>
      <x:c r="N4" s="4"/>
      <x:c r="O4" s="4"/>
      <x:c r="P4" s="4"/>
      <x:c r="Q4" s="4"/>
      <x:c r="R4" s="4"/>
      <x:c r="S4" s="4"/>
      <x:c r="T4" s="4"/>
      <x:c r="U4" s="4"/>
      <x:c r="V4" s="4"/>
      <x:c r="W4" s="4"/>
      <x:c r="X4" s="4"/>
      <x:c r="Y4" s="4"/>
      <x:c r="Z4" s="4"/>
    </x:row>
    <x:row r="5" ht="15" hidden="0" customHeight="1">
      <x:c r="A5" s="19" t="str"/>
      <x:c r="B5" s="19"/>
      <x:c r="C5" s="19"/>
      <x:c r="D5" s="19"/>
      <x:c r="E5" s="19"/>
      <x:c r="F5" s="19"/>
      <x:c r="G5" s="19"/>
      <x:c r="H5" s="19"/>
      <x:c r="I5" s="4"/>
      <x:c r="J5" s="4"/>
      <x:c r="K5" s="4"/>
      <x:c r="L5" s="4"/>
      <x:c r="M5" s="4"/>
      <x:c r="N5" s="4"/>
      <x:c r="O5" s="4"/>
      <x:c r="P5" s="4"/>
      <x:c r="Q5" s="4"/>
      <x:c r="R5" s="4"/>
      <x:c r="S5" s="4"/>
      <x:c r="T5" s="4"/>
      <x:c r="U5" s="4"/>
      <x:c r="V5" s="4"/>
      <x:c r="W5" s="4"/>
      <x:c r="X5" s="4"/>
      <x:c r="Y5" s="4"/>
      <x:c r="Z5" s="4"/>
    </x:row>
    <x:row r="6" ht="15" hidden="0" customHeight="1">
      <x:c r="A6" s="25" t="str">
        <x:v>How to Use</x:v>
      </x:c>
      <x:c r="B6" s="19"/>
      <x:c r="C6" s="19"/>
      <x:c r="D6" s="19"/>
      <x:c r="E6" s="19"/>
      <x:c r="F6" s="19"/>
      <x:c r="G6" s="19"/>
      <x:c r="H6" s="19"/>
      <x:c r="I6" s="4"/>
      <x:c r="J6" s="4"/>
      <x:c r="K6" s="4"/>
      <x:c r="L6" s="4"/>
      <x:c r="M6" s="4"/>
      <x:c r="N6" s="4"/>
      <x:c r="O6" s="4"/>
      <x:c r="P6" s="4"/>
      <x:c r="Q6" s="4"/>
      <x:c r="R6" s="4"/>
      <x:c r="S6" s="4"/>
      <x:c r="T6" s="4"/>
      <x:c r="U6" s="4"/>
      <x:c r="V6" s="4"/>
      <x:c r="W6" s="4"/>
      <x:c r="X6" s="4"/>
      <x:c r="Y6" s="4"/>
      <x:c r="Z6" s="4"/>
    </x:row>
    <x:row r="7" ht="105.5999984741211" hidden="0" customHeight="1">
      <x:c r="A7" s="19" t="str">
        <x:v>1) Replace sample transaction data in Customer_SKU_Data. 2) Update assumptions in Inputs. 3) Review Waterfall, Segmentation, Scenarios, and Dashboard. 4) Use outputs to prioritize customer/SKU pricing actions and quantify EBITDA uplift.</x:v>
      </x:c>
      <x:c r="B7" s="19"/>
      <x:c r="C7" s="19"/>
      <x:c r="D7" s="19"/>
      <x:c r="E7" s="19"/>
      <x:c r="F7" s="19"/>
      <x:c r="G7" s="19"/>
      <x:c r="H7" s="19"/>
      <x:c r="I7" s="4"/>
      <x:c r="J7" s="4"/>
      <x:c r="K7" s="4"/>
      <x:c r="L7" s="4"/>
      <x:c r="M7" s="4"/>
      <x:c r="N7" s="4"/>
      <x:c r="O7" s="4"/>
      <x:c r="P7" s="4"/>
      <x:c r="Q7" s="4"/>
      <x:c r="R7" s="4"/>
      <x:c r="S7" s="4"/>
      <x:c r="T7" s="4"/>
      <x:c r="U7" s="4"/>
      <x:c r="V7" s="4"/>
      <x:c r="W7" s="4"/>
      <x:c r="X7" s="4"/>
      <x:c r="Y7" s="4"/>
      <x:c r="Z7" s="4"/>
    </x:row>
    <x:row r="8" ht="15" hidden="0" customHeight="1">
      <x:c r="A8" s="19"/>
      <x:c r="B8" s="19"/>
      <x:c r="C8" s="19"/>
      <x:c r="D8" s="19"/>
      <x:c r="E8" s="19"/>
      <x:c r="F8" s="19"/>
      <x:c r="G8" s="19"/>
      <x:c r="H8" s="19"/>
      <x:c r="I8" s="4"/>
      <x:c r="J8" s="4"/>
      <x:c r="K8" s="4"/>
      <x:c r="L8" s="4"/>
      <x:c r="M8" s="4"/>
      <x:c r="N8" s="4"/>
      <x:c r="O8" s="4"/>
      <x:c r="P8" s="4"/>
      <x:c r="Q8" s="4"/>
      <x:c r="R8" s="4"/>
      <x:c r="S8" s="4"/>
      <x:c r="T8" s="4"/>
      <x:c r="U8" s="4"/>
      <x:c r="V8" s="4"/>
      <x:c r="W8" s="4"/>
      <x:c r="X8" s="4"/>
      <x:c r="Y8" s="4"/>
      <x:c r="Z8" s="4"/>
    </x:row>
    <x:row r="9" ht="15" hidden="0" customHeight="1">
      <x:c r="A9" s="19"/>
      <x:c r="B9" s="19"/>
      <x:c r="C9" s="19"/>
      <x:c r="D9" s="19"/>
      <x:c r="E9" s="19"/>
      <x:c r="F9" s="19"/>
      <x:c r="G9" s="19"/>
      <x:c r="H9" s="19"/>
      <x:c r="I9" s="4"/>
      <x:c r="J9" s="4"/>
      <x:c r="K9" s="4"/>
      <x:c r="L9" s="4"/>
      <x:c r="M9" s="4"/>
      <x:c r="N9" s="4"/>
      <x:c r="O9" s="4"/>
      <x:c r="P9" s="4"/>
      <x:c r="Q9" s="4"/>
      <x:c r="R9" s="4"/>
      <x:c r="S9" s="4"/>
      <x:c r="T9" s="4"/>
      <x:c r="U9" s="4"/>
      <x:c r="V9" s="4"/>
      <x:c r="W9" s="4"/>
      <x:c r="X9" s="4"/>
      <x:c r="Y9" s="4"/>
      <x:c r="Z9" s="4"/>
    </x:row>
    <x:row r="10" ht="15" hidden="0" customHeight="1">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row>
    <x:row r="11" ht="15" hidden="0" customHeight="1">
      <x:c r="A11" s="29" t="str">
        <x:v>Workbook Map</x:v>
      </x:c>
      <x:c r="B11" s="29" t="str"/>
      <x:c r="C11" s="29" t="str"/>
      <x:c r="D11" s="29" t="str"/>
      <x:c r="E11" s="29" t="str"/>
      <x:c r="F11" s="29" t="str"/>
      <x:c r="G11" s="29" t="str"/>
      <x:c r="H11" s="29" t="str"/>
      <x:c r="I11" s="4"/>
      <x:c r="J11" s="4"/>
      <x:c r="K11" s="4"/>
      <x:c r="L11" s="4"/>
      <x:c r="M11" s="4"/>
      <x:c r="N11" s="4"/>
      <x:c r="O11" s="4"/>
      <x:c r="P11" s="4"/>
      <x:c r="Q11" s="4"/>
      <x:c r="R11" s="4"/>
      <x:c r="S11" s="4"/>
      <x:c r="T11" s="4"/>
      <x:c r="U11" s="4"/>
      <x:c r="V11" s="4"/>
      <x:c r="W11" s="4"/>
      <x:c r="X11" s="4"/>
      <x:c r="Y11" s="4"/>
      <x:c r="Z11" s="4"/>
    </x:row>
    <x:row r="12" ht="15" hidden="0" customHeight="1">
      <x:c r="A12" s="33" t="str">
        <x:v>Sheet</x:v>
      </x:c>
      <x:c r="B12" s="33" t="str">
        <x:v>Use</x:v>
      </x:c>
      <x:c r="C12" s="33" t="str">
        <x:v>Editable?</x:v>
      </x:c>
      <x:c r="D12" s="33" t="str">
        <x:v>Notes</x:v>
      </x:c>
      <x:c r="E12" s="4" t="str"/>
      <x:c r="F12" s="4" t="str"/>
      <x:c r="G12" s="4" t="str"/>
      <x:c r="H12" s="4" t="str"/>
      <x:c r="I12" s="4"/>
      <x:c r="J12" s="4"/>
      <x:c r="K12" s="4"/>
      <x:c r="L12" s="4"/>
      <x:c r="M12" s="4"/>
      <x:c r="N12" s="4"/>
      <x:c r="O12" s="4"/>
      <x:c r="P12" s="4"/>
      <x:c r="Q12" s="4"/>
      <x:c r="R12" s="4"/>
      <x:c r="S12" s="4"/>
      <x:c r="T12" s="4"/>
      <x:c r="U12" s="4"/>
      <x:c r="V12" s="4"/>
      <x:c r="W12" s="4"/>
      <x:c r="X12" s="4"/>
      <x:c r="Y12" s="4"/>
      <x:c r="Z12" s="4"/>
    </x:row>
    <x:row r="13" ht="15" hidden="0" customHeight="1">
      <x:c r="A13" s="36" t="str">
        <x:v>Inputs</x:v>
      </x:c>
      <x:c r="B13" s="36" t="str">
        <x:v>Scenario and pricing assumptions</x:v>
      </x:c>
      <x:c r="C13" s="36" t="str">
        <x:v>Yes</x:v>
      </x:c>
      <x:c r="D13" s="36" t="str">
        <x:v>Blue-font cells are user inputs; formulas link from these assumptions.</x:v>
      </x:c>
      <x:c r="E13" s="4" t="str"/>
      <x:c r="F13" s="4" t="str"/>
      <x:c r="G13" s="4" t="str"/>
      <x:c r="H13" s="4" t="str"/>
      <x:c r="I13" s="4"/>
      <x:c r="J13" s="4"/>
      <x:c r="K13" s="4"/>
      <x:c r="L13" s="4"/>
      <x:c r="M13" s="4"/>
      <x:c r="N13" s="4"/>
      <x:c r="O13" s="4"/>
      <x:c r="P13" s="4"/>
      <x:c r="Q13" s="4"/>
      <x:c r="R13" s="4"/>
      <x:c r="S13" s="4"/>
      <x:c r="T13" s="4"/>
      <x:c r="U13" s="4"/>
      <x:c r="V13" s="4"/>
      <x:c r="W13" s="4"/>
      <x:c r="X13" s="4"/>
      <x:c r="Y13" s="4"/>
      <x:c r="Z13" s="4"/>
    </x:row>
    <x:row r="14" ht="24" hidden="0" customHeight="1">
      <x:c r="A14" s="36" t="str">
        <x:v>Customer_SKU_Data</x:v>
      </x:c>
      <x:c r="B14" s="36" t="str">
        <x:v>Transaction-level sample data</x:v>
      </x:c>
      <x:c r="C14" s="36" t="str">
        <x:v>Yes</x:v>
      </x:c>
      <x:c r="D14" s="36" t="str">
        <x:v>Replace with customer/SKU transaction export. Formula columns can be preserved or copied down.</x:v>
      </x:c>
      <x:c r="E14" s="4" t="str"/>
      <x:c r="F14" s="4" t="str"/>
      <x:c r="G14" s="4" t="str"/>
      <x:c r="H14" s="4" t="str"/>
      <x:c r="I14" s="4"/>
      <x:c r="J14" s="4"/>
      <x:c r="K14" s="4"/>
      <x:c r="L14" s="4"/>
      <x:c r="M14" s="4"/>
      <x:c r="N14" s="4"/>
      <x:c r="O14" s="4"/>
      <x:c r="P14" s="4"/>
      <x:c r="Q14" s="4"/>
      <x:c r="R14" s="4"/>
      <x:c r="S14" s="4"/>
      <x:c r="T14" s="4"/>
      <x:c r="U14" s="4"/>
      <x:c r="V14" s="4"/>
      <x:c r="W14" s="4"/>
      <x:c r="X14" s="4"/>
      <x:c r="Y14" s="4"/>
      <x:c r="Z14" s="4"/>
    </x:row>
    <x:row r="15" ht="15" hidden="0" customHeight="1">
      <x:c r="A15" s="36" t="str">
        <x:v>Waterfall</x:v>
      </x:c>
      <x:c r="B15" s="36" t="str">
        <x:v>Gross-to-pocket revenue waterfall</x:v>
      </x:c>
      <x:c r="C15" s="36" t="str">
        <x:v>No</x:v>
      </x:c>
      <x:c r="D15" s="36" t="str">
        <x:v>Shows leakage from list revenue to pocket revenue.</x:v>
      </x:c>
      <x:c r="E15" s="4" t="str"/>
      <x:c r="F15" s="4" t="str"/>
      <x:c r="G15" s="4" t="str"/>
      <x:c r="H15" s="4" t="str"/>
      <x:c r="I15" s="4"/>
      <x:c r="J15" s="4"/>
      <x:c r="K15" s="4"/>
      <x:c r="L15" s="4"/>
      <x:c r="M15" s="4"/>
      <x:c r="N15" s="4"/>
      <x:c r="O15" s="4"/>
      <x:c r="P15" s="4"/>
      <x:c r="Q15" s="4"/>
      <x:c r="R15" s="4"/>
      <x:c r="S15" s="4"/>
      <x:c r="T15" s="4"/>
      <x:c r="U15" s="4"/>
      <x:c r="V15" s="4"/>
      <x:c r="W15" s="4"/>
      <x:c r="X15" s="4"/>
      <x:c r="Y15" s="4"/>
      <x:c r="Z15" s="4"/>
    </x:row>
    <x:row r="16" ht="15" hidden="0" customHeight="1">
      <x:c r="A16" s="36" t="str">
        <x:v>Segmentation</x:v>
      </x:c>
      <x:c r="B16" s="36" t="str">
        <x:v>Customer-level leakage and margin view</x:v>
      </x:c>
      <x:c r="C16" s="36" t="str">
        <x:v>No</x:v>
      </x:c>
      <x:c r="D16" s="36" t="str">
        <x:v>Prioritizes customers by leakage dollars and margin performance.</x:v>
      </x:c>
      <x:c r="E16" s="4" t="str"/>
      <x:c r="F16" s="4" t="str"/>
      <x:c r="G16" s="4" t="str"/>
      <x:c r="H16" s="4" t="str"/>
      <x:c r="I16" s="4"/>
      <x:c r="J16" s="4"/>
      <x:c r="K16" s="4"/>
      <x:c r="L16" s="4"/>
      <x:c r="M16" s="4"/>
      <x:c r="N16" s="4"/>
      <x:c r="O16" s="4"/>
      <x:c r="P16" s="4"/>
      <x:c r="Q16" s="4"/>
      <x:c r="R16" s="4"/>
      <x:c r="S16" s="4"/>
      <x:c r="T16" s="4"/>
      <x:c r="U16" s="4"/>
      <x:c r="V16" s="4"/>
      <x:c r="W16" s="4"/>
      <x:c r="X16" s="4"/>
      <x:c r="Y16" s="4"/>
      <x:c r="Z16" s="4"/>
    </x:row>
    <x:row r="17" ht="15" hidden="0" customHeight="1">
      <x:c r="A17" s="36" t="str">
        <x:v>Scenarios</x:v>
      </x:c>
      <x:c r="B17" s="36" t="str">
        <x:v>Price and leakage recapture scenarios</x:v>
      </x:c>
      <x:c r="C17" s="36" t="str">
        <x:v>Yes</x:v>
      </x:c>
      <x:c r="D17" s="36" t="str">
        <x:v>Blue-font assumptions drive incremental EBITDA and enterprise value.</x:v>
      </x:c>
      <x:c r="E17" s="4" t="str"/>
      <x:c r="F17" s="4" t="str"/>
      <x:c r="G17" s="4" t="str"/>
      <x:c r="H17" s="4" t="str"/>
      <x:c r="I17" s="4"/>
      <x:c r="J17" s="4"/>
      <x:c r="K17" s="4"/>
      <x:c r="L17" s="4"/>
      <x:c r="M17" s="4"/>
      <x:c r="N17" s="4"/>
      <x:c r="O17" s="4"/>
      <x:c r="P17" s="4"/>
      <x:c r="Q17" s="4"/>
      <x:c r="R17" s="4"/>
      <x:c r="S17" s="4"/>
      <x:c r="T17" s="4"/>
      <x:c r="U17" s="4"/>
      <x:c r="V17" s="4"/>
      <x:c r="W17" s="4"/>
      <x:c r="X17" s="4"/>
      <x:c r="Y17" s="4"/>
      <x:c r="Z17" s="4"/>
    </x:row>
    <x:row r="18" ht="15" hidden="0" customHeight="1">
      <x:c r="A18" s="36" t="str">
        <x:v>Dashboard</x:v>
      </x:c>
      <x:c r="B18" s="36" t="str">
        <x:v>Executive summary</x:v>
      </x:c>
      <x:c r="C18" s="36" t="str">
        <x:v>No</x:v>
      </x:c>
      <x:c r="D18" s="36" t="str">
        <x:v>Board-ready summary view with KPIs, leakage, and recommended focus areas.</x:v>
      </x:c>
      <x:c r="E18" s="4" t="str"/>
      <x:c r="F18" s="4" t="str"/>
      <x:c r="G18" s="4" t="str"/>
      <x:c r="H18" s="4" t="str"/>
      <x:c r="I18" s="4"/>
      <x:c r="J18" s="4"/>
      <x:c r="K18" s="4"/>
      <x:c r="L18" s="4"/>
      <x:c r="M18" s="4"/>
      <x:c r="N18" s="4"/>
      <x:c r="O18" s="4"/>
      <x:c r="P18" s="4"/>
      <x:c r="Q18" s="4"/>
      <x:c r="R18" s="4"/>
      <x:c r="S18" s="4"/>
      <x:c r="T18" s="4"/>
      <x:c r="U18" s="4"/>
      <x:c r="V18" s="4"/>
      <x:c r="W18" s="4"/>
      <x:c r="X18" s="4"/>
      <x:c r="Y18" s="4"/>
      <x:c r="Z18" s="4"/>
    </x:row>
    <x:row r="19" ht="15" hidden="0" customHeight="1">
      <x:c r="A19" s="36" t="str">
        <x:v>Sources</x:v>
      </x:c>
      <x:c r="B19" s="36" t="str">
        <x:v>Source and assumption notes</x:v>
      </x:c>
      <x:c r="C19" s="36" t="str">
        <x:v>Yes</x:v>
      </x:c>
      <x:c r="D19" s="36" t="str">
        <x:v>Documents that sample data is synthetic and assumptions are illustrative.</x:v>
      </x:c>
      <x:c r="E19" s="4" t="str"/>
      <x:c r="F19" s="4" t="str"/>
      <x:c r="G19" s="4" t="str"/>
      <x:c r="H19" s="4" t="str"/>
      <x:c r="I19" s="4"/>
      <x:c r="J19" s="4"/>
      <x:c r="K19" s="4"/>
      <x:c r="L19" s="4"/>
      <x:c r="M19" s="4"/>
      <x:c r="N19" s="4"/>
      <x:c r="O19" s="4"/>
      <x:c r="P19" s="4"/>
      <x:c r="Q19" s="4"/>
      <x:c r="R19" s="4"/>
      <x:c r="S19" s="4"/>
      <x:c r="T19" s="4"/>
      <x:c r="U19" s="4"/>
      <x:c r="V19" s="4"/>
      <x:c r="W19" s="4"/>
      <x:c r="X19" s="4"/>
      <x:c r="Y19" s="4"/>
      <x:c r="Z19" s="4"/>
    </x:row>
    <x:row r="20" ht="15" hidden="0" customHeight="1">
      <x:c r="A20" s="4" t="str"/>
      <x:c r="B20" s="4" t="str"/>
      <x:c r="C20" s="4" t="str"/>
      <x:c r="D20" s="4" t="str"/>
      <x:c r="E20" s="4" t="str"/>
      <x:c r="F20" s="4" t="str"/>
      <x:c r="G20" s="4" t="str"/>
      <x:c r="H20" s="4" t="str"/>
      <x:c r="I20" s="4"/>
      <x:c r="J20" s="4"/>
      <x:c r="K20" s="4"/>
      <x:c r="L20" s="4"/>
      <x:c r="M20" s="4"/>
      <x:c r="N20" s="4"/>
      <x:c r="O20" s="4"/>
      <x:c r="P20" s="4"/>
      <x:c r="Q20" s="4"/>
      <x:c r="R20" s="4"/>
      <x:c r="S20" s="4"/>
      <x:c r="T20" s="4"/>
      <x:c r="U20" s="4"/>
      <x:c r="V20" s="4"/>
      <x:c r="W20" s="4"/>
      <x:c r="X20" s="4"/>
      <x:c r="Y20" s="4"/>
      <x:c r="Z20" s="4"/>
    </x:row>
    <x:row r="21" ht="15" hidden="0"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 hidden="0"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 hidden="0"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 hidden="0"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 hidden="0"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 hidden="0"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 hidden="0"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 hidden="0"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 hidden="0"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 hidden="0"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 hidden="0"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 hidden="0"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 hidden="0"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 hidden="0"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 hidden="0"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 hidden="0"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 hidden="0"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 hidden="0"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 hidden="0"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 hidden="0"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 hidden="0"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 hidden="0"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 hidden="0"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 hidden="0"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 hidden="0"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 hidden="0"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 hidden="0"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 hidden="0"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 hidden="0"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 hidden="0"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4:H5"/>
    <x:mergeCell ref="A7:H9"/>
    <x:mergeCell ref="A11:H1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8" hidden="0" customWidth="1"/>
    <x:col min="3" max="3" width="12" hidden="0" customWidth="1"/>
    <x:col min="4" max="4" width="70" hidden="0" customWidth="1"/>
  </x:cols>
  <x:sheetData>
    <x:row r="1" ht="28.799999237060547" hidden="0" customHeight="1">
      <x:c r="A1" s="9" t="str">
        <x:v>Inputs &amp; Scenario Assumptions</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38" t="str">
        <x:v>Assumption</x:v>
      </x:c>
      <x:c r="B3" s="38" t="str">
        <x:v>Value</x:v>
      </x:c>
      <x:c r="C3" s="38" t="str">
        <x:v>Unit</x:v>
      </x:c>
      <x:c r="D3" s="38" t="str">
        <x:v>Description</x:v>
      </x:c>
      <x:c r="E3" s="4"/>
      <x:c r="F3" s="4"/>
      <x:c r="G3" s="4"/>
      <x:c r="H3" s="4"/>
      <x:c r="I3" s="4"/>
      <x:c r="J3" s="4"/>
      <x:c r="K3" s="4"/>
      <x:c r="L3" s="4"/>
      <x:c r="M3" s="4"/>
      <x:c r="N3" s="4"/>
      <x:c r="O3" s="4"/>
      <x:c r="P3" s="4"/>
      <x:c r="Q3" s="4"/>
      <x:c r="R3" s="4"/>
      <x:c r="S3" s="4"/>
      <x:c r="T3" s="4"/>
      <x:c r="U3" s="4"/>
      <x:c r="V3" s="4"/>
      <x:c r="W3" s="4"/>
      <x:c r="X3" s="4"/>
      <x:c r="Y3" s="4"/>
      <x:c r="Z3" s="4"/>
    </x:row>
    <x:row r="4" ht="15" hidden="0" customHeight="1">
      <x:c r="A4" s="36" t="str">
        <x:v>Target Price Increase</x:v>
      </x:c>
      <x:c r="B4" s="154" t="n">
        <x:v>0.025</x:v>
      </x:c>
      <x:c r="C4" s="36" t="str">
        <x:v>%</x:v>
      </x:c>
      <x:c r="D4" s="36" t="str">
        <x:v>Scenario price increase applied to current invoice price</x:v>
      </x:c>
      <x:c r="E4" s="4"/>
      <x:c r="F4" s="4"/>
      <x:c r="G4" s="4"/>
      <x:c r="H4" s="4"/>
      <x:c r="I4" s="4"/>
      <x:c r="J4" s="4"/>
      <x:c r="K4" s="4"/>
      <x:c r="L4" s="4"/>
      <x:c r="M4" s="4"/>
      <x:c r="N4" s="4"/>
      <x:c r="O4" s="4"/>
      <x:c r="P4" s="4"/>
      <x:c r="Q4" s="4"/>
      <x:c r="R4" s="4"/>
      <x:c r="S4" s="4"/>
      <x:c r="T4" s="4"/>
      <x:c r="U4" s="4"/>
      <x:c r="V4" s="4"/>
      <x:c r="W4" s="4"/>
      <x:c r="X4" s="4"/>
      <x:c r="Y4" s="4"/>
      <x:c r="Z4" s="4"/>
    </x:row>
    <x:row r="5" ht="15" hidden="0" customHeight="1">
      <x:c r="A5" s="36" t="str">
        <x:v>Volume Retention</x:v>
      </x:c>
      <x:c r="B5" s="154" t="n">
        <x:v>0.985</x:v>
      </x:c>
      <x:c r="C5" s="36" t="str">
        <x:v>%</x:v>
      </x:c>
      <x:c r="D5" s="36" t="str">
        <x:v>Expected retention of volume after price action</x:v>
      </x:c>
      <x:c r="E5" s="4"/>
      <x:c r="F5" s="4"/>
      <x:c r="G5" s="4"/>
      <x:c r="H5" s="4"/>
      <x:c r="I5" s="4"/>
      <x:c r="J5" s="4"/>
      <x:c r="K5" s="4"/>
      <x:c r="L5" s="4"/>
      <x:c r="M5" s="4"/>
      <x:c r="N5" s="4"/>
      <x:c r="O5" s="4"/>
      <x:c r="P5" s="4"/>
      <x:c r="Q5" s="4"/>
      <x:c r="R5" s="4"/>
      <x:c r="S5" s="4"/>
      <x:c r="T5" s="4"/>
      <x:c r="U5" s="4"/>
      <x:c r="V5" s="4"/>
      <x:c r="W5" s="4"/>
      <x:c r="X5" s="4"/>
      <x:c r="Y5" s="4"/>
      <x:c r="Z5" s="4"/>
    </x:row>
    <x:row r="6" ht="15" hidden="0" customHeight="1">
      <x:c r="A6" s="36" t="str">
        <x:v>Contract Discount Recapture</x:v>
      </x:c>
      <x:c r="B6" s="154" t="n">
        <x:v>0.2</x:v>
      </x:c>
      <x:c r="C6" s="36" t="str">
        <x:v>%</x:v>
      </x:c>
      <x:c r="D6" s="36" t="str">
        <x:v>Portion of contract discount leakage recovered</x:v>
      </x:c>
      <x:c r="E6" s="4"/>
      <x:c r="F6" s="4"/>
      <x:c r="G6" s="4"/>
      <x:c r="H6" s="4"/>
      <x:c r="I6" s="4"/>
      <x:c r="J6" s="4"/>
      <x:c r="K6" s="4"/>
      <x:c r="L6" s="4"/>
      <x:c r="M6" s="4"/>
      <x:c r="N6" s="4"/>
      <x:c r="O6" s="4"/>
      <x:c r="P6" s="4"/>
      <x:c r="Q6" s="4"/>
      <x:c r="R6" s="4"/>
      <x:c r="S6" s="4"/>
      <x:c r="T6" s="4"/>
      <x:c r="U6" s="4"/>
      <x:c r="V6" s="4"/>
      <x:c r="W6" s="4"/>
      <x:c r="X6" s="4"/>
      <x:c r="Y6" s="4"/>
      <x:c r="Z6" s="4"/>
    </x:row>
    <x:row r="7" ht="15" hidden="0" customHeight="1">
      <x:c r="A7" s="36" t="str">
        <x:v>Promo Discount Recapture</x:v>
      </x:c>
      <x:c r="B7" s="154" t="n">
        <x:v>0.25</x:v>
      </x:c>
      <x:c r="C7" s="36" t="str">
        <x:v>%</x:v>
      </x:c>
      <x:c r="D7" s="36" t="str">
        <x:v>Portion of promotional discount leakage recovered</x:v>
      </x:c>
      <x:c r="E7" s="4"/>
      <x:c r="F7" s="4"/>
      <x:c r="G7" s="4"/>
      <x:c r="H7" s="4"/>
      <x:c r="I7" s="4"/>
      <x:c r="J7" s="4"/>
      <x:c r="K7" s="4"/>
      <x:c r="L7" s="4"/>
      <x:c r="M7" s="4"/>
      <x:c r="N7" s="4"/>
      <x:c r="O7" s="4"/>
      <x:c r="P7" s="4"/>
      <x:c r="Q7" s="4"/>
      <x:c r="R7" s="4"/>
      <x:c r="S7" s="4"/>
      <x:c r="T7" s="4"/>
      <x:c r="U7" s="4"/>
      <x:c r="V7" s="4"/>
      <x:c r="W7" s="4"/>
      <x:c r="X7" s="4"/>
      <x:c r="Y7" s="4"/>
      <x:c r="Z7" s="4"/>
    </x:row>
    <x:row r="8" ht="15" hidden="0" customHeight="1">
      <x:c r="A8" s="36" t="str">
        <x:v>Rebate Reduction</x:v>
      </x:c>
      <x:c r="B8" s="154" t="n">
        <x:v>0.15</x:v>
      </x:c>
      <x:c r="C8" s="36" t="str">
        <x:v>%</x:v>
      </x:c>
      <x:c r="D8" s="36" t="str">
        <x:v>Portion of rebates eliminated or reduced</x:v>
      </x:c>
      <x:c r="E8" s="4"/>
      <x:c r="F8" s="4"/>
      <x:c r="G8" s="4"/>
      <x:c r="H8" s="4"/>
      <x:c r="I8" s="4"/>
      <x:c r="J8" s="4"/>
      <x:c r="K8" s="4"/>
      <x:c r="L8" s="4"/>
      <x:c r="M8" s="4"/>
      <x:c r="N8" s="4"/>
      <x:c r="O8" s="4"/>
      <x:c r="P8" s="4"/>
      <x:c r="Q8" s="4"/>
      <x:c r="R8" s="4"/>
      <x:c r="S8" s="4"/>
      <x:c r="T8" s="4"/>
      <x:c r="U8" s="4"/>
      <x:c r="V8" s="4"/>
      <x:c r="W8" s="4"/>
      <x:c r="X8" s="4"/>
      <x:c r="Y8" s="4"/>
      <x:c r="Z8" s="4"/>
    </x:row>
    <x:row r="9" ht="15" hidden="0" customHeight="1">
      <x:c r="A9" s="36" t="str">
        <x:v>Freight Recovery</x:v>
      </x:c>
      <x:c r="B9" s="154" t="n">
        <x:v>0.35</x:v>
      </x:c>
      <x:c r="C9" s="36" t="str">
        <x:v>%</x:v>
      </x:c>
      <x:c r="D9" s="36" t="str">
        <x:v>Portion of freight absorption passed through</x:v>
      </x:c>
      <x:c r="E9" s="4"/>
      <x:c r="F9" s="4"/>
      <x:c r="G9" s="4"/>
      <x:c r="H9" s="4"/>
      <x:c r="I9" s="4"/>
      <x:c r="J9" s="4"/>
      <x:c r="K9" s="4"/>
      <x:c r="L9" s="4"/>
      <x:c r="M9" s="4"/>
      <x:c r="N9" s="4"/>
      <x:c r="O9" s="4"/>
      <x:c r="P9" s="4"/>
      <x:c r="Q9" s="4"/>
      <x:c r="R9" s="4"/>
      <x:c r="S9" s="4"/>
      <x:c r="T9" s="4"/>
      <x:c r="U9" s="4"/>
      <x:c r="V9" s="4"/>
      <x:c r="W9" s="4"/>
      <x:c r="X9" s="4"/>
      <x:c r="Y9" s="4"/>
      <x:c r="Z9" s="4"/>
    </x:row>
    <x:row r="10" ht="15" hidden="0" customHeight="1">
      <x:c r="A10" s="36" t="str">
        <x:v>EBITDA Flow-Through</x:v>
      </x:c>
      <x:c r="B10" s="154" t="n">
        <x:v>0.9</x:v>
      </x:c>
      <x:c r="C10" s="36" t="str">
        <x:v>%</x:v>
      </x:c>
      <x:c r="D10" s="36" t="str">
        <x:v>Expected contribution of pricing actions to EBITDA</x:v>
      </x:c>
      <x:c r="E10" s="4"/>
      <x:c r="F10" s="4"/>
      <x:c r="G10" s="4"/>
      <x:c r="H10" s="4"/>
      <x:c r="I10" s="4"/>
      <x:c r="J10" s="4"/>
      <x:c r="K10" s="4"/>
      <x:c r="L10" s="4"/>
      <x:c r="M10" s="4"/>
      <x:c r="N10" s="4"/>
      <x:c r="O10" s="4"/>
      <x:c r="P10" s="4"/>
      <x:c r="Q10" s="4"/>
      <x:c r="R10" s="4"/>
      <x:c r="S10" s="4"/>
      <x:c r="T10" s="4"/>
      <x:c r="U10" s="4"/>
      <x:c r="V10" s="4"/>
      <x:c r="W10" s="4"/>
      <x:c r="X10" s="4"/>
      <x:c r="Y10" s="4"/>
      <x:c r="Z10" s="4"/>
    </x:row>
    <x:row r="11" ht="15" hidden="0" customHeight="1">
      <x:c r="A11" s="36" t="str">
        <x:v>Exit Multiple</x:v>
      </x:c>
      <x:c r="B11" s="155" t="n">
        <x:v>12</x:v>
      </x:c>
      <x:c r="C11" s="36" t="str">
        <x:v>x</x:v>
      </x:c>
      <x:c r="D11" s="36" t="str">
        <x:v>Enterprise value multiple applied to incremental EBITDA</x:v>
      </x:c>
      <x:c r="E11" s="4"/>
      <x:c r="F11" s="4"/>
      <x:c r="G11" s="4"/>
      <x:c r="H11" s="4"/>
      <x:c r="I11" s="4"/>
      <x:c r="J11" s="4"/>
      <x:c r="K11" s="4"/>
      <x:c r="L11" s="4"/>
      <x:c r="M11" s="4"/>
      <x:c r="N11" s="4"/>
      <x:c r="O11" s="4"/>
      <x:c r="P11" s="4"/>
      <x:c r="Q11" s="4"/>
      <x:c r="R11" s="4"/>
      <x:c r="S11" s="4"/>
      <x:c r="T11" s="4"/>
      <x:c r="U11" s="4"/>
      <x:c r="V11" s="4"/>
      <x:c r="W11" s="4"/>
      <x:c r="X11" s="4"/>
      <x:c r="Y11" s="4"/>
      <x:c r="Z11" s="4"/>
    </x:row>
    <x:row r="12" ht="15" hidden="0" customHeight="1">
      <x:c r="A12" s="36" t="str">
        <x:v>Low Margin Threshold</x:v>
      </x:c>
      <x:c r="B12" s="154" t="n">
        <x:v>0.3</x:v>
      </x:c>
      <x:c r="C12" s="36" t="str">
        <x:v>%</x:v>
      </x:c>
      <x:c r="D12" s="36" t="str">
        <x:v>Used to flag customers/SKUs below target pocket margin</x:v>
      </x:c>
      <x:c r="E12" s="4"/>
      <x:c r="F12" s="4"/>
      <x:c r="G12" s="4"/>
      <x:c r="H12" s="4"/>
      <x:c r="I12" s="4"/>
      <x:c r="J12" s="4"/>
      <x:c r="K12" s="4"/>
      <x:c r="L12" s="4"/>
      <x:c r="M12" s="4"/>
      <x:c r="N12" s="4"/>
      <x:c r="O12" s="4"/>
      <x:c r="P12" s="4"/>
      <x:c r="Q12" s="4"/>
      <x:c r="R12" s="4"/>
      <x:c r="S12" s="4"/>
      <x:c r="T12" s="4"/>
      <x:c r="U12" s="4"/>
      <x:c r="V12" s="4"/>
      <x:c r="W12" s="4"/>
      <x:c r="X12" s="4"/>
      <x:c r="Y12" s="4"/>
      <x:c r="Z12" s="4"/>
    </x:row>
    <x:row r="13" ht="15" hidden="0" customHeight="1">
      <x:c r="A13" s="36" t="str">
        <x:v>High Leakage Threshold</x:v>
      </x:c>
      <x:c r="B13" s="154" t="n">
        <x:v>0.12</x:v>
      </x:c>
      <x:c r="C13" s="36" t="str">
        <x:v>%</x:v>
      </x:c>
      <x:c r="D13" s="36" t="str">
        <x:v>Used to flag customers/SKUs with excessive leakage rate</x:v>
      </x:c>
      <x:c r="E13" s="4"/>
      <x:c r="F13" s="4"/>
      <x:c r="G13" s="4"/>
      <x:c r="H13" s="4"/>
      <x:c r="I13" s="4"/>
      <x:c r="J13" s="4"/>
      <x:c r="K13" s="4"/>
      <x:c r="L13" s="4"/>
      <x:c r="M13" s="4"/>
      <x:c r="N13" s="4"/>
      <x:c r="O13" s="4"/>
      <x:c r="P13" s="4"/>
      <x:c r="Q13" s="4"/>
      <x:c r="R13" s="4"/>
      <x:c r="S13" s="4"/>
      <x:c r="T13" s="4"/>
      <x:c r="U13" s="4"/>
      <x:c r="V13" s="4"/>
      <x:c r="W13" s="4"/>
      <x:c r="X13" s="4"/>
      <x:c r="Y13" s="4"/>
      <x:c r="Z13" s="4"/>
    </x:row>
    <x:row r="14" ht="15" hidden="0" customHeight="1">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ht="15" hidden="0" customHeight="1">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ht="15" hidden="0" customHeight="1">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ht="15" hidden="0" customHeight="1">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5" hidden="0" customHeight="1">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5" hidden="0" customHeight="1">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5" hidden="0" customHeight="1">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 hidden="0"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 hidden="0"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 hidden="0"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 hidden="0"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 hidden="0"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 hidden="0"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 hidden="0"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 hidden="0"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 hidden="0"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 hidden="0"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 hidden="0"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 hidden="0"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 hidden="0"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 hidden="0"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 hidden="0"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 hidden="0"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 hidden="0"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 hidden="0"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 hidden="0"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 hidden="0"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 hidden="0"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 hidden="0"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 hidden="0"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 hidden="0"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 hidden="0"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 hidden="0"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 hidden="0"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 hidden="0"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 hidden="0"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 hidden="0"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0" hidden="0" customWidth="1"/>
    <x:col min="3" max="3" width="22" hidden="0" customWidth="1"/>
    <x:col min="4" max="4" width="14" hidden="0" customWidth="1"/>
    <x:col min="5" max="5" width="12" hidden="0" customWidth="1"/>
    <x:col min="6" max="6" width="18" hidden="0" customWidth="1"/>
    <x:col min="7" max="7" width="10" hidden="0" customWidth="1"/>
    <x:col min="8" max="8" width="12" hidden="0" customWidth="1"/>
    <x:col min="9" max="9" width="12" hidden="0" customWidth="1"/>
    <x:col min="10" max="10" width="14" hidden="0" customWidth="1"/>
    <x:col min="11" max="11" width="14" hidden="0" customWidth="1"/>
    <x:col min="12" max="12" width="10" hidden="0" customWidth="1"/>
    <x:col min="13" max="13" width="15" hidden="0" customWidth="1"/>
    <x:col min="14" max="14" width="13" hidden="0" customWidth="1"/>
    <x:col min="15" max="15" width="14" hidden="0" customWidth="1"/>
    <x:col min="16" max="16" width="17" hidden="0" customWidth="1"/>
    <x:col min="17" max="17" width="16" hidden="0" customWidth="1"/>
    <x:col min="18" max="18" width="12" hidden="0" customWidth="1"/>
    <x:col min="19" max="19" width="13" hidden="0" customWidth="1"/>
    <x:col min="20" max="20" width="13" hidden="0" customWidth="1"/>
    <x:col min="21" max="21" width="13" hidden="0" customWidth="1"/>
    <x:col min="22" max="22" width="13" hidden="0" customWidth="1"/>
    <x:col min="23" max="23" width="14" hidden="0" customWidth="1"/>
    <x:col min="24" max="24" width="13" hidden="0" customWidth="1"/>
    <x:col min="25" max="25" width="28" hidden="0" customWidth="1"/>
  </x:cols>
  <x:sheetData>
    <x:row r="1" ht="28.799999237060547" hidden="0" customHeight="1">
      <x:c r="A1" s="9" t="str">
        <x:v>Customer / SKU Transaction Data</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76" t="str">
        <x:v>Txn_ID</x:v>
      </x:c>
      <x:c r="B3" s="76" t="str">
        <x:v>Date</x:v>
      </x:c>
      <x:c r="C3" s="76" t="str">
        <x:v>Customer</x:v>
      </x:c>
      <x:c r="D3" s="76" t="str">
        <x:v>Segment</x:v>
      </x:c>
      <x:c r="E3" s="76" t="str">
        <x:v>SKU</x:v>
      </x:c>
      <x:c r="F3" s="76" t="str">
        <x:v>Product_Family</x:v>
      </x:c>
      <x:c r="G3" s="76" t="str">
        <x:v>Units</x:v>
      </x:c>
      <x:c r="H3" s="76" t="str">
        <x:v>List_Price</x:v>
      </x:c>
      <x:c r="I3" s="76" t="str">
        <x:v>Unit_Cost</x:v>
      </x:c>
      <x:c r="J3" s="76" t="str">
        <x:v>Contract_Discount_%</x:v>
      </x:c>
      <x:c r="K3" s="76" t="str">
        <x:v>Promo_Discount_%</x:v>
      </x:c>
      <x:c r="L3" s="76" t="str">
        <x:v>Rebate_%</x:v>
      </x:c>
      <x:c r="M3" s="76" t="str">
        <x:v>Freight_Absorb_$</x:v>
      </x:c>
      <x:c r="N3" s="76" t="str">
        <x:v>Invoice_Price</x:v>
      </x:c>
      <x:c r="O3" s="76" t="str">
        <x:v>Gross_Revenue</x:v>
      </x:c>
      <x:c r="P3" s="76" t="str">
        <x:v>Contract_Discount_$</x:v>
      </x:c>
      <x:c r="Q3" s="76" t="str">
        <x:v>Promo_Discount_$</x:v>
      </x:c>
      <x:c r="R3" s="76" t="str">
        <x:v>Rebate_$</x:v>
      </x:c>
      <x:c r="S3" s="76" t="str">
        <x:v>Net_Revenue</x:v>
      </x:c>
      <x:c r="T3" s="76" t="str">
        <x:v>Standard_Cost</x:v>
      </x:c>
      <x:c r="U3" s="76" t="str">
        <x:v>Gross_Margin</x:v>
      </x:c>
      <x:c r="V3" s="76" t="str">
        <x:v>Pocket_Margin_%</x:v>
      </x:c>
      <x:c r="W3" s="76" t="str">
        <x:v>Total_Leakage_$</x:v>
      </x:c>
      <x:c r="X3" s="76" t="str">
        <x:v>Leakage_Rate_%</x:v>
      </x:c>
      <x:c r="Y3" s="76" t="str">
        <x:v>Suggested_Action</x:v>
      </x:c>
      <x:c r="Z3" s="4"/>
    </x:row>
    <x:row r="4" ht="15" hidden="0" customHeight="1">
      <x:c r="A4" s="77" t="str">
        <x:v>T-0001</x:v>
      </x:c>
      <x:c r="B4" s="78" t="n">
        <x:v>45937</x:v>
      </x:c>
      <x:c r="C4" s="77" t="str">
        <x:v>Keystone Health</x:v>
      </x:c>
      <x:c r="D4" s="77" t="str">
        <x:v>Enterprise</x:v>
      </x:c>
      <x:c r="E4" s="77" t="str">
        <x:v>SKU-110</x:v>
      </x:c>
      <x:c r="F4" s="77" t="str">
        <x:v>Core Platform</x:v>
      </x:c>
      <x:c r="G4" s="79" t="n">
        <x:v>8</x:v>
      </x:c>
      <x:c r="H4" s="80" t="n">
        <x:v>160</x:v>
      </x:c>
      <x:c r="I4" s="80" t="n">
        <x:v>84</x:v>
      </x:c>
      <x:c r="J4" s="81" t="n">
        <x:v>0.10860792906600324</x:v>
      </x:c>
      <x:c r="K4" s="81" t="n">
        <x:v>0.01628826116698254</x:v>
      </x:c>
      <x:c r="L4" s="81" t="n">
        <x:v>0.030354541367230932</x:v>
      </x:c>
      <x:c r="M4" s="80" t="n">
        <x:v>152.17200751837484</x:v>
      </x:c>
      <x:c r="N4" s="82" t="n">
        <x:f>H4*(1-J4)*(1-K4)</x:f>
        <x:v>140.2996550528714</x:v>
      </x:c>
      <x:c r="O4" s="82" t="n">
        <x:f>G4*H4</x:f>
        <x:v>1280</x:v>
      </x:c>
      <x:c r="P4" s="82" t="n">
        <x:f>O4*J4</x:f>
        <x:v>139.01814920448413</x:v>
      </x:c>
      <x:c r="Q4" s="82" t="n">
        <x:f>(O4-P4)*K4</x:f>
        <x:v>18.584610372544468</x:v>
      </x:c>
      <x:c r="R4" s="82" t="n">
        <x:f>O4*L4</x:f>
        <x:v>38.85381295005559</x:v>
      </x:c>
      <x:c r="S4" s="82" t="n">
        <x:f>G4*N4-R4-M4</x:f>
        <x:v>931.3714199545409</x:v>
      </x:c>
      <x:c r="T4" s="82" t="n">
        <x:f>G4*I4</x:f>
        <x:v>672</x:v>
      </x:c>
      <x:c r="U4" s="82" t="n">
        <x:f>S4-T4</x:f>
        <x:v>259.3714199545409</x:v>
      </x:c>
      <x:c r="V4" s="83" t="n">
        <x:f>IFERROR(U4/S4,0)</x:f>
        <x:v>0.2784833358610043</x:v>
      </x:c>
      <x:c r="W4" s="82" t="n">
        <x:f>P4+Q4+R4+M4</x:f>
        <x:v>348.628580045459</x:v>
      </x:c>
      <x:c r="X4" s="83" t="n">
        <x:f>IFERROR(W4/O4,0)</x:f>
        <x:v>0.27236607816051484</x:v>
      </x:c>
      <x:c r="Y4" s="84" t="str">
        <x:f>IF(AND(V4&lt;Inputs!$B$12,X4&gt;Inputs!$B$13),"Priority: margin + leakage",IF(V4&lt;Inputs!$B$12,"Margin review",IF(X4&gt;Inputs!$B$13,"Leakage review","Monitor")))</x:f>
        <x:v>Priority: margin + leakage</x:v>
      </x:c>
      <x:c r="Z4" s="4"/>
    </x:row>
    <x:row r="5" ht="15" hidden="0" customHeight="1">
      <x:c r="A5" s="77" t="str">
        <x:v>T-0002</x:v>
      </x:c>
      <x:c r="B5" s="78" t="n">
        <x:v>45759</x:v>
      </x:c>
      <x:c r="C5" s="77" t="str">
        <x:v>Boreal Clinics</x:v>
      </x:c>
      <x:c r="D5" s="77" t="str">
        <x:v>Enterprise</x:v>
      </x:c>
      <x:c r="E5" s="77" t="str">
        <x:v>SKU-400</x:v>
      </x:c>
      <x:c r="F5" s="77" t="str">
        <x:v>Premium Module</x:v>
      </x:c>
      <x:c r="G5" s="79" t="n">
        <x:v>9</x:v>
      </x:c>
      <x:c r="H5" s="80" t="n">
        <x:v>420</x:v>
      </x:c>
      <x:c r="I5" s="80" t="n">
        <x:v>180</x:v>
      </x:c>
      <x:c r="J5" s="81" t="n">
        <x:v>0.13415605497076105</x:v>
      </x:c>
      <x:c r="K5" s="81" t="n">
        <x:v>0.0382686601941571</x:v>
      </x:c>
      <x:c r="L5" s="81" t="n">
        <x:v>0.02082772850491562</x:v>
      </x:c>
      <x:c r="M5" s="80" t="n">
        <x:v>119.29778642590425</x:v>
      </x:c>
      <x:c r="N5" s="82" t="n">
        <x:f>H5*(1-J5)*(1-K5)</x:f>
        <x:v>349.7378880726136</x:v>
      </x:c>
      <x:c r="O5" s="82" t="n">
        <x:f>G5*H5</x:f>
        <x:v>3780</x:v>
      </x:c>
      <x:c r="P5" s="82" t="n">
        <x:f>O5*J5</x:f>
        <x:v>507.1098877894768</x:v>
      </x:c>
      <x:c r="Q5" s="82" t="n">
        <x:f>(O5-P5)*K5</x:f>
        <x:v>125.24911955700122</x:v>
      </x:c>
      <x:c r="R5" s="82" t="n">
        <x:f>O5*L5</x:f>
        <x:v>78.72881374858105</x:v>
      </x:c>
      <x:c r="S5" s="82" t="n">
        <x:f>G5*N5-R5-M5</x:f>
        <x:v>2949.614392479037</x:v>
      </x:c>
      <x:c r="T5" s="82" t="n">
        <x:f>G5*I5</x:f>
        <x:v>1620</x:v>
      </x:c>
      <x:c r="U5" s="82" t="n">
        <x:f>S5-T5</x:f>
        <x:v>1329.6143924790372</x:v>
      </x:c>
      <x:c r="V5" s="83" t="n">
        <x:f>IFERROR(U5/S5,0)</x:f>
        <x:v>0.45077566609021985</x:v>
      </x:c>
      <x:c r="W5" s="82" t="n">
        <x:f>P5+Q5+R5+M5</x:f>
        <x:v>830.3856075209633</x:v>
      </x:c>
      <x:c r="X5" s="83" t="n">
        <x:f>IFERROR(W5/O5,0)</x:f>
        <x:v>0.21967873214840297</x:v>
      </x:c>
      <x:c r="Y5" s="84" t="str">
        <x:f>IF(AND(V5&lt;Inputs!$B$12,X5&gt;Inputs!$B$13),"Priority: margin + leakage",IF(V5&lt;Inputs!$B$12,"Margin review",IF(X5&gt;Inputs!$B$13,"Leakage review","Monitor")))</x:f>
        <x:v>Leakage review</x:v>
      </x:c>
      <x:c r="Z5" s="4"/>
    </x:row>
    <x:row r="6" ht="15" hidden="0" customHeight="1">
      <x:c r="A6" s="77" t="str">
        <x:v>T-0003</x:v>
      </x:c>
      <x:c r="B6" s="78" t="n">
        <x:v>45739</x:v>
      </x:c>
      <x:c r="C6" s="77" t="str">
        <x:v>Lakeside Clinics</x:v>
      </x:c>
      <x:c r="D6" s="77" t="str">
        <x:v>SMB</x:v>
      </x:c>
      <x:c r="E6" s="77" t="str">
        <x:v>SKU-400</x:v>
      </x:c>
      <x:c r="F6" s="77" t="str">
        <x:v>Premium Module</x:v>
      </x:c>
      <x:c r="G6" s="79" t="n">
        <x:v>33</x:v>
      </x:c>
      <x:c r="H6" s="80" t="n">
        <x:v>420</x:v>
      </x:c>
      <x:c r="I6" s="80" t="n">
        <x:v>180</x:v>
      </x:c>
      <x:c r="J6" s="81" t="n">
        <x:v>0.01816589191565914</x:v>
      </x:c>
      <x:c r="K6" s="81" t="n">
        <x:v>0.041333290409959395</x:v>
      </x:c>
      <x:c r="L6" s="81" t="n">
        <x:v>0.04568344344234526</x:v>
      </x:c>
      <x:c r="M6" s="80" t="n">
        <x:v>8.897071200377056</x:v>
      </x:c>
      <x:c r="N6" s="82" t="n">
        <x:f>H6*(1-J6)*(1-K6)</x:f>
        <x:v>395.32570297940475</x:v>
      </x:c>
      <x:c r="O6" s="82" t="n">
        <x:f>G6*H6</x:f>
        <x:v>13860</x:v>
      </x:c>
      <x:c r="P6" s="82" t="n">
        <x:f>O6*J6</x:f>
        <x:v>251.77926195103566</x:v>
      </x:c>
      <x:c r="Q6" s="82" t="n">
        <x:f>(O6-P6)*K6</x:f>
        <x:v>562.4725397286098</x:v>
      </x:c>
      <x:c r="R6" s="82" t="n">
        <x:f>O6*L6</x:f>
        <x:v>633.1725261109053</x:v>
      </x:c>
      <x:c r="S6" s="82" t="n">
        <x:f>G6*N6-R6-M6</x:f>
        <x:v>12403.678601009073</x:v>
      </x:c>
      <x:c r="T6" s="82" t="n">
        <x:f>G6*I6</x:f>
        <x:v>5940</x:v>
      </x:c>
      <x:c r="U6" s="82" t="n">
        <x:f>S6-T6</x:f>
        <x:v>6463.678601009073</x:v>
      </x:c>
      <x:c r="V6" s="83" t="n">
        <x:f>IFERROR(U6/S6,0)</x:f>
        <x:v>0.5211098101560964</x:v>
      </x:c>
      <x:c r="W6" s="82" t="n">
        <x:f>P6+Q6+R6+M6</x:f>
        <x:v>1456.3213989909277</x:v>
      </x:c>
      <x:c r="X6" s="83" t="n">
        <x:f>IFERROR(W6/O6,0)</x:f>
        <x:v>0.10507369401088945</x:v>
      </x:c>
      <x:c r="Y6" s="84" t="str">
        <x:f>IF(AND(V6&lt;Inputs!$B$12,X6&gt;Inputs!$B$13),"Priority: margin + leakage",IF(V6&lt;Inputs!$B$12,"Margin review",IF(X6&gt;Inputs!$B$13,"Leakage review","Monitor")))</x:f>
        <x:v>Monitor</x:v>
      </x:c>
      <x:c r="Z6" s="4"/>
    </x:row>
    <x:row r="7" ht="15" hidden="0" customHeight="1">
      <x:c r="A7" s="77" t="str">
        <x:v>T-0004</x:v>
      </x:c>
      <x:c r="B7" s="78" t="n">
        <x:v>45852</x:v>
      </x:c>
      <x:c r="C7" s="77" t="str">
        <x:v>Lakeside Clinics</x:v>
      </x:c>
      <x:c r="D7" s="77" t="str">
        <x:v>SMB</x:v>
      </x:c>
      <x:c r="E7" s="77" t="str">
        <x:v>SKU-400</x:v>
      </x:c>
      <x:c r="F7" s="77" t="str">
        <x:v>Premium Module</x:v>
      </x:c>
      <x:c r="G7" s="79" t="n">
        <x:v>48</x:v>
      </x:c>
      <x:c r="H7" s="80" t="n">
        <x:v>420</x:v>
      </x:c>
      <x:c r="I7" s="80" t="n">
        <x:v>180</x:v>
      </x:c>
      <x:c r="J7" s="81" t="n">
        <x:v>0.040753521360171054</x:v>
      </x:c>
      <x:c r="K7" s="81" t="n">
        <x:v>0.05214318745796858</x:v>
      </x:c>
      <x:c r="L7" s="81" t="n">
        <x:v>0.02570784834888973</x:v>
      </x:c>
      <x:c r="M7" s="80" t="n">
        <x:v>78.35689694266873</x:v>
      </x:c>
      <x:c r="N7" s="82" t="n">
        <x:f>H7*(1-J7)*(1-K7)</x:f>
        <x:v>381.87589006800073</x:v>
      </x:c>
      <x:c r="O7" s="82" t="n">
        <x:f>G7*H7</x:f>
        <x:v>20160</x:v>
      </x:c>
      <x:c r="P7" s="82" t="n">
        <x:f>O7*J7</x:f>
        <x:v>821.5909906210485</x:v>
      </x:c>
      <x:c r="Q7" s="82" t="n">
        <x:f>(O7-P7)*K7</x:f>
        <x:v>1008.3662861149152</x:v>
      </x:c>
      <x:c r="R7" s="82" t="n">
        <x:f>O7*L7</x:f>
        <x:v>518.2702227136169</x:v>
      </x:c>
      <x:c r="S7" s="82" t="n">
        <x:f>G7*N7-R7-M7</x:f>
        <x:v>17733.41560360775</x:v>
      </x:c>
      <x:c r="T7" s="82" t="n">
        <x:f>G7*I7</x:f>
        <x:v>8640</x:v>
      </x:c>
      <x:c r="U7" s="82" t="n">
        <x:f>S7-T7</x:f>
        <x:v>9093.415603607751</x:v>
      </x:c>
      <x:c r="V7" s="83" t="n">
        <x:f>IFERROR(U7/S7,0)</x:f>
        <x:v>0.5127842152279877</x:v>
      </x:c>
      <x:c r="W7" s="82" t="n">
        <x:f>P7+Q7+R7+M7</x:f>
        <x:v>2426.5843963922493</x:v>
      </x:c>
      <x:c r="X7" s="83" t="n">
        <x:f>IFERROR(W7/O7,0)</x:f>
        <x:v>0.1203662895035838</x:v>
      </x:c>
      <x:c r="Y7" s="84" t="str">
        <x:f>IF(AND(V7&lt;Inputs!$B$12,X7&gt;Inputs!$B$13),"Priority: margin + leakage",IF(V7&lt;Inputs!$B$12,"Margin review",IF(X7&gt;Inputs!$B$13,"Leakage review","Monitor")))</x:f>
        <x:v>Leakage review</x:v>
      </x:c>
      <x:c r="Z7" s="4"/>
    </x:row>
    <x:row r="8" ht="15" hidden="0" customHeight="1">
      <x:c r="A8" s="77" t="str">
        <x:v>T-0005</x:v>
      </x:c>
      <x:c r="B8" s="78" t="n">
        <x:v>45721</x:v>
      </x:c>
      <x:c r="C8" s="77" t="str">
        <x:v>Boreal Clinics</x:v>
      </x:c>
      <x:c r="D8" s="77" t="str">
        <x:v>Enterprise</x:v>
      </x:c>
      <x:c r="E8" s="77" t="str">
        <x:v>SKU-310</x:v>
      </x:c>
      <x:c r="F8" s="77" t="str">
        <x:v>Services</x:v>
      </x:c>
      <x:c r="G8" s="79" t="n">
        <x:v>113</x:v>
      </x:c>
      <x:c r="H8" s="80" t="n">
        <x:v>260</x:v>
      </x:c>
      <x:c r="I8" s="80" t="n">
        <x:v>165</x:v>
      </x:c>
      <x:c r="J8" s="81" t="n">
        <x:v>0.09472803256992234</x:v>
      </x:c>
      <x:c r="K8" s="81" t="n">
        <x:v>0.05128020164102881</x:v>
      </x:c>
      <x:c r="L8" s="81" t="n">
        <x:v>0.04422552733963242</x:v>
      </x:c>
      <x:c r="M8" s="80" t="n">
        <x:v>56.96248038197164</x:v>
      </x:c>
      <x:c r="N8" s="82" t="n">
        <x:f>H8*(1-J8)*(1-K8)</x:f>
        <x:v>223.300853984076</x:v>
      </x:c>
      <x:c r="O8" s="82" t="n">
        <x:f>G8*H8</x:f>
        <x:v>29380</x:v>
      </x:c>
      <x:c r="P8" s="82" t="n">
        <x:f>O8*J8</x:f>
        <x:v>2783.109596904318</x:v>
      </x:c>
      <x:c r="Q8" s="82" t="n">
        <x:f>(O8-P8)*K8</x:f>
        <x:v>1363.8939028950906</x:v>
      </x:c>
      <x:c r="R8" s="82" t="n">
        <x:f>O8*L8</x:f>
        <x:v>1299.3459932384005</x:v>
      </x:c>
      <x:c r="S8" s="82" t="n">
        <x:f>G8*N8-R8-M8</x:f>
        <x:v>23876.688026580217</x:v>
      </x:c>
      <x:c r="T8" s="82" t="n">
        <x:f>G8*I8</x:f>
        <x:v>18645</x:v>
      </x:c>
      <x:c r="U8" s="82" t="n">
        <x:f>S8-T8</x:f>
        <x:v>5231.688026580217</x:v>
      </x:c>
      <x:c r="V8" s="83" t="n">
        <x:f>IFERROR(U8/S8,0)</x:f>
        <x:v>0.21911280244379586</x:v>
      </x:c>
      <x:c r="W8" s="82" t="n">
        <x:f>P8+Q8+R8+M8</x:f>
        <x:v>5503.311973419781</x:v>
      </x:c>
      <x:c r="X8" s="83" t="n">
        <x:f>IFERROR(W8/O8,0)</x:f>
        <x:v>0.18731490719604427</x:v>
      </x:c>
      <x:c r="Y8" s="84" t="str">
        <x:f>IF(AND(V8&lt;Inputs!$B$12,X8&gt;Inputs!$B$13),"Priority: margin + leakage",IF(V8&lt;Inputs!$B$12,"Margin review",IF(X8&gt;Inputs!$B$13,"Leakage review","Monitor")))</x:f>
        <x:v>Priority: margin + leakage</x:v>
      </x:c>
      <x:c r="Z8" s="4"/>
    </x:row>
    <x:row r="9" ht="15" hidden="0" customHeight="1">
      <x:c r="A9" s="77" t="str">
        <x:v>T-0006</x:v>
      </x:c>
      <x:c r="B9" s="78" t="n">
        <x:v>45756</x:v>
      </x:c>
      <x:c r="C9" s="77" t="str">
        <x:v>Granite Medical</x:v>
      </x:c>
      <x:c r="D9" s="77" t="str">
        <x:v>Mid-Market</x:v>
      </x:c>
      <x:c r="E9" s="77" t="str">
        <x:v>SKU-110</x:v>
      </x:c>
      <x:c r="F9" s="77" t="str">
        <x:v>Core Platform</x:v>
      </x:c>
      <x:c r="G9" s="79" t="n">
        <x:v>75</x:v>
      </x:c>
      <x:c r="H9" s="80" t="n">
        <x:v>160</x:v>
      </x:c>
      <x:c r="I9" s="80" t="n">
        <x:v>84</x:v>
      </x:c>
      <x:c r="J9" s="81" t="n">
        <x:v>0.06179820389033439</x:v>
      </x:c>
      <x:c r="K9" s="81" t="n">
        <x:v>0.0689014209486881</x:v>
      </x:c>
      <x:c r="L9" s="81" t="n">
        <x:v>0.037824634486854365</x:v>
      </x:c>
      <x:c r="M9" s="80" t="n">
        <x:v>63.79048678943517</x:v>
      </x:c>
      <x:c r="N9" s="82" t="n">
        <x:f>H9*(1-J9)*(1-K9)</x:f>
        <x:v>139.76933747537572</x:v>
      </x:c>
      <x:c r="O9" s="82" t="n">
        <x:f>G9*H9</x:f>
        <x:v>12000</x:v>
      </x:c>
      <x:c r="P9" s="82" t="n">
        <x:f>O9*J9</x:f>
        <x:v>741.5784466840128</x:v>
      </x:c>
      <x:c r="Q9" s="82" t="n">
        <x:f>(O9-P9)*K9</x:f>
        <x:v>775.7212426628079</x:v>
      </x:c>
      <x:c r="R9" s="82" t="n">
        <x:f>O9*L9</x:f>
        <x:v>453.8956138422524</x:v>
      </x:c>
      <x:c r="S9" s="82" t="n">
        <x:f>G9*N9-R9-M9</x:f>
        <x:v>9965.01421002149</x:v>
      </x:c>
      <x:c r="T9" s="82" t="n">
        <x:f>G9*I9</x:f>
        <x:v>6300</x:v>
      </x:c>
      <x:c r="U9" s="82" t="n">
        <x:f>S9-T9</x:f>
        <x:v>3665.0142100214907</x:v>
      </x:c>
      <x:c r="V9" s="83" t="n">
        <x:f>IFERROR(U9/S9,0)</x:f>
        <x:v>0.3677881569236204</x:v>
      </x:c>
      <x:c r="W9" s="82" t="n">
        <x:f>P9+Q9+R9+M9</x:f>
        <x:v>2034.9857899785081</x:v>
      </x:c>
      <x:c r="X9" s="83" t="n">
        <x:f>IFERROR(W9/O9,0)</x:f>
        <x:v>0.16958214916487568</x:v>
      </x:c>
      <x:c r="Y9" s="84" t="str">
        <x:f>IF(AND(V9&lt;Inputs!$B$12,X9&gt;Inputs!$B$13),"Priority: margin + leakage",IF(V9&lt;Inputs!$B$12,"Margin review",IF(X9&gt;Inputs!$B$13,"Leakage review","Monitor")))</x:f>
        <x:v>Leakage review</x:v>
      </x:c>
      <x:c r="Z9" s="4"/>
    </x:row>
    <x:row r="10" ht="15" hidden="0" customHeight="1">
      <x:c r="A10" s="77" t="str">
        <x:v>T-0007</x:v>
      </x:c>
      <x:c r="B10" s="78" t="n">
        <x:v>45709</x:v>
      </x:c>
      <x:c r="C10" s="77" t="str">
        <x:v>Lakeside Clinics</x:v>
      </x:c>
      <x:c r="D10" s="77" t="str">
        <x:v>SMB</x:v>
      </x:c>
      <x:c r="E10" s="77" t="str">
        <x:v>SKU-110</x:v>
      </x:c>
      <x:c r="F10" s="77" t="str">
        <x:v>Core Platform</x:v>
      </x:c>
      <x:c r="G10" s="79" t="n">
        <x:v>10</x:v>
      </x:c>
      <x:c r="H10" s="80" t="n">
        <x:v>160</x:v>
      </x:c>
      <x:c r="I10" s="80" t="n">
        <x:v>84</x:v>
      </x:c>
      <x:c r="J10" s="81" t="n">
        <x:v>0.013105667725294402</x:v>
      </x:c>
      <x:c r="K10" s="81" t="n">
        <x:v>0</x:v>
      </x:c>
      <x:c r="L10" s="81" t="n">
        <x:v>0.060241355616926034</x:v>
      </x:c>
      <x:c r="M10" s="80" t="n">
        <x:v>103.5909688579884</x:v>
      </x:c>
      <x:c r="N10" s="82" t="n">
        <x:f>H10*(1-J10)*(1-K10)</x:f>
        <x:v>157.9030931639529</x:v>
      </x:c>
      <x:c r="O10" s="82" t="n">
        <x:f>G10*H10</x:f>
        <x:v>1600</x:v>
      </x:c>
      <x:c r="P10" s="82" t="n">
        <x:f>O10*J10</x:f>
        <x:v>20.969068360471045</x:v>
      </x:c>
      <x:c r="Q10" s="82" t="n">
        <x:f>(O10-P10)*K10</x:f>
        <x:v>0</x:v>
      </x:c>
      <x:c r="R10" s="82" t="n">
        <x:f>O10*L10</x:f>
        <x:v>96.38616898708166</x:v>
      </x:c>
      <x:c r="S10" s="82" t="n">
        <x:f>G10*N10-R10-M10</x:f>
        <x:v>1379.053793794459</x:v>
      </x:c>
      <x:c r="T10" s="82" t="n">
        <x:f>G10*I10</x:f>
        <x:v>840</x:v>
      </x:c>
      <x:c r="U10" s="82" t="n">
        <x:f>S10-T10</x:f>
        <x:v>539.0537937944589</x:v>
      </x:c>
      <x:c r="V10" s="83" t="n">
        <x:f>IFERROR(U10/S10,0)</x:f>
        <x:v>0.39088670523232844</x:v>
      </x:c>
      <x:c r="W10" s="82" t="n">
        <x:f>P10+Q10+R10+M10</x:f>
        <x:v>220.9462062055411</x:v>
      </x:c>
      <x:c r="X10" s="83" t="n">
        <x:f>IFERROR(W10/O10,0)</x:f>
        <x:v>0.13809137887846318</x:v>
      </x:c>
      <x:c r="Y10" s="84" t="str">
        <x:f>IF(AND(V10&lt;Inputs!$B$12,X10&gt;Inputs!$B$13),"Priority: margin + leakage",IF(V10&lt;Inputs!$B$12,"Margin review",IF(X10&gt;Inputs!$B$13,"Leakage review","Monitor")))</x:f>
        <x:v>Leakage review</x:v>
      </x:c>
      <x:c r="Z10" s="4"/>
    </x:row>
    <x:row r="11" ht="15" hidden="0" customHeight="1">
      <x:c r="A11" s="77" t="str">
        <x:v>T-0008</x:v>
      </x:c>
      <x:c r="B11" s="78" t="n">
        <x:v>45794</x:v>
      </x:c>
      <x:c r="C11" s="77" t="str">
        <x:v>Granite Medical</x:v>
      </x:c>
      <x:c r="D11" s="77" t="str">
        <x:v>Mid-Market</x:v>
      </x:c>
      <x:c r="E11" s="77" t="str">
        <x:v>SKU-300</x:v>
      </x:c>
      <x:c r="F11" s="77" t="str">
        <x:v>Services</x:v>
      </x:c>
      <x:c r="G11" s="79" t="n">
        <x:v>63</x:v>
      </x:c>
      <x:c r="H11" s="80" t="n">
        <x:v>125</x:v>
      </x:c>
      <x:c r="I11" s="80" t="n">
        <x:v>78</x:v>
      </x:c>
      <x:c r="J11" s="81" t="n">
        <x:v>0.053055508717314</x:v>
      </x:c>
      <x:c r="K11" s="81" t="n">
        <x:v>0.017065722654585565</x:v>
      </x:c>
      <x:c r="L11" s="81" t="n">
        <x:v>0.016540571065551752</x:v>
      </x:c>
      <x:c r="M11" s="80" t="n">
        <x:v>64.97305601907127</x:v>
      </x:c>
      <x:c r="N11" s="82" t="n">
        <x:f>H11*(1-J11)*(1-K11)</x:f>
        <x:v>116.348024903146</x:v>
      </x:c>
      <x:c r="O11" s="82" t="n">
        <x:f>G11*H11</x:f>
        <x:v>7875</x:v>
      </x:c>
      <x:c r="P11" s="82" t="n">
        <x:f>O11*J11</x:f>
        <x:v>417.81213114884775</x:v>
      </x:c>
      <x:c r="Q11" s="82" t="n">
        <x:f>(O11-P11)*K11</x:f>
        <x:v>127.26229995295375</x:v>
      </x:c>
      <x:c r="R11" s="82" t="n">
        <x:f>O11*L11</x:f>
        <x:v>130.25699714122004</x:v>
      </x:c>
      <x:c r="S11" s="82" t="n">
        <x:f>G11*N11-R11-M11</x:f>
        <x:v>7134.695515737906</x:v>
      </x:c>
      <x:c r="T11" s="82" t="n">
        <x:f>G11*I11</x:f>
        <x:v>4914</x:v>
      </x:c>
      <x:c r="U11" s="82" t="n">
        <x:f>S11-T11</x:f>
        <x:v>2220.695515737906</x:v>
      </x:c>
      <x:c r="V11" s="83" t="n">
        <x:f>IFERROR(U11/S11,0)</x:f>
        <x:v>0.3112530185541114</x:v>
      </x:c>
      <x:c r="W11" s="82" t="n">
        <x:f>P11+Q11+R11+M11</x:f>
        <x:v>740.3044842620928</x:v>
      </x:c>
      <x:c r="X11" s="83" t="n">
        <x:f>IFERROR(W11/O11,0)</x:f>
        <x:v>0.09400691863645623</x:v>
      </x:c>
      <x:c r="Y11" s="84" t="str">
        <x:f>IF(AND(V11&lt;Inputs!$B$12,X11&gt;Inputs!$B$13),"Priority: margin + leakage",IF(V11&lt;Inputs!$B$12,"Margin review",IF(X11&gt;Inputs!$B$13,"Leakage review","Monitor")))</x:f>
        <x:v>Monitor</x:v>
      </x:c>
      <x:c r="Z11" s="4"/>
    </x:row>
    <x:row r="12" ht="15" hidden="0" customHeight="1">
      <x:c r="A12" s="77" t="str">
        <x:v>T-0009</x:v>
      </x:c>
      <x:c r="B12" s="78" t="n">
        <x:v>45796</x:v>
      </x:c>
      <x:c r="C12" s="77" t="str">
        <x:v>Lakeside Clinics</x:v>
      </x:c>
      <x:c r="D12" s="77" t="str">
        <x:v>SMB</x:v>
      </x:c>
      <x:c r="E12" s="77" t="str">
        <x:v>SKU-110</x:v>
      </x:c>
      <x:c r="F12" s="77" t="str">
        <x:v>Core Platform</x:v>
      </x:c>
      <x:c r="G12" s="79" t="n">
        <x:v>82</x:v>
      </x:c>
      <x:c r="H12" s="80" t="n">
        <x:v>160</x:v>
      </x:c>
      <x:c r="I12" s="80" t="n">
        <x:v>84</x:v>
      </x:c>
      <x:c r="J12" s="81" t="n">
        <x:v>0.01638681286186459</x:v>
      </x:c>
      <x:c r="K12" s="81" t="n">
        <x:v>0.011824024280556032</x:v>
      </x:c>
      <x:c r="L12" s="81" t="n">
        <x:v>0.025653596066183202</x:v>
      </x:c>
      <x:c r="M12" s="80" t="n">
        <x:v>220.197227608099</x:v>
      </x:c>
      <x:c r="N12" s="82" t="n">
        <x:f>H12*(1-J12)*(1-K12)</x:f>
        <x:v>155.51726734891824</x:v>
      </x:c>
      <x:c r="O12" s="82" t="n">
        <x:f>G12*H12</x:f>
        <x:v>13120</x:v>
      </x:c>
      <x:c r="P12" s="82" t="n">
        <x:f>O12*J12</x:f>
        <x:v>214.99498474766344</x:v>
      </x:c>
      <x:c r="Q12" s="82" t="n">
        <x:f>(O12-P12)*K12</x:f>
        <x:v>152.589092641041</x:v>
      </x:c>
      <x:c r="R12" s="82" t="n">
        <x:f>O12*L12</x:f>
        <x:v>336.5751803883236</x:v>
      </x:c>
      <x:c r="S12" s="82" t="n">
        <x:f>G12*N12-R12-M12</x:f>
        <x:v>12195.643514614872</x:v>
      </x:c>
      <x:c r="T12" s="82" t="n">
        <x:f>G12*I12</x:f>
        <x:v>6888</x:v>
      </x:c>
      <x:c r="U12" s="82" t="n">
        <x:f>S12-T12</x:f>
        <x:v>5307.643514614872</x:v>
      </x:c>
      <x:c r="V12" s="83" t="n">
        <x:f>IFERROR(U12/S12,0)</x:f>
        <x:v>0.43520815512968714</x:v>
      </x:c>
      <x:c r="W12" s="82" t="n">
        <x:f>P12+Q12+R12+M12</x:f>
        <x:v>924.3564853851269</x:v>
      </x:c>
      <x:c r="X12" s="83" t="n">
        <x:f>IFERROR(W12/O12,0)</x:f>
        <x:v>0.07045400041045174</x:v>
      </x:c>
      <x:c r="Y12" s="84" t="str">
        <x:f>IF(AND(V12&lt;Inputs!$B$12,X12&gt;Inputs!$B$13),"Priority: margin + leakage",IF(V12&lt;Inputs!$B$12,"Margin review",IF(X12&gt;Inputs!$B$13,"Leakage review","Monitor")))</x:f>
        <x:v>Monitor</x:v>
      </x:c>
      <x:c r="Z12" s="4"/>
    </x:row>
    <x:row r="13" ht="15" hidden="0" customHeight="1">
      <x:c r="A13" s="77" t="str">
        <x:v>T-0010</x:v>
      </x:c>
      <x:c r="B13" s="78" t="n">
        <x:v>45819</x:v>
      </x:c>
      <x:c r="C13" s="77" t="str">
        <x:v>Keystone Health</x:v>
      </x:c>
      <x:c r="D13" s="77" t="str">
        <x:v>Enterprise</x:v>
      </x:c>
      <x:c r="E13" s="77" t="str">
        <x:v>SKU-210</x:v>
      </x:c>
      <x:c r="F13" s="77" t="str">
        <x:v>Analytics</x:v>
      </x:c>
      <x:c r="G13" s="79" t="n">
        <x:v>92</x:v>
      </x:c>
      <x:c r="H13" s="80" t="n">
        <x:v>310</x:v>
      </x:c>
      <x:c r="I13" s="80" t="n">
        <x:v>142</x:v>
      </x:c>
      <x:c r="J13" s="81" t="n">
        <x:v>0.08306632085062537</x:v>
      </x:c>
      <x:c r="K13" s="81" t="n">
        <x:v>0.07318179211242004</x:v>
      </x:c>
      <x:c r="L13" s="81" t="n">
        <x:v>0.05638842010251574</x:v>
      </x:c>
      <x:c r="M13" s="80" t="n">
        <x:v>177.54965580377282</x:v>
      </x:c>
      <x:c r="N13" s="82" t="n">
        <x:f>H13*(1-J13)*(1-K13)</x:f>
        <x:v>263.44755707090644</x:v>
      </x:c>
      <x:c r="O13" s="82" t="n">
        <x:f>G13*H13</x:f>
        <x:v>28520</x:v>
      </x:c>
      <x:c r="P13" s="82" t="n">
        <x:f>O13*J13</x:f>
        <x:v>2369.0514706598356</x:v>
      </x:c>
      <x:c r="Q13" s="82" t="n">
        <x:f>(O13-P13)*K13</x:f>
        <x:v>1913.7732788167684</x:v>
      </x:c>
      <x:c r="R13" s="82" t="n">
        <x:f>O13*L13</x:f>
        <x:v>1608.197741323749</x:v>
      </x:c>
      <x:c r="S13" s="82" t="n">
        <x:f>G13*N13-R13-M13</x:f>
        <x:v>22451.42785339587</x:v>
      </x:c>
      <x:c r="T13" s="82" t="n">
        <x:f>G13*I13</x:f>
        <x:v>13064</x:v>
      </x:c>
      <x:c r="U13" s="82" t="n">
        <x:f>S13-T13</x:f>
        <x:v>9387.427853395871</x:v>
      </x:c>
      <x:c r="V13" s="83" t="n">
        <x:f>IFERROR(U13/S13,0)</x:f>
        <x:v>0.41812164084592884</x:v>
      </x:c>
      <x:c r="W13" s="82" t="n">
        <x:f>P13+Q13+R13+M13</x:f>
        <x:v>6068.572146604126</x:v>
      </x:c>
      <x:c r="X13" s="83" t="n">
        <x:f>IFERROR(W13/O13,0)</x:f>
        <x:v>0.21278303459341255</x:v>
      </x:c>
      <x:c r="Y13" s="84" t="str">
        <x:f>IF(AND(V13&lt;Inputs!$B$12,X13&gt;Inputs!$B$13),"Priority: margin + leakage",IF(V13&lt;Inputs!$B$12,"Margin review",IF(X13&gt;Inputs!$B$13,"Leakage review","Monitor")))</x:f>
        <x:v>Leakage review</x:v>
      </x:c>
      <x:c r="Z13" s="4"/>
    </x:row>
    <x:row r="14" ht="15" hidden="0" customHeight="1">
      <x:c r="A14" s="77" t="str">
        <x:v>T-0011</x:v>
      </x:c>
      <x:c r="B14" s="78" t="n">
        <x:v>45993</x:v>
      </x:c>
      <x:c r="C14" s="77" t="str">
        <x:v>Granite Medical</x:v>
      </x:c>
      <x:c r="D14" s="77" t="str">
        <x:v>Mid-Market</x:v>
      </x:c>
      <x:c r="E14" s="77" t="str">
        <x:v>SKU-300</x:v>
      </x:c>
      <x:c r="F14" s="77" t="str">
        <x:v>Services</x:v>
      </x:c>
      <x:c r="G14" s="79" t="n">
        <x:v>13</x:v>
      </x:c>
      <x:c r="H14" s="80" t="n">
        <x:v>125</x:v>
      </x:c>
      <x:c r="I14" s="80" t="n">
        <x:v>78</x:v>
      </x:c>
      <x:c r="J14" s="81" t="n">
        <x:v>0.09532729095342982</x:v>
      </x:c>
      <x:c r="K14" s="81" t="n">
        <x:v>0.09303521292251829</x:v>
      </x:c>
      <x:c r="L14" s="81" t="n">
        <x:v>0.03615941981991644</x:v>
      </x:c>
      <x:c r="M14" s="80" t="n">
        <x:v>20.623861654277515</x:v>
      </x:c>
      <x:c r="N14" s="82" t="n">
        <x:f>H14*(1-J14)*(1-K14)</x:f>
        <x:v>102.56328636690388</x:v>
      </x:c>
      <x:c r="O14" s="82" t="n">
        <x:f>G14*H14</x:f>
        <x:v>1625</x:v>
      </x:c>
      <x:c r="P14" s="82" t="n">
        <x:f>O14*J14</x:f>
        <x:v>154.90684779932346</x:v>
      </x:c>
      <x:c r="Q14" s="82" t="n">
        <x:f>(O14-P14)*K14</x:f>
        <x:v>136.77042943092601</x:v>
      </x:c>
      <x:c r="R14" s="82" t="n">
        <x:f>O14*L14</x:f>
        <x:v>58.759057207364215</x:v>
      </x:c>
      <x:c r="S14" s="82" t="n">
        <x:f>G14*N14-R14-M14</x:f>
        <x:v>1253.9398039081086</x:v>
      </x:c>
      <x:c r="T14" s="82" t="n">
        <x:f>G14*I14</x:f>
        <x:v>1014</x:v>
      </x:c>
      <x:c r="U14" s="82" t="n">
        <x:f>S14-T14</x:f>
        <x:v>239.93980390810862</x:v>
      </x:c>
      <x:c r="V14" s="83" t="n">
        <x:f>IFERROR(U14/S14,0)</x:f>
        <x:v>0.1913487419095374</x:v>
      </x:c>
      <x:c r="W14" s="82" t="n">
        <x:f>P14+Q14+R14+M14</x:f>
        <x:v>371.0601960918912</x:v>
      </x:c>
      <x:c r="X14" s="83" t="n">
        <x:f>IFERROR(W14/O14,0)</x:f>
        <x:v>0.22834473605654845</x:v>
      </x:c>
      <x:c r="Y14" s="84" t="str">
        <x:f>IF(AND(V14&lt;Inputs!$B$12,X14&gt;Inputs!$B$13),"Priority: margin + leakage",IF(V14&lt;Inputs!$B$12,"Margin review",IF(X14&gt;Inputs!$B$13,"Leakage review","Monitor")))</x:f>
        <x:v>Priority: margin + leakage</x:v>
      </x:c>
      <x:c r="Z14" s="4"/>
    </x:row>
    <x:row r="15" ht="15" hidden="0" customHeight="1">
      <x:c r="A15" s="77" t="str">
        <x:v>T-0012</x:v>
      </x:c>
      <x:c r="B15" s="78" t="n">
        <x:v>45945</x:v>
      </x:c>
      <x:c r="C15" s="77" t="str">
        <x:v>Harbor Care</x:v>
      </x:c>
      <x:c r="D15" s="77" t="str">
        <x:v>Enterprise</x:v>
      </x:c>
      <x:c r="E15" s="77" t="str">
        <x:v>SKU-400</x:v>
      </x:c>
      <x:c r="F15" s="77" t="str">
        <x:v>Premium Module</x:v>
      </x:c>
      <x:c r="G15" s="79" t="n">
        <x:v>118</x:v>
      </x:c>
      <x:c r="H15" s="80" t="n">
        <x:v>420</x:v>
      </x:c>
      <x:c r="I15" s="80" t="n">
        <x:v>180</x:v>
      </x:c>
      <x:c r="J15" s="81" t="n">
        <x:v>0.14332957459355372</x:v>
      </x:c>
      <x:c r="K15" s="81" t="n">
        <x:v>0.02082917912965748</x:v>
      </x:c>
      <x:c r="L15" s="81" t="n">
        <x:v>0.023735306073389244</x:v>
      </x:c>
      <x:c r="M15" s="80" t="n">
        <x:v>187.43723573607076</x:v>
      </x:c>
      <x:c r="N15" s="82" t="n">
        <x:f>H15*(1-J15)*(1-K15)</x:f>
        <x:v>352.30720713744176</x:v>
      </x:c>
      <x:c r="O15" s="82" t="n">
        <x:f>G15*H15</x:f>
        <x:v>49560</x:v>
      </x:c>
      <x:c r="P15" s="82" t="n">
        <x:f>O15*J15</x:f>
        <x:v>7103.413716856522</x:v>
      </x:c>
      <x:c r="Q15" s="82" t="n">
        <x:f>(O15-P15)*K15</x:f>
        <x:v>884.3358409253541</x:v>
      </x:c>
      <x:c r="R15" s="82" t="n">
        <x:f>O15*L15</x:f>
        <x:v>1176.321768997171</x:v>
      </x:c>
      <x:c r="S15" s="82" t="n">
        <x:f>G15*N15-R15-M15</x:f>
        <x:v>40208.49143748489</x:v>
      </x:c>
      <x:c r="T15" s="82" t="n">
        <x:f>G15*I15</x:f>
        <x:v>21240</x:v>
      </x:c>
      <x:c r="U15" s="82" t="n">
        <x:f>S15-T15</x:f>
        <x:v>18968.49143748489</x:v>
      </x:c>
      <x:c r="V15" s="83" t="n">
        <x:f>IFERROR(U15/S15,0)</x:f>
        <x:v>0.4717533724680172</x:v>
      </x:c>
      <x:c r="W15" s="82" t="n">
        <x:f>P15+Q15+R15+M15</x:f>
        <x:v>9351.508562515119</x:v>
      </x:c>
      <x:c r="X15" s="83" t="n">
        <x:f>IFERROR(W15/O15,0)</x:f>
        <x:v>0.18869064896116058</x:v>
      </x:c>
      <x:c r="Y15" s="84" t="str">
        <x:f>IF(AND(V15&lt;Inputs!$B$12,X15&gt;Inputs!$B$13),"Priority: margin + leakage",IF(V15&lt;Inputs!$B$12,"Margin review",IF(X15&gt;Inputs!$B$13,"Leakage review","Monitor")))</x:f>
        <x:v>Leakage review</x:v>
      </x:c>
      <x:c r="Z15" s="4"/>
    </x:row>
    <x:row r="16" ht="15" hidden="0" customHeight="1">
      <x:c r="A16" s="77" t="str">
        <x:v>T-0013</x:v>
      </x:c>
      <x:c r="B16" s="78" t="n">
        <x:v>45728</x:v>
      </x:c>
      <x:c r="C16" s="77" t="str">
        <x:v>Ironwood Ops</x:v>
      </x:c>
      <x:c r="D16" s="77" t="str">
        <x:v>SMB</x:v>
      </x:c>
      <x:c r="E16" s="77" t="str">
        <x:v>SKU-300</x:v>
      </x:c>
      <x:c r="F16" s="77" t="str">
        <x:v>Services</x:v>
      </x:c>
      <x:c r="G16" s="79" t="n">
        <x:v>100</x:v>
      </x:c>
      <x:c r="H16" s="80" t="n">
        <x:v>125</x:v>
      </x:c>
      <x:c r="I16" s="80" t="n">
        <x:v>78</x:v>
      </x:c>
      <x:c r="J16" s="81" t="n">
        <x:v>0</x:v>
      </x:c>
      <x:c r="K16" s="81" t="n">
        <x:v>0.007938034524032172</x:v>
      </x:c>
      <x:c r="L16" s="81" t="n">
        <x:v>0.014780744580546706</x:v>
      </x:c>
      <x:c r="M16" s="80" t="n">
        <x:v>61.63043954066686</x:v>
      </x:c>
      <x:c r="N16" s="82" t="n">
        <x:f>H16*(1-J16)*(1-K16)</x:f>
        <x:v>124.00774568449597</x:v>
      </x:c>
      <x:c r="O16" s="82" t="n">
        <x:f>G16*H16</x:f>
        <x:v>12500</x:v>
      </x:c>
      <x:c r="P16" s="82" t="n">
        <x:f>O16*J16</x:f>
        <x:v>0</x:v>
      </x:c>
      <x:c r="Q16" s="82" t="n">
        <x:f>(O16-P16)*K16</x:f>
        <x:v>99.22543155040215</x:v>
      </x:c>
      <x:c r="R16" s="82" t="n">
        <x:f>O16*L16</x:f>
        <x:v>184.75930725683384</x:v>
      </x:c>
      <x:c r="S16" s="82" t="n">
        <x:f>G16*N16-R16-M16</x:f>
        <x:v>12154.384821652096</x:v>
      </x:c>
      <x:c r="T16" s="82" t="n">
        <x:f>G16*I16</x:f>
        <x:v>7800</x:v>
      </x:c>
      <x:c r="U16" s="82" t="n">
        <x:f>S16-T16</x:f>
        <x:v>4354.384821652096</x:v>
      </x:c>
      <x:c r="V16" s="83" t="n">
        <x:f>IFERROR(U16/S16,0)</x:f>
        <x:v>0.35825629067586345</x:v>
      </x:c>
      <x:c r="W16" s="82" t="n">
        <x:f>P16+Q16+R16+M16</x:f>
        <x:v>345.6151783479029</x:v>
      </x:c>
      <x:c r="X16" s="83" t="n">
        <x:f>IFERROR(W16/O16,0)</x:f>
        <x:v>0.02764921426783223</x:v>
      </x:c>
      <x:c r="Y16" s="84" t="str">
        <x:f>IF(AND(V16&lt;Inputs!$B$12,X16&gt;Inputs!$B$13),"Priority: margin + leakage",IF(V16&lt;Inputs!$B$12,"Margin review",IF(X16&gt;Inputs!$B$13,"Leakage review","Monitor")))</x:f>
        <x:v>Monitor</x:v>
      </x:c>
      <x:c r="Z16" s="4"/>
    </x:row>
    <x:row r="17" ht="15" hidden="0" customHeight="1">
      <x:c r="A17" s="77" t="str">
        <x:v>T-0014</x:v>
      </x:c>
      <x:c r="B17" s="78" t="n">
        <x:v>46006</x:v>
      </x:c>
      <x:c r="C17" s="77" t="str">
        <x:v>Ironwood Ops</x:v>
      </x:c>
      <x:c r="D17" s="77" t="str">
        <x:v>SMB</x:v>
      </x:c>
      <x:c r="E17" s="77" t="str">
        <x:v>SKU-410</x:v>
      </x:c>
      <x:c r="F17" s="77" t="str">
        <x:v>Premium Module</x:v>
      </x:c>
      <x:c r="G17" s="79" t="n">
        <x:v>16</x:v>
      </x:c>
      <x:c r="H17" s="80" t="n">
        <x:v>575</x:v>
      </x:c>
      <x:c r="I17" s="80" t="n">
        <x:v>235</x:v>
      </x:c>
      <x:c r="J17" s="81" t="n">
        <x:v>0.047525999618427815</x:v>
      </x:c>
      <x:c r="K17" s="81" t="n">
        <x:v>0</x:v>
      </x:c>
      <x:c r="L17" s="81" t="n">
        <x:v>0.031092837299680695</x:v>
      </x:c>
      <x:c r="M17" s="80" t="n">
        <x:v>163.54435792173373</x:v>
      </x:c>
      <x:c r="N17" s="82" t="n">
        <x:f>H17*(1-J17)*(1-K17)</x:f>
        <x:v>547.672550219404</x:v>
      </x:c>
      <x:c r="O17" s="82" t="n">
        <x:f>G17*H17</x:f>
        <x:v>9200</x:v>
      </x:c>
      <x:c r="P17" s="82" t="n">
        <x:f>O17*J17</x:f>
        <x:v>437.2391964895359</x:v>
      </x:c>
      <x:c r="Q17" s="82" t="n">
        <x:f>(O17-P17)*K17</x:f>
        <x:v>0</x:v>
      </x:c>
      <x:c r="R17" s="82" t="n">
        <x:f>O17*L17</x:f>
        <x:v>286.0541031570624</x:v>
      </x:c>
      <x:c r="S17" s="82" t="n">
        <x:f>G17*N17-R17-M17</x:f>
        <x:v>8313.162342431668</x:v>
      </x:c>
      <x:c r="T17" s="82" t="n">
        <x:f>G17*I17</x:f>
        <x:v>3760</x:v>
      </x:c>
      <x:c r="U17" s="82" t="n">
        <x:f>S17-T17</x:f>
        <x:v>4553.162342431668</x:v>
      </x:c>
      <x:c r="V17" s="83" t="n">
        <x:f>IFERROR(U17/S17,0)</x:f>
        <x:v>0.547705211913356</x:v>
      </x:c>
      <x:c r="W17" s="82" t="n">
        <x:f>P17+Q17+R17+M17</x:f>
        <x:v>886.8376575683321</x:v>
      </x:c>
      <x:c r="X17" s="83" t="n">
        <x:f>IFERROR(W17/O17,0)</x:f>
        <x:v>0.09639539756177523</x:v>
      </x:c>
      <x:c r="Y17" s="84" t="str">
        <x:f>IF(AND(V17&lt;Inputs!$B$12,X17&gt;Inputs!$B$13),"Priority: margin + leakage",IF(V17&lt;Inputs!$B$12,"Margin review",IF(X17&gt;Inputs!$B$13,"Leakage review","Monitor")))</x:f>
        <x:v>Monitor</x:v>
      </x:c>
      <x:c r="Z17" s="4"/>
    </x:row>
    <x:row r="18" ht="15" hidden="0" customHeight="1">
      <x:c r="A18" s="77" t="str">
        <x:v>T-0015</x:v>
      </x:c>
      <x:c r="B18" s="78" t="n">
        <x:v>45663</x:v>
      </x:c>
      <x:c r="C18" s="77" t="str">
        <x:v>Granite Medical</x:v>
      </x:c>
      <x:c r="D18" s="77" t="str">
        <x:v>Mid-Market</x:v>
      </x:c>
      <x:c r="E18" s="77" t="str">
        <x:v>SKU-110</x:v>
      </x:c>
      <x:c r="F18" s="77" t="str">
        <x:v>Core Platform</x:v>
      </x:c>
      <x:c r="G18" s="79" t="n">
        <x:v>54</x:v>
      </x:c>
      <x:c r="H18" s="80" t="n">
        <x:v>160</x:v>
      </x:c>
      <x:c r="I18" s="80" t="n">
        <x:v>84</x:v>
      </x:c>
      <x:c r="J18" s="81" t="n">
        <x:v>0</x:v>
      </x:c>
      <x:c r="K18" s="81" t="n">
        <x:v>0.09140793240269787</x:v>
      </x:c>
      <x:c r="L18" s="81" t="n">
        <x:v>0</x:v>
      </x:c>
      <x:c r="M18" s="80" t="n">
        <x:v>76.4171880071138</x:v>
      </x:c>
      <x:c r="N18" s="82" t="n">
        <x:f>H18*(1-J18)*(1-K18)</x:f>
        <x:v>145.37473081556834</x:v>
      </x:c>
      <x:c r="O18" s="82" t="n">
        <x:f>G18*H18</x:f>
        <x:v>8640</x:v>
      </x:c>
      <x:c r="P18" s="82" t="n">
        <x:f>O18*J18</x:f>
        <x:v>0</x:v>
      </x:c>
      <x:c r="Q18" s="82" t="n">
        <x:f>(O18-P18)*K18</x:f>
        <x:v>789.7645359593096</x:v>
      </x:c>
      <x:c r="R18" s="82" t="n">
        <x:f>O18*L18</x:f>
        <x:v>0</x:v>
      </x:c>
      <x:c r="S18" s="82" t="n">
        <x:f>G18*N18-R18-M18</x:f>
        <x:v>7773.818276033577</x:v>
      </x:c>
      <x:c r="T18" s="82" t="n">
        <x:f>G18*I18</x:f>
        <x:v>4536</x:v>
      </x:c>
      <x:c r="U18" s="82" t="n">
        <x:f>S18-T18</x:f>
        <x:v>3237.8182760335767</x:v>
      </x:c>
      <x:c r="V18" s="83" t="n">
        <x:f>IFERROR(U18/S18,0)</x:f>
        <x:v>0.41650295402655124</x:v>
      </x:c>
      <x:c r="W18" s="82" t="n">
        <x:f>P18+Q18+R18+M18</x:f>
        <x:v>866.1817239664233</x:v>
      </x:c>
      <x:c r="X18" s="83" t="n">
        <x:f>IFERROR(W18/O18,0)</x:f>
        <x:v>0.10025251434796566</x:v>
      </x:c>
      <x:c r="Y18" s="84" t="str">
        <x:f>IF(AND(V18&lt;Inputs!$B$12,X18&gt;Inputs!$B$13),"Priority: margin + leakage",IF(V18&lt;Inputs!$B$12,"Margin review",IF(X18&gt;Inputs!$B$13,"Leakage review","Monitor")))</x:f>
        <x:v>Monitor</x:v>
      </x:c>
      <x:c r="Z18" s="4"/>
    </x:row>
    <x:row r="19" ht="15" hidden="0" customHeight="1">
      <x:c r="A19" s="77" t="str">
        <x:v>T-0016</x:v>
      </x:c>
      <x:c r="B19" s="78" t="n">
        <x:v>45808</x:v>
      </x:c>
      <x:c r="C19" s="77" t="str">
        <x:v>Keystone Health</x:v>
      </x:c>
      <x:c r="D19" s="77" t="str">
        <x:v>Enterprise</x:v>
      </x:c>
      <x:c r="E19" s="77" t="str">
        <x:v>SKU-110</x:v>
      </x:c>
      <x:c r="F19" s="77" t="str">
        <x:v>Core Platform</x:v>
      </x:c>
      <x:c r="G19" s="79" t="n">
        <x:v>92</x:v>
      </x:c>
      <x:c r="H19" s="80" t="n">
        <x:v>160</x:v>
      </x:c>
      <x:c r="I19" s="80" t="n">
        <x:v>84</x:v>
      </x:c>
      <x:c r="J19" s="81" t="n">
        <x:v>0.1537196818034013</x:v>
      </x:c>
      <x:c r="K19" s="81" t="n">
        <x:v>0.007394652787785408</x:v>
      </x:c>
      <x:c r="L19" s="81" t="n">
        <x:v>0.026913790141540286</x:v>
      </x:c>
      <x:c r="M19" s="80" t="n">
        <x:v>38.48869395907427</x:v>
      </x:c>
      <x:c r="N19" s="82" t="n">
        <x:f>H19*(1-J19)*(1-K19)</x:f>
        <x:v>134.40357905318373</x:v>
      </x:c>
      <x:c r="O19" s="82" t="n">
        <x:f>G19*H19</x:f>
        <x:v>14720</x:v>
      </x:c>
      <x:c r="P19" s="82" t="n">
        <x:f>O19*J19</x:f>
        <x:v>2262.753716146067</x:v>
      </x:c>
      <x:c r="Q19" s="82" t="n">
        <x:f>(O19-P19)*K19</x:f>
        <x:v>92.11701096102989</x:v>
      </x:c>
      <x:c r="R19" s="82" t="n">
        <x:f>O19*L19</x:f>
        <x:v>396.170990883473</x:v>
      </x:c>
      <x:c r="S19" s="82" t="n">
        <x:f>G19*N19-R19-M19</x:f>
        <x:v>11930.469588050357</x:v>
      </x:c>
      <x:c r="T19" s="82" t="n">
        <x:f>G19*I19</x:f>
        <x:v>7728</x:v>
      </x:c>
      <x:c r="U19" s="82" t="n">
        <x:f>S19-T19</x:f>
        <x:v>4202.469588050357</x:v>
      </x:c>
      <x:c r="V19" s="83" t="n">
        <x:f>IFERROR(U19/S19,0)</x:f>
        <x:v>0.35224678769221124</x:v>
      </x:c>
      <x:c r="W19" s="82" t="n">
        <x:f>P19+Q19+R19+M19</x:f>
        <x:v>2789.530411949644</x:v>
      </x:c>
      <x:c r="X19" s="83" t="n">
        <x:f>IFERROR(W19/O19,0)</x:f>
        <x:v>0.1895061421161443</x:v>
      </x:c>
      <x:c r="Y19" s="84" t="str">
        <x:f>IF(AND(V19&lt;Inputs!$B$12,X19&gt;Inputs!$B$13),"Priority: margin + leakage",IF(V19&lt;Inputs!$B$12,"Margin review",IF(X19&gt;Inputs!$B$13,"Leakage review","Monitor")))</x:f>
        <x:v>Leakage review</x:v>
      </x:c>
      <x:c r="Z19" s="4"/>
    </x:row>
    <x:row r="20" ht="15" hidden="0" customHeight="1">
      <x:c r="A20" s="77" t="str">
        <x:v>T-0017</x:v>
      </x:c>
      <x:c r="B20" s="78" t="n">
        <x:v>45749</x:v>
      </x:c>
      <x:c r="C20" s="77" t="str">
        <x:v>Granite Medical</x:v>
      </x:c>
      <x:c r="D20" s="77" t="str">
        <x:v>Mid-Market</x:v>
      </x:c>
      <x:c r="E20" s="77" t="str">
        <x:v>SKU-200</x:v>
      </x:c>
      <x:c r="F20" s="77" t="str">
        <x:v>Analytics</x:v>
      </x:c>
      <x:c r="G20" s="79" t="n">
        <x:v>63</x:v>
      </x:c>
      <x:c r="H20" s="80" t="n">
        <x:v>220</x:v>
      </x:c>
      <x:c r="I20" s="80" t="n">
        <x:v>98</x:v>
      </x:c>
      <x:c r="J20" s="81" t="n">
        <x:v>0.1309985353484061</x:v>
      </x:c>
      <x:c r="K20" s="81" t="n">
        <x:v>0.03581572862565803</x:v>
      </x:c>
      <x:c r="L20" s="81" t="n">
        <x:v>0.015890677354930084</x:v>
      </x:c>
      <x:c r="M20" s="80" t="n">
        <x:v>0</x:v>
      </x:c>
      <x:c r="N20" s="82" t="n">
        <x:f>H20*(1-J20)*(1-K20)</x:f>
        <x:v>184.33305968403326</x:v>
      </x:c>
      <x:c r="O20" s="82" t="n">
        <x:f>G20*H20</x:f>
        <x:v>13860</x:v>
      </x:c>
      <x:c r="P20" s="82" t="n">
        <x:f>O20*J20</x:f>
        <x:v>1815.6396999289086</x:v>
      </x:c>
      <x:c r="Q20" s="82" t="n">
        <x:f>(O20-P20)*K20</x:f>
        <x:v>431.37753997699537</x:v>
      </x:c>
      <x:c r="R20" s="82" t="n">
        <x:f>O20*L20</x:f>
        <x:v>220.24478813933098</x:v>
      </x:c>
      <x:c r="S20" s="82" t="n">
        <x:f>G20*N20-R20-M20</x:f>
        <x:v>11392.737971954764</x:v>
      </x:c>
      <x:c r="T20" s="82" t="n">
        <x:f>G20*I20</x:f>
        <x:v>6174</x:v>
      </x:c>
      <x:c r="U20" s="82" t="n">
        <x:f>S20-T20</x:f>
        <x:v>5218.737971954764</x:v>
      </x:c>
      <x:c r="V20" s="83" t="n">
        <x:f>IFERROR(U20/S20,0)</x:f>
        <x:v>0.4580758360985401</x:v>
      </x:c>
      <x:c r="W20" s="82" t="n">
        <x:f>P20+Q20+R20+M20</x:f>
        <x:v>2467.2620280452347</x:v>
      </x:c>
      <x:c r="X20" s="83" t="n">
        <x:f>IFERROR(W20/O20,0)</x:f>
        <x:v>0.17801313333659702</x:v>
      </x:c>
      <x:c r="Y20" s="84" t="str">
        <x:f>IF(AND(V20&lt;Inputs!$B$12,X20&gt;Inputs!$B$13),"Priority: margin + leakage",IF(V20&lt;Inputs!$B$12,"Margin review",IF(X20&gt;Inputs!$B$13,"Leakage review","Monitor")))</x:f>
        <x:v>Leakage review</x:v>
      </x:c>
      <x:c r="Z20" s="4"/>
    </x:row>
    <x:row r="21" ht="15" hidden="0" customHeight="1">
      <x:c r="A21" s="77" t="str">
        <x:v>T-0018</x:v>
      </x:c>
      <x:c r="B21" s="78" t="n">
        <x:v>45849</x:v>
      </x:c>
      <x:c r="C21" s="77" t="str">
        <x:v>Ironwood Ops</x:v>
      </x:c>
      <x:c r="D21" s="77" t="str">
        <x:v>SMB</x:v>
      </x:c>
      <x:c r="E21" s="77" t="str">
        <x:v>SKU-110</x:v>
      </x:c>
      <x:c r="F21" s="77" t="str">
        <x:v>Core Platform</x:v>
      </x:c>
      <x:c r="G21" s="79" t="n">
        <x:v>116</x:v>
      </x:c>
      <x:c r="H21" s="80" t="n">
        <x:v>160</x:v>
      </x:c>
      <x:c r="I21" s="80" t="n">
        <x:v>84</x:v>
      </x:c>
      <x:c r="J21" s="81" t="n">
        <x:v>0</x:v>
      </x:c>
      <x:c r="K21" s="81" t="n">
        <x:v>0.000996118095667603</x:v>
      </x:c>
      <x:c r="L21" s="81" t="n">
        <x:v>0.013025747851906423</x:v>
      </x:c>
      <x:c r="M21" s="80" t="n">
        <x:v>117.11513045748815</x:v>
      </x:c>
      <x:c r="N21" s="82" t="n">
        <x:f>H21*(1-J21)*(1-K21)</x:f>
        <x:v>159.84062110469318</x:v>
      </x:c>
      <x:c r="O21" s="82" t="n">
        <x:f>G21*H21</x:f>
        <x:v>18560</x:v>
      </x:c>
      <x:c r="P21" s="82" t="n">
        <x:f>O21*J21</x:f>
        <x:v>0</x:v>
      </x:c>
      <x:c r="Q21" s="82" t="n">
        <x:f>(O21-P21)*K21</x:f>
        <x:v>18.487951855590712</x:v>
      </x:c>
      <x:c r="R21" s="82" t="n">
        <x:f>O21*L21</x:f>
        <x:v>241.75788013138322</x:v>
      </x:c>
      <x:c r="S21" s="82" t="n">
        <x:f>G21*N21-R21-M21</x:f>
        <x:v>18182.63903755554</x:v>
      </x:c>
      <x:c r="T21" s="82" t="n">
        <x:f>G21*I21</x:f>
        <x:v>9744</x:v>
      </x:c>
      <x:c r="U21" s="82" t="n">
        <x:f>S21-T21</x:f>
        <x:v>8438.639037555538</x:v>
      </x:c>
      <x:c r="V21" s="83" t="n">
        <x:f>IFERROR(U21/S21,0)</x:f>
        <x:v>0.46410419412307835</x:v>
      </x:c>
      <x:c r="W21" s="82" t="n">
        <x:f>P21+Q21+R21+M21</x:f>
        <x:v>377.3609624444621</x:v>
      </x:c>
      <x:c r="X21" s="83" t="n">
        <x:f>IFERROR(W21/O21,0)</x:f>
        <x:v>0.020331948407568</x:v>
      </x:c>
      <x:c r="Y21" s="84" t="str">
        <x:f>IF(AND(V21&lt;Inputs!$B$12,X21&gt;Inputs!$B$13),"Priority: margin + leakage",IF(V21&lt;Inputs!$B$12,"Margin review",IF(X21&gt;Inputs!$B$13,"Leakage review","Monitor")))</x:f>
        <x:v>Monitor</x:v>
      </x:c>
      <x:c r="Z21" s="4"/>
    </x:row>
    <x:row r="22" ht="15" hidden="0" customHeight="1">
      <x:c r="A22" s="77" t="str">
        <x:v>T-0019</x:v>
      </x:c>
      <x:c r="B22" s="78" t="n">
        <x:v>45815</x:v>
      </x:c>
      <x:c r="C22" s="77" t="str">
        <x:v>Cobalt Services</x:v>
      </x:c>
      <x:c r="D22" s="77" t="str">
        <x:v>Mid-Market</x:v>
      </x:c>
      <x:c r="E22" s="77" t="str">
        <x:v>SKU-100</x:v>
      </x:c>
      <x:c r="F22" s="77" t="str">
        <x:v>Core Platform</x:v>
      </x:c>
      <x:c r="G22" s="79" t="n">
        <x:v>81</x:v>
      </x:c>
      <x:c r="H22" s="80" t="n">
        <x:v>105</x:v>
      </x:c>
      <x:c r="I22" s="80" t="n">
        <x:v>58</x:v>
      </x:c>
      <x:c r="J22" s="81" t="n">
        <x:v>0.07188132268232653</x:v>
      </x:c>
      <x:c r="K22" s="81" t="n">
        <x:v>0.03942987825126903</x:v>
      </x:c>
      <x:c r="L22" s="81" t="n">
        <x:v>0.05836524176523947</x:v>
      </x:c>
      <x:c r="M22" s="80" t="n">
        <x:v>40.340403804374446</x:v>
      </x:c>
      <x:c r="N22" s="82" t="n">
        <x:f>H22*(1-J22)*(1-K22)</x:f>
        <x:v>93.60992244117243</x:v>
      </x:c>
      <x:c r="O22" s="82" t="n">
        <x:f>G22*H22</x:f>
        <x:v>8505</x:v>
      </x:c>
      <x:c r="P22" s="82" t="n">
        <x:f>O22*J22</x:f>
        <x:v>611.350649413187</x:v>
      </x:c>
      <x:c r="Q22" s="82" t="n">
        <x:f>(O22-P22)*K22</x:f>
        <x:v>311.24563285184684</x:v>
      </x:c>
      <x:c r="R22" s="82" t="n">
        <x:f>O22*L22</x:f>
        <x:v>496.3963812133617</x:v>
      </x:c>
      <x:c r="S22" s="82" t="n">
        <x:f>G22*N22-R22-M22</x:f>
        <x:v>7045.66693271723</x:v>
      </x:c>
      <x:c r="T22" s="82" t="n">
        <x:f>G22*I22</x:f>
        <x:v>4698</x:v>
      </x:c>
      <x:c r="U22" s="82" t="n">
        <x:f>S22-T22</x:f>
        <x:v>2347.6669327172303</x:v>
      </x:c>
      <x:c r="V22" s="83" t="n">
        <x:f>IFERROR(U22/S22,0)</x:f>
        <x:v>0.3332071974358614</x:v>
      </x:c>
      <x:c r="W22" s="82" t="n">
        <x:f>P22+Q22+R22+M22</x:f>
        <x:v>1459.3330672827701</x:v>
      </x:c>
      <x:c r="X22" s="83" t="n">
        <x:f>IFERROR(W22/O22,0)</x:f>
        <x:v>0.17158531067404703</x:v>
      </x:c>
      <x:c r="Y22" s="84" t="str">
        <x:f>IF(AND(V22&lt;Inputs!$B$12,X22&gt;Inputs!$B$13),"Priority: margin + leakage",IF(V22&lt;Inputs!$B$12,"Margin review",IF(X22&gt;Inputs!$B$13,"Leakage review","Monitor")))</x:f>
        <x:v>Leakage review</x:v>
      </x:c>
      <x:c r="Z22" s="4"/>
    </x:row>
    <x:row r="23" ht="15" hidden="0" customHeight="1">
      <x:c r="A23" s="77" t="str">
        <x:v>T-0020</x:v>
      </x:c>
      <x:c r="B23" s="78" t="n">
        <x:v>45693</x:v>
      </x:c>
      <x:c r="C23" s="77" t="str">
        <x:v>Delta Dental Group</x:v>
      </x:c>
      <x:c r="D23" s="77" t="str">
        <x:v>Enterprise</x:v>
      </x:c>
      <x:c r="E23" s="77" t="str">
        <x:v>SKU-100</x:v>
      </x:c>
      <x:c r="F23" s="77" t="str">
        <x:v>Core Platform</x:v>
      </x:c>
      <x:c r="G23" s="79" t="n">
        <x:v>35</x:v>
      </x:c>
      <x:c r="H23" s="80" t="n">
        <x:v>105</x:v>
      </x:c>
      <x:c r="I23" s="80" t="n">
        <x:v>58</x:v>
      </x:c>
      <x:c r="J23" s="81" t="n">
        <x:v>0.1711002321429867</x:v>
      </x:c>
      <x:c r="K23" s="81" t="n">
        <x:v>0</x:v>
      </x:c>
      <x:c r="L23" s="81" t="n">
        <x:v>0.04283115423655881</x:v>
      </x:c>
      <x:c r="M23" s="80" t="n">
        <x:v>173.22186124343247</x:v>
      </x:c>
      <x:c r="N23" s="82" t="n">
        <x:f>H23*(1-J23)*(1-K23)</x:f>
        <x:v>87.0344756249864</x:v>
      </x:c>
      <x:c r="O23" s="82" t="n">
        <x:f>G23*H23</x:f>
        <x:v>3675</x:v>
      </x:c>
      <x:c r="P23" s="82" t="n">
        <x:f>O23*J23</x:f>
        <x:v>628.7933531254761</x:v>
      </x:c>
      <x:c r="Q23" s="82" t="n">
        <x:f>(O23-P23)*K23</x:f>
        <x:v>0</x:v>
      </x:c>
      <x:c r="R23" s="82" t="n">
        <x:f>O23*L23</x:f>
        <x:v>157.40449181935364</x:v>
      </x:c>
      <x:c r="S23" s="82" t="n">
        <x:f>G23*N23-R23-M23</x:f>
        <x:v>2715.5802938117376</x:v>
      </x:c>
      <x:c r="T23" s="82" t="n">
        <x:f>G23*I23</x:f>
        <x:v>2030</x:v>
      </x:c>
      <x:c r="U23" s="82" t="n">
        <x:f>S23-T23</x:f>
        <x:v>685.5802938117376</x:v>
      </x:c>
      <x:c r="V23" s="83" t="n">
        <x:f>IFERROR(U23/S23,0)</x:f>
        <x:v>0.252461801764447</x:v>
      </x:c>
      <x:c r="W23" s="82" t="n">
        <x:f>P23+Q23+R23+M23</x:f>
        <x:v>959.4197061882622</x:v>
      </x:c>
      <x:c r="X23" s="83" t="n">
        <x:f>IFERROR(W23/O23,0)</x:f>
        <x:v>0.2610665867178945</x:v>
      </x:c>
      <x:c r="Y23" s="84" t="str">
        <x:f>IF(AND(V23&lt;Inputs!$B$12,X23&gt;Inputs!$B$13),"Priority: margin + leakage",IF(V23&lt;Inputs!$B$12,"Margin review",IF(X23&gt;Inputs!$B$13,"Leakage review","Monitor")))</x:f>
        <x:v>Priority: margin + leakage</x:v>
      </x:c>
      <x:c r="Z23" s="4"/>
    </x:row>
    <x:row r="24" ht="15" hidden="0" customHeight="1">
      <x:c r="A24" s="77" t="str">
        <x:v>T-0021</x:v>
      </x:c>
      <x:c r="B24" s="78" t="n">
        <x:v>45968</x:v>
      </x:c>
      <x:c r="C24" s="77" t="str">
        <x:v>Ironwood Ops</x:v>
      </x:c>
      <x:c r="D24" s="77" t="str">
        <x:v>SMB</x:v>
      </x:c>
      <x:c r="E24" s="77" t="str">
        <x:v>SKU-200</x:v>
      </x:c>
      <x:c r="F24" s="77" t="str">
        <x:v>Analytics</x:v>
      </x:c>
      <x:c r="G24" s="79" t="n">
        <x:v>21</x:v>
      </x:c>
      <x:c r="H24" s="80" t="n">
        <x:v>220</x:v>
      </x:c>
      <x:c r="I24" s="80" t="n">
        <x:v>98</x:v>
      </x:c>
      <x:c r="J24" s="81" t="n">
        <x:v>0</x:v>
      </x:c>
      <x:c r="K24" s="81" t="n">
        <x:v>0</x:v>
      </x:c>
      <x:c r="L24" s="81" t="n">
        <x:v>0.03620752321323121</x:v>
      </x:c>
      <x:c r="M24" s="80" t="n">
        <x:v>214.92717801878052</x:v>
      </x:c>
      <x:c r="N24" s="82" t="n">
        <x:f>H24*(1-J24)*(1-K24)</x:f>
        <x:v>220</x:v>
      </x:c>
      <x:c r="O24" s="82" t="n">
        <x:f>G24*H24</x:f>
        <x:v>4620</x:v>
      </x:c>
      <x:c r="P24" s="82" t="n">
        <x:f>O24*J24</x:f>
        <x:v>0</x:v>
      </x:c>
      <x:c r="Q24" s="82" t="n">
        <x:f>(O24-P24)*K24</x:f>
        <x:v>0</x:v>
      </x:c>
      <x:c r="R24" s="82" t="n">
        <x:f>O24*L24</x:f>
        <x:v>167.2787572451282</x:v>
      </x:c>
      <x:c r="S24" s="82" t="n">
        <x:f>G24*N24-R24-M24</x:f>
        <x:v>4237.794064736092</x:v>
      </x:c>
      <x:c r="T24" s="82" t="n">
        <x:f>G24*I24</x:f>
        <x:v>2058</x:v>
      </x:c>
      <x:c r="U24" s="82" t="n">
        <x:f>S24-T24</x:f>
        <x:v>2179.794064736092</x:v>
      </x:c>
      <x:c r="V24" s="83" t="n">
        <x:f>IFERROR(U24/S24,0)</x:f>
        <x:v>0.5143699838731636</x:v>
      </x:c>
      <x:c r="W24" s="82" t="n">
        <x:f>P24+Q24+R24+M24</x:f>
        <x:v>382.2059352639087</x:v>
      </x:c>
      <x:c r="X24" s="83" t="n">
        <x:f>IFERROR(W24/O24,0)</x:f>
        <x:v>0.08272855741643045</x:v>
      </x:c>
      <x:c r="Y24" s="84" t="str">
        <x:f>IF(AND(V24&lt;Inputs!$B$12,X24&gt;Inputs!$B$13),"Priority: margin + leakage",IF(V24&lt;Inputs!$B$12,"Margin review",IF(X24&gt;Inputs!$B$13,"Leakage review","Monitor")))</x:f>
        <x:v>Monitor</x:v>
      </x:c>
      <x:c r="Z24" s="4"/>
    </x:row>
    <x:row r="25" ht="15" hidden="0" customHeight="1">
      <x:c r="A25" s="77" t="str">
        <x:v>T-0022</x:v>
      </x:c>
      <x:c r="B25" s="78" t="n">
        <x:v>46001</x:v>
      </x:c>
      <x:c r="C25" s="77" t="str">
        <x:v>Granite Medical</x:v>
      </x:c>
      <x:c r="D25" s="77" t="str">
        <x:v>Mid-Market</x:v>
      </x:c>
      <x:c r="E25" s="77" t="str">
        <x:v>SKU-210</x:v>
      </x:c>
      <x:c r="F25" s="77" t="str">
        <x:v>Analytics</x:v>
      </x:c>
      <x:c r="G25" s="79" t="n">
        <x:v>74</x:v>
      </x:c>
      <x:c r="H25" s="80" t="n">
        <x:v>310</x:v>
      </x:c>
      <x:c r="I25" s="80" t="n">
        <x:v>142</x:v>
      </x:c>
      <x:c r="J25" s="81" t="n">
        <x:v>0.07677146059404646</x:v>
      </x:c>
      <x:c r="K25" s="81" t="n">
        <x:v>0</x:v>
      </x:c>
      <x:c r="L25" s="81" t="n">
        <x:v>0.020809560638700722</x:v>
      </x:c>
      <x:c r="M25" s="80" t="n">
        <x:v>31.63034753827624</x:v>
      </x:c>
      <x:c r="N25" s="82" t="n">
        <x:f>H25*(1-J25)*(1-K25)</x:f>
        <x:v>286.2008472158456</x:v>
      </x:c>
      <x:c r="O25" s="82" t="n">
        <x:f>G25*H25</x:f>
        <x:v>22940</x:v>
      </x:c>
      <x:c r="P25" s="82" t="n">
        <x:f>O25*J25</x:f>
        <x:v>1761.137306027426</x:v>
      </x:c>
      <x:c r="Q25" s="82" t="n">
        <x:f>(O25-P25)*K25</x:f>
        <x:v>0</x:v>
      </x:c>
      <x:c r="R25" s="82" t="n">
        <x:f>O25*L25</x:f>
        <x:v>477.37132105179455</x:v>
      </x:c>
      <x:c r="S25" s="82" t="n">
        <x:f>G25*N25-R25-M25</x:f>
        <x:v>20669.861025382503</x:v>
      </x:c>
      <x:c r="T25" s="82" t="n">
        <x:f>G25*I25</x:f>
        <x:v>10508</x:v>
      </x:c>
      <x:c r="U25" s="82" t="n">
        <x:f>S25-T25</x:f>
        <x:v>10161.861025382503</x:v>
      </x:c>
      <x:c r="V25" s="83" t="n">
        <x:f>IFERROR(U25/S25,0)</x:f>
        <x:v>0.4916269641534493</x:v>
      </x:c>
      <x:c r="W25" s="82" t="n">
        <x:f>P25+Q25+R25+M25</x:f>
        <x:v>2270.1389746174964</x:v>
      </x:c>
      <x:c r="X25" s="83" t="n">
        <x:f>IFERROR(W25/O25,0)</x:f>
        <x:v>0.09895985068079757</x:v>
      </x:c>
      <x:c r="Y25" s="84" t="str">
        <x:f>IF(AND(V25&lt;Inputs!$B$12,X25&gt;Inputs!$B$13),"Priority: margin + leakage",IF(V25&lt;Inputs!$B$12,"Margin review",IF(X25&gt;Inputs!$B$13,"Leakage review","Monitor")))</x:f>
        <x:v>Monitor</x:v>
      </x:c>
      <x:c r="Z25" s="4"/>
    </x:row>
    <x:row r="26" ht="15" hidden="0" customHeight="1">
      <x:c r="A26" s="77" t="str">
        <x:v>T-0023</x:v>
      </x:c>
      <x:c r="B26" s="78" t="n">
        <x:v>45668</x:v>
      </x:c>
      <x:c r="C26" s="77" t="str">
        <x:v>Keystone Health</x:v>
      </x:c>
      <x:c r="D26" s="77" t="str">
        <x:v>Enterprise</x:v>
      </x:c>
      <x:c r="E26" s="77" t="str">
        <x:v>SKU-310</x:v>
      </x:c>
      <x:c r="F26" s="77" t="str">
        <x:v>Services</x:v>
      </x:c>
      <x:c r="G26" s="79" t="n">
        <x:v>61</x:v>
      </x:c>
      <x:c r="H26" s="80" t="n">
        <x:v>260</x:v>
      </x:c>
      <x:c r="I26" s="80" t="n">
        <x:v>165</x:v>
      </x:c>
      <x:c r="J26" s="81" t="n">
        <x:v>0.14097744492628478</x:v>
      </x:c>
      <x:c r="K26" s="81" t="n">
        <x:v>0.018841859286271818</x:v>
      </x:c>
      <x:c r="L26" s="81" t="n">
        <x:v>0.025086165596013822</x:v>
      </x:c>
      <x:c r="M26" s="80" t="n">
        <x:v>59.549887952893364</x:v>
      </x:c>
      <x:c r="N26" s="82" t="n">
        <x:f>H26*(1-J26)*(1-K26)</x:f>
        <x:v>219.13761297149347</x:v>
      </x:c>
      <x:c r="O26" s="82" t="n">
        <x:f>G26*H26</x:f>
        <x:v>15860</x:v>
      </x:c>
      <x:c r="P26" s="82" t="n">
        <x:f>O26*J26</x:f>
        <x:v>2235.9022765308764</x:v>
      </x:c>
      <x:c r="Q26" s="82" t="n">
        <x:f>(O26-P26)*K26</x:f>
        <x:v>256.70333220802144</x:v>
      </x:c>
      <x:c r="R26" s="82" t="n">
        <x:f>O26*L26</x:f>
        <x:v>397.8665863527792</x:v>
      </x:c>
      <x:c r="S26" s="82" t="n">
        <x:f>G26*N26-R26-M26</x:f>
        <x:v>12909.97791695543</x:v>
      </x:c>
      <x:c r="T26" s="82" t="n">
        <x:f>G26*I26</x:f>
        <x:v>10065</x:v>
      </x:c>
      <x:c r="U26" s="82" t="n">
        <x:f>S26-T26</x:f>
        <x:v>2844.9779169554295</x:v>
      </x:c>
      <x:c r="V26" s="83" t="n">
        <x:f>IFERROR(U26/S26,0)</x:f>
        <x:v>0.22037047121660475</x:v>
      </x:c>
      <x:c r="W26" s="82" t="n">
        <x:f>P26+Q26+R26+M26</x:f>
        <x:v>2950.0220830445705</x:v>
      </x:c>
      <x:c r="X26" s="83" t="n">
        <x:f>IFERROR(W26/O26,0)</x:f>
        <x:v>0.1860039144416501</x:v>
      </x:c>
      <x:c r="Y26" s="84" t="str">
        <x:f>IF(AND(V26&lt;Inputs!$B$12,X26&gt;Inputs!$B$13),"Priority: margin + leakage",IF(V26&lt;Inputs!$B$12,"Margin review",IF(X26&gt;Inputs!$B$13,"Leakage review","Monitor")))</x:f>
        <x:v>Priority: margin + leakage</x:v>
      </x:c>
      <x:c r="Z26" s="4"/>
    </x:row>
    <x:row r="27" ht="15" hidden="0" customHeight="1">
      <x:c r="A27" s="77" t="str">
        <x:v>T-0024</x:v>
      </x:c>
      <x:c r="B27" s="78" t="n">
        <x:v>45674</x:v>
      </x:c>
      <x:c r="C27" s="77" t="str">
        <x:v>Juniper Partners</x:v>
      </x:c>
      <x:c r="D27" s="77" t="str">
        <x:v>Mid-Market</x:v>
      </x:c>
      <x:c r="E27" s="77" t="str">
        <x:v>SKU-210</x:v>
      </x:c>
      <x:c r="F27" s="77" t="str">
        <x:v>Analytics</x:v>
      </x:c>
      <x:c r="G27" s="79" t="n">
        <x:v>80</x:v>
      </x:c>
      <x:c r="H27" s="80" t="n">
        <x:v>310</x:v>
      </x:c>
      <x:c r="I27" s="80" t="n">
        <x:v>142</x:v>
      </x:c>
      <x:c r="J27" s="81" t="n">
        <x:v>0.07749886248744159</x:v>
      </x:c>
      <x:c r="K27" s="81" t="n">
        <x:v>0.04442671723828224</x:v>
      </x:c>
      <x:c r="L27" s="81" t="n">
        <x:v>0.01618052027611358</x:v>
      </x:c>
      <x:c r="M27" s="80" t="n">
        <x:v>72.38403493123184</x:v>
      </x:c>
      <x:c r="N27" s="82" t="n">
        <x:f>H27*(1-J27)*(1-K27)</x:f>
        <x:v>273.27040650053124</x:v>
      </x:c>
      <x:c r="O27" s="82" t="n">
        <x:f>G27*H27</x:f>
        <x:v>24800</x:v>
      </x:c>
      <x:c r="P27" s="82" t="n">
        <x:f>O27*J27</x:f>
        <x:v>1921.9717896885513</x:v>
      </x:c>
      <x:c r="Q27" s="82" t="n">
        <x:f>(O27-P27)*K27</x:f>
        <x:v>1016.395690268951</x:v>
      </x:c>
      <x:c r="R27" s="82" t="n">
        <x:f>O27*L27</x:f>
        <x:v>401.2769028476168</x:v>
      </x:c>
      <x:c r="S27" s="82" t="n">
        <x:f>G27*N27-R27-M27</x:f>
        <x:v>21387.97158226365</x:v>
      </x:c>
      <x:c r="T27" s="82" t="n">
        <x:f>G27*I27</x:f>
        <x:v>11360</x:v>
      </x:c>
      <x:c r="U27" s="82" t="n">
        <x:f>S27-T27</x:f>
        <x:v>10027.97158226365</x:v>
      </x:c>
      <x:c r="V27" s="83" t="n">
        <x:f>IFERROR(U27/S27,0)</x:f>
        <x:v>0.468860337862966</x:v>
      </x:c>
      <x:c r="W27" s="82" t="n">
        <x:f>P27+Q27+R27+M27</x:f>
        <x:v>3412.028417736351</x:v>
      </x:c>
      <x:c r="X27" s="83" t="n">
        <x:f>IFERROR(W27/O27,0)</x:f>
        <x:v>0.13758179103775608</x:v>
      </x:c>
      <x:c r="Y27" s="84" t="str">
        <x:f>IF(AND(V27&lt;Inputs!$B$12,X27&gt;Inputs!$B$13),"Priority: margin + leakage",IF(V27&lt;Inputs!$B$12,"Margin review",IF(X27&gt;Inputs!$B$13,"Leakage review","Monitor")))</x:f>
        <x:v>Leakage review</x:v>
      </x:c>
      <x:c r="Z27" s="4"/>
    </x:row>
    <x:row r="28" ht="15" hidden="0" customHeight="1">
      <x:c r="A28" s="77" t="str">
        <x:v>T-0025</x:v>
      </x:c>
      <x:c r="B28" s="78" t="n">
        <x:v>45950</x:v>
      </x:c>
      <x:c r="C28" s="77" t="str">
        <x:v>Fulton Labs</x:v>
      </x:c>
      <x:c r="D28" s="77" t="str">
        <x:v>SMB</x:v>
      </x:c>
      <x:c r="E28" s="77" t="str">
        <x:v>SKU-110</x:v>
      </x:c>
      <x:c r="F28" s="77" t="str">
        <x:v>Core Platform</x:v>
      </x:c>
      <x:c r="G28" s="79" t="n">
        <x:v>70</x:v>
      </x:c>
      <x:c r="H28" s="80" t="n">
        <x:v>160</x:v>
      </x:c>
      <x:c r="I28" s="80" t="n">
        <x:v>84</x:v>
      </x:c>
      <x:c r="J28" s="81" t="n">
        <x:v>0.048918846315406044</x:v>
      </x:c>
      <x:c r="K28" s="81" t="n">
        <x:v>0.07206921671092839</x:v>
      </x:c>
      <x:c r="L28" s="81" t="n">
        <x:v>0.027136824763962404</x:v>
      </x:c>
      <x:c r="M28" s="80" t="n">
        <x:v>166.7439889625291</x:v>
      </x:c>
      <x:c r="N28" s="82" t="n">
        <x:f>H28*(1-J28)*(1-K28)</x:f>
        <x:v>141.20599678560308</x:v>
      </x:c>
      <x:c r="O28" s="82" t="n">
        <x:f>G28*H28</x:f>
        <x:v>11200</x:v>
      </x:c>
      <x:c r="P28" s="82" t="n">
        <x:f>O28*J28</x:f>
        <x:v>547.8910787325477</x:v>
      </x:c>
      <x:c r="Q28" s="82" t="n">
        <x:f>(O28-P28)*K28</x:f>
        <x:v>767.6891462752377</x:v>
      </x:c>
      <x:c r="R28" s="82" t="n">
        <x:f>O28*L28</x:f>
        <x:v>303.9324373563789</x:v>
      </x:c>
      <x:c r="S28" s="82" t="n">
        <x:f>G28*N28-R28-M28</x:f>
        <x:v>9413.743348673306</x:v>
      </x:c>
      <x:c r="T28" s="82" t="n">
        <x:f>G28*I28</x:f>
        <x:v>5880</x:v>
      </x:c>
      <x:c r="U28" s="82" t="n">
        <x:f>S28-T28</x:f>
        <x:v>3533.743348673306</x:v>
      </x:c>
      <x:c r="V28" s="83" t="n">
        <x:f>IFERROR(U28/S28,0)</x:f>
        <x:v>0.37538131408387315</x:v>
      </x:c>
      <x:c r="W28" s="82" t="n">
        <x:f>P28+Q28+R28+M28</x:f>
        <x:v>1786.2566513266934</x:v>
      </x:c>
      <x:c r="X28" s="83" t="n">
        <x:f>IFERROR(W28/O28,0)</x:f>
        <x:v>0.15948720101131192</x:v>
      </x:c>
      <x:c r="Y28" s="84" t="str">
        <x:f>IF(AND(V28&lt;Inputs!$B$12,X28&gt;Inputs!$B$13),"Priority: margin + leakage",IF(V28&lt;Inputs!$B$12,"Margin review",IF(X28&gt;Inputs!$B$13,"Leakage review","Monitor")))</x:f>
        <x:v>Leakage review</x:v>
      </x:c>
      <x:c r="Z28" s="4"/>
    </x:row>
    <x:row r="29" ht="15" hidden="0" customHeight="1">
      <x:c r="A29" s="77" t="str">
        <x:v>T-0026</x:v>
      </x:c>
      <x:c r="B29" s="78" t="n">
        <x:v>45878</x:v>
      </x:c>
      <x:c r="C29" s="77" t="str">
        <x:v>Juniper Partners</x:v>
      </x:c>
      <x:c r="D29" s="77" t="str">
        <x:v>Mid-Market</x:v>
      </x:c>
      <x:c r="E29" s="77" t="str">
        <x:v>SKU-410</x:v>
      </x:c>
      <x:c r="F29" s="77" t="str">
        <x:v>Premium Module</x:v>
      </x:c>
      <x:c r="G29" s="79" t="n">
        <x:v>36</x:v>
      </x:c>
      <x:c r="H29" s="80" t="n">
        <x:v>575</x:v>
      </x:c>
      <x:c r="I29" s="80" t="n">
        <x:v>235</x:v>
      </x:c>
      <x:c r="J29" s="81" t="n">
        <x:v>0.08871147525910512</x:v>
      </x:c>
      <x:c r="K29" s="81" t="n">
        <x:v>0</x:v>
      </x:c>
      <x:c r="L29" s="81" t="n">
        <x:v>0.027972713768586878</x:v>
      </x:c>
      <x:c r="M29" s="80" t="n">
        <x:v>157.82543213801358</x:v>
      </x:c>
      <x:c r="N29" s="82" t="n">
        <x:f>H29*(1-J29)*(1-K29)</x:f>
        <x:v>523.9909017260145</x:v>
      </x:c>
      <x:c r="O29" s="82" t="n">
        <x:f>G29*H29</x:f>
        <x:v>20700</x:v>
      </x:c>
      <x:c r="P29" s="82" t="n">
        <x:f>O29*J29</x:f>
        <x:v>1836.327537863476</x:v>
      </x:c>
      <x:c r="Q29" s="82" t="n">
        <x:f>(O29-P29)*K29</x:f>
        <x:v>0</x:v>
      </x:c>
      <x:c r="R29" s="82" t="n">
        <x:f>O29*L29</x:f>
        <x:v>579.0351750097484</x:v>
      </x:c>
      <x:c r="S29" s="82" t="n">
        <x:f>G29*N29-R29-M29</x:f>
        <x:v>18126.811854988762</x:v>
      </x:c>
      <x:c r="T29" s="82" t="n">
        <x:f>G29*I29</x:f>
        <x:v>8460</x:v>
      </x:c>
      <x:c r="U29" s="82" t="n">
        <x:f>S29-T29</x:f>
        <x:v>9666.811854988762</x:v>
      </x:c>
      <x:c r="V29" s="83" t="n">
        <x:f>IFERROR(U29/S29,0)</x:f>
        <x:v>0.533288033898157</x:v>
      </x:c>
      <x:c r="W29" s="82" t="n">
        <x:f>P29+Q29+R29+M29</x:f>
        <x:v>2573.188145011238</x:v>
      </x:c>
      <x:c r="X29" s="83" t="n">
        <x:f>IFERROR(W29/O29,0)</x:f>
        <x:v>0.12430860603919024</x:v>
      </x:c>
      <x:c r="Y29" s="84" t="str">
        <x:f>IF(AND(V29&lt;Inputs!$B$12,X29&gt;Inputs!$B$13),"Priority: margin + leakage",IF(V29&lt;Inputs!$B$12,"Margin review",IF(X29&gt;Inputs!$B$13,"Leakage review","Monitor")))</x:f>
        <x:v>Leakage review</x:v>
      </x:c>
      <x:c r="Z29" s="4"/>
    </x:row>
    <x:row r="30" ht="15" hidden="0" customHeight="1">
      <x:c r="A30" s="77" t="str">
        <x:v>T-0027</x:v>
      </x:c>
      <x:c r="B30" s="78" t="n">
        <x:v>45708</x:v>
      </x:c>
      <x:c r="C30" s="77" t="str">
        <x:v>Fulton Labs</x:v>
      </x:c>
      <x:c r="D30" s="77" t="str">
        <x:v>SMB</x:v>
      </x:c>
      <x:c r="E30" s="77" t="str">
        <x:v>SKU-400</x:v>
      </x:c>
      <x:c r="F30" s="77" t="str">
        <x:v>Premium Module</x:v>
      </x:c>
      <x:c r="G30" s="79" t="n">
        <x:v>57</x:v>
      </x:c>
      <x:c r="H30" s="80" t="n">
        <x:v>420</x:v>
      </x:c>
      <x:c r="I30" s="80" t="n">
        <x:v>180</x:v>
      </x:c>
      <x:c r="J30" s="81" t="n">
        <x:v>0</x:v>
      </x:c>
      <x:c r="K30" s="81" t="n">
        <x:v>0.04331132115933438</x:v>
      </x:c>
      <x:c r="L30" s="81" t="n">
        <x:v>0.000996532208370305</x:v>
      </x:c>
      <x:c r="M30" s="80" t="n">
        <x:v>0</x:v>
      </x:c>
      <x:c r="N30" s="82" t="n">
        <x:f>H30*(1-J30)*(1-K30)</x:f>
        <x:v>401.80924511307956</x:v>
      </x:c>
      <x:c r="O30" s="82" t="n">
        <x:f>G30*H30</x:f>
        <x:v>23940</x:v>
      </x:c>
      <x:c r="P30" s="82" t="n">
        <x:f>O30*J30</x:f>
        <x:v>0</x:v>
      </x:c>
      <x:c r="Q30" s="82" t="n">
        <x:f>(O30-P30)*K30</x:f>
        <x:v>1036.873028554465</x:v>
      </x:c>
      <x:c r="R30" s="82" t="n">
        <x:f>O30*L30</x:f>
        <x:v>23.856981068385103</x:v>
      </x:c>
      <x:c r="S30" s="82" t="n">
        <x:f>G30*N30-R30-M30</x:f>
        <x:v>22879.26999037715</x:v>
      </x:c>
      <x:c r="T30" s="82" t="n">
        <x:f>G30*I30</x:f>
        <x:v>10260</x:v>
      </x:c>
      <x:c r="U30" s="82" t="n">
        <x:f>S30-T30</x:f>
        <x:v>12619.26999037715</x:v>
      </x:c>
      <x:c r="V30" s="83" t="n">
        <x:f>IFERROR(U30/S30,0)</x:f>
        <x:v>0.5515591186119453</x:v>
      </x:c>
      <x:c r="W30" s="82" t="n">
        <x:f>P30+Q30+R30+M30</x:f>
        <x:v>1060.73000962285</x:v>
      </x:c>
      <x:c r="X30" s="83" t="n">
        <x:f>IFERROR(W30/O30,0)</x:f>
        <x:v>0.04430785336770468</x:v>
      </x:c>
      <x:c r="Y30" s="84" t="str">
        <x:f>IF(AND(V30&lt;Inputs!$B$12,X30&gt;Inputs!$B$13),"Priority: margin + leakage",IF(V30&lt;Inputs!$B$12,"Margin review",IF(X30&gt;Inputs!$B$13,"Leakage review","Monitor")))</x:f>
        <x:v>Monitor</x:v>
      </x:c>
      <x:c r="Z30" s="4"/>
    </x:row>
    <x:row r="31" ht="15" hidden="0" customHeight="1">
      <x:c r="A31" s="77" t="str">
        <x:v>T-0028</x:v>
      </x:c>
      <x:c r="B31" s="78" t="n">
        <x:v>45887</x:v>
      </x:c>
      <x:c r="C31" s="77" t="str">
        <x:v>Acme Health</x:v>
      </x:c>
      <x:c r="D31" s="77" t="str">
        <x:v>Enterprise</x:v>
      </x:c>
      <x:c r="E31" s="77" t="str">
        <x:v>SKU-400</x:v>
      </x:c>
      <x:c r="F31" s="77" t="str">
        <x:v>Premium Module</x:v>
      </x:c>
      <x:c r="G31" s="79" t="n">
        <x:v>98</x:v>
      </x:c>
      <x:c r="H31" s="80" t="n">
        <x:v>420</x:v>
      </x:c>
      <x:c r="I31" s="80" t="n">
        <x:v>180</x:v>
      </x:c>
      <x:c r="J31" s="81" t="n">
        <x:v>0.0729556667794646</x:v>
      </x:c>
      <x:c r="K31" s="81" t="n">
        <x:v>0.07710130822123343</x:v>
      </x:c>
      <x:c r="L31" s="81" t="n">
        <x:v>0.025098712728468454</x:v>
      </x:c>
      <x:c r="M31" s="80" t="n">
        <x:v>178.46037812016476</x:v>
      </x:c>
      <x:c r="N31" s="82" t="n">
        <x:f>H31*(1-J31)*(1-K31)</x:f>
        <x:v>359.33856098706343</x:v>
      </x:c>
      <x:c r="O31" s="82" t="n">
        <x:f>G31*H31</x:f>
        <x:v>41160</x:v>
      </x:c>
      <x:c r="P31" s="82" t="n">
        <x:f>O31*J31</x:f>
        <x:v>3002.8552446427634</x:v>
      </x:c>
      <x:c r="Q31" s="82" t="n">
        <x:f>(O31-P31)*K31</x:f>
        <x:v>2941.9657786250186</x:v>
      </x:c>
      <x:c r="R31" s="82" t="n">
        <x:f>O31*L31</x:f>
        <x:v>1033.0630159037617</x:v>
      </x:c>
      <x:c r="S31" s="82" t="n">
        <x:f>G31*N31-R31-M31</x:f>
        <x:v>34003.65558270829</x:v>
      </x:c>
      <x:c r="T31" s="82" t="n">
        <x:f>G31*I31</x:f>
        <x:v>17640</x:v>
      </x:c>
      <x:c r="U31" s="82" t="n">
        <x:f>S31-T31</x:f>
        <x:v>16363.655582708292</x:v>
      </x:c>
      <x:c r="V31" s="83" t="n">
        <x:f>IFERROR(U31/S31,0)</x:f>
        <x:v>0.4812322470125718</x:v>
      </x:c>
      <x:c r="W31" s="82" t="n">
        <x:f>P31+Q31+R31+M31</x:f>
        <x:v>7156.344417291709</x:v>
      </x:c>
      <x:c r="X31" s="83" t="n">
        <x:f>IFERROR(W31/O31,0)</x:f>
        <x:v>0.17386648244148953</x:v>
      </x:c>
      <x:c r="Y31" s="84" t="str">
        <x:f>IF(AND(V31&lt;Inputs!$B$12,X31&gt;Inputs!$B$13),"Priority: margin + leakage",IF(V31&lt;Inputs!$B$12,"Margin review",IF(X31&gt;Inputs!$B$13,"Leakage review","Monitor")))</x:f>
        <x:v>Leakage review</x:v>
      </x:c>
      <x:c r="Z31" s="4"/>
    </x:row>
    <x:row r="32" ht="15" hidden="0" customHeight="1">
      <x:c r="A32" s="77" t="str">
        <x:v>T-0029</x:v>
      </x:c>
      <x:c r="B32" s="78" t="n">
        <x:v>45939</x:v>
      </x:c>
      <x:c r="C32" s="77" t="str">
        <x:v>Cobalt Services</x:v>
      </x:c>
      <x:c r="D32" s="77" t="str">
        <x:v>Mid-Market</x:v>
      </x:c>
      <x:c r="E32" s="77" t="str">
        <x:v>SKU-400</x:v>
      </x:c>
      <x:c r="F32" s="77" t="str">
        <x:v>Premium Module</x:v>
      </x:c>
      <x:c r="G32" s="79" t="n">
        <x:v>28</x:v>
      </x:c>
      <x:c r="H32" s="80" t="n">
        <x:v>420</x:v>
      </x:c>
      <x:c r="I32" s="80" t="n">
        <x:v>180</x:v>
      </x:c>
      <x:c r="J32" s="81" t="n">
        <x:v>0.070266026738391</x:v>
      </x:c>
      <x:c r="K32" s="81" t="n">
        <x:v>0.05365063310716489</x:v>
      </x:c>
      <x:c r="L32" s="81" t="n">
        <x:v>0.04225678479768679</x:v>
      </x:c>
      <x:c r="M32" s="80" t="n">
        <x:v>74.84508687736715</x:v>
      </x:c>
      <x:c r="N32" s="82" t="n">
        <x:f>H32*(1-J32)*(1-K32)</x:f>
        <x:v>369.53832592945116</x:v>
      </x:c>
      <x:c r="O32" s="82" t="n">
        <x:f>G32*H32</x:f>
        <x:v>11760</x:v>
      </x:c>
      <x:c r="P32" s="82" t="n">
        <x:f>O32*J32</x:f>
        <x:v>826.3284744434782</x:v>
      </x:c>
      <x:c r="Q32" s="82" t="n">
        <x:f>(O32-P32)*K32</x:f>
        <x:v>586.5983995318887</x:v>
      </x:c>
      <x:c r="R32" s="82" t="n">
        <x:f>O32*L32</x:f>
        <x:v>496.9397892207966</x:v>
      </x:c>
      <x:c r="S32" s="82" t="n">
        <x:f>G32*N32-R32-M32</x:f>
        <x:v>9775.288249926469</x:v>
      </x:c>
      <x:c r="T32" s="82" t="n">
        <x:f>G32*I32</x:f>
        <x:v>5040</x:v>
      </x:c>
      <x:c r="U32" s="82" t="n">
        <x:f>S32-T32</x:f>
        <x:v>4735.288249926469</x:v>
      </x:c>
      <x:c r="V32" s="83" t="n">
        <x:f>IFERROR(U32/S32,0)</x:f>
        <x:v>0.48441418082603227</x:v>
      </x:c>
      <x:c r="W32" s="82" t="n">
        <x:f>P32+Q32+R32+M32</x:f>
        <x:v>1984.7117500735308</x:v>
      </x:c>
      <x:c r="X32" s="83" t="n">
        <x:f>IFERROR(W32/O32,0)</x:f>
        <x:v>0.16876800595863356</x:v>
      </x:c>
      <x:c r="Y32" s="84" t="str">
        <x:f>IF(AND(V32&lt;Inputs!$B$12,X32&gt;Inputs!$B$13),"Priority: margin + leakage",IF(V32&lt;Inputs!$B$12,"Margin review",IF(X32&gt;Inputs!$B$13,"Leakage review","Monitor")))</x:f>
        <x:v>Leakage review</x:v>
      </x:c>
      <x:c r="Z32" s="4"/>
    </x:row>
    <x:row r="33" ht="15" hidden="0" customHeight="1">
      <x:c r="A33" s="77" t="str">
        <x:v>T-0030</x:v>
      </x:c>
      <x:c r="B33" s="78" t="n">
        <x:v>45779</x:v>
      </x:c>
      <x:c r="C33" s="77" t="str">
        <x:v>Boreal Clinics</x:v>
      </x:c>
      <x:c r="D33" s="77" t="str">
        <x:v>Enterprise</x:v>
      </x:c>
      <x:c r="E33" s="77" t="str">
        <x:v>SKU-100</x:v>
      </x:c>
      <x:c r="F33" s="77" t="str">
        <x:v>Core Platform</x:v>
      </x:c>
      <x:c r="G33" s="79" t="n">
        <x:v>88</x:v>
      </x:c>
      <x:c r="H33" s="80" t="n">
        <x:v>105</x:v>
      </x:c>
      <x:c r="I33" s="80" t="n">
        <x:v>58</x:v>
      </x:c>
      <x:c r="J33" s="81" t="n">
        <x:v>0.17655561417341445</x:v>
      </x:c>
      <x:c r="K33" s="81" t="n">
        <x:v>0.03478567121848015</x:v>
      </x:c>
      <x:c r="L33" s="81" t="n">
        <x:v>0.06533698666796021</x:v>
      </x:c>
      <x:c r="M33" s="80" t="n">
        <x:v>80.2066831127808</x:v>
      </x:c>
      <x:c r="N33" s="82" t="n">
        <x:f>H33*(1-J33)*(1-K33)</x:f>
        <x:v>83.45403361622445</x:v>
      </x:c>
      <x:c r="O33" s="82" t="n">
        <x:f>G33*H33</x:f>
        <x:v>9240</x:v>
      </x:c>
      <x:c r="P33" s="82" t="n">
        <x:f>O33*J33</x:f>
        <x:v>1631.3738749623494</x:v>
      </x:c>
      <x:c r="Q33" s="82" t="n">
        <x:f>(O33-P33)*K33</x:f>
        <x:v>264.6711668098983</x:v>
      </x:c>
      <x:c r="R33" s="82" t="n">
        <x:f>O33*L33</x:f>
        <x:v>603.7137568119524</x:v>
      </x:c>
      <x:c r="S33" s="82" t="n">
        <x:f>G33*N33-R33-M33</x:f>
        <x:v>6660.034518303019</x:v>
      </x:c>
      <x:c r="T33" s="82" t="n">
        <x:f>G33*I33</x:f>
        <x:v>5104</x:v>
      </x:c>
      <x:c r="U33" s="82" t="n">
        <x:f>S33-T33</x:f>
        <x:v>1556.0345183030186</x:v>
      </x:c>
      <x:c r="V33" s="83" t="n">
        <x:f>IFERROR(U33/S33,0)</x:f>
        <x:v>0.23363760563503763</x:v>
      </x:c>
      <x:c r="W33" s="82" t="n">
        <x:f>P33+Q33+R33+M33</x:f>
        <x:v>2579.965481696981</x:v>
      </x:c>
      <x:c r="X33" s="83" t="n">
        <x:f>IFERROR(W33/O33,0)</x:f>
        <x:v>0.27921704347369924</x:v>
      </x:c>
      <x:c r="Y33" s="84" t="str">
        <x:f>IF(AND(V33&lt;Inputs!$B$12,X33&gt;Inputs!$B$13),"Priority: margin + leakage",IF(V33&lt;Inputs!$B$12,"Margin review",IF(X33&gt;Inputs!$B$13,"Leakage review","Monitor")))</x:f>
        <x:v>Priority: margin + leakage</x:v>
      </x:c>
      <x:c r="Z33" s="4"/>
    </x:row>
    <x:row r="34" ht="15" hidden="0" customHeight="1">
      <x:c r="A34" s="77" t="str">
        <x:v>T-0031</x:v>
      </x:c>
      <x:c r="B34" s="78" t="n">
        <x:v>45659</x:v>
      </x:c>
      <x:c r="C34" s="77" t="str">
        <x:v>Cobalt Services</x:v>
      </x:c>
      <x:c r="D34" s="77" t="str">
        <x:v>Mid-Market</x:v>
      </x:c>
      <x:c r="E34" s="77" t="str">
        <x:v>SKU-400</x:v>
      </x:c>
      <x:c r="F34" s="77" t="str">
        <x:v>Premium Module</x:v>
      </x:c>
      <x:c r="G34" s="79" t="n">
        <x:v>67</x:v>
      </x:c>
      <x:c r="H34" s="80" t="n">
        <x:v>420</x:v>
      </x:c>
      <x:c r="I34" s="80" t="n">
        <x:v>180</x:v>
      </x:c>
      <x:c r="J34" s="81" t="n">
        <x:v>0.0054814586936406395</x:v>
      </x:c>
      <x:c r="K34" s="81" t="n">
        <x:v>0.04084288950532921</x:v>
      </x:c>
      <x:c r="L34" s="81" t="n">
        <x:v>0.0338310644366992</x:v>
      </x:c>
      <x:c r="M34" s="80" t="n">
        <x:v>88.94343306544882</x:v>
      </x:c>
      <x:c r="N34" s="82" t="n">
        <x:f>H34*(1-J34)*(1-K34)</x:f>
        <x:v>400.6378027733686</x:v>
      </x:c>
      <x:c r="O34" s="82" t="n">
        <x:f>G34*H34</x:f>
        <x:v>28140</x:v>
      </x:c>
      <x:c r="P34" s="82" t="n">
        <x:f>O34*J34</x:f>
        <x:v>154.2482476390476</x:v>
      </x:c>
      <x:c r="Q34" s="82" t="n">
        <x:f>(O34-P34)*K34</x:f>
        <x:v>1143.0189665452517</x:v>
      </x:c>
      <x:c r="R34" s="82" t="n">
        <x:f>O34*L34</x:f>
        <x:v>952.0061532487155</x:v>
      </x:c>
      <x:c r="S34" s="82" t="n">
        <x:f>G34*N34-R34-M34</x:f>
        <x:v>25801.783199501533</x:v>
      </x:c>
      <x:c r="T34" s="82" t="n">
        <x:f>G34*I34</x:f>
        <x:v>12060</x:v>
      </x:c>
      <x:c r="U34" s="82" t="n">
        <x:f>S34-T34</x:f>
        <x:v>13741.783199501533</x:v>
      </x:c>
      <x:c r="V34" s="83" t="n">
        <x:f>IFERROR(U34/S34,0)</x:f>
        <x:v>0.5325904451350871</x:v>
      </x:c>
      <x:c r="W34" s="82" t="n">
        <x:f>P34+Q34+R34+M34</x:f>
        <x:v>2338.2168004984637</x:v>
      </x:c>
      <x:c r="X34" s="83" t="n">
        <x:f>IFERROR(W34/O34,0)</x:f>
        <x:v>0.0830922814676071</x:v>
      </x:c>
      <x:c r="Y34" s="84" t="str">
        <x:f>IF(AND(V34&lt;Inputs!$B$12,X34&gt;Inputs!$B$13),"Priority: margin + leakage",IF(V34&lt;Inputs!$B$12,"Margin review",IF(X34&gt;Inputs!$B$13,"Leakage review","Monitor")))</x:f>
        <x:v>Monitor</x:v>
      </x:c>
      <x:c r="Z34" s="4"/>
    </x:row>
    <x:row r="35" ht="15" hidden="0" customHeight="1">
      <x:c r="A35" s="77" t="str">
        <x:v>T-0032</x:v>
      </x:c>
      <x:c r="B35" s="78" t="n">
        <x:v>45942</x:v>
      </x:c>
      <x:c r="C35" s="77" t="str">
        <x:v>Granite Medical</x:v>
      </x:c>
      <x:c r="D35" s="77" t="str">
        <x:v>Mid-Market</x:v>
      </x:c>
      <x:c r="E35" s="77" t="str">
        <x:v>SKU-300</x:v>
      </x:c>
      <x:c r="F35" s="77" t="str">
        <x:v>Services</x:v>
      </x:c>
      <x:c r="G35" s="79" t="n">
        <x:v>105</x:v>
      </x:c>
      <x:c r="H35" s="80" t="n">
        <x:v>125</x:v>
      </x:c>
      <x:c r="I35" s="80" t="n">
        <x:v>78</x:v>
      </x:c>
      <x:c r="J35" s="81" t="n">
        <x:v>0.08127993451019962</x:v>
      </x:c>
      <x:c r="K35" s="81" t="n">
        <x:v>0.015008614398369747</x:v>
      </x:c>
      <x:c r="L35" s="81" t="n">
        <x:v>0.015400879948546033</x:v>
      </x:c>
      <x:c r="M35" s="80" t="n">
        <x:v>0</x:v>
      </x:c>
      <x:c r="N35" s="82" t="n">
        <x:f>H35*(1-J35)*(1-K35)</x:f>
        <x:v>113.11641878585237</x:v>
      </x:c>
      <x:c r="O35" s="82" t="n">
        <x:f>G35*H35</x:f>
        <x:v>13125</x:v>
      </x:c>
      <x:c r="P35" s="82" t="n">
        <x:f>O35*J35</x:f>
        <x:v>1066.79914044637</x:v>
      </x:c>
      <x:c r="Q35" s="82" t="n">
        <x:f>(O35-P35)*K35</x:f>
        <x:v>180.97688703913107</x:v>
      </x:c>
      <x:c r="R35" s="82" t="n">
        <x:f>O35*L35</x:f>
        <x:v>202.13654932466667</x:v>
      </x:c>
      <x:c r="S35" s="82" t="n">
        <x:f>G35*N35-R35-M35</x:f>
        <x:v>11675.087423189832</x:v>
      </x:c>
      <x:c r="T35" s="82" t="n">
        <x:f>G35*I35</x:f>
        <x:v>8190</x:v>
      </x:c>
      <x:c r="U35" s="82" t="n">
        <x:f>S35-T35</x:f>
        <x:v>3485.0874231898324</x:v>
      </x:c>
      <x:c r="V35" s="83" t="n">
        <x:f>IFERROR(U35/S35,0)</x:f>
        <x:v>0.2985063234959184</x:v>
      </x:c>
      <x:c r="W35" s="82" t="n">
        <x:f>P35+Q35+R35+M35</x:f>
        <x:v>1449.9125768101678</x:v>
      </x:c>
      <x:c r="X35" s="83" t="n">
        <x:f>IFERROR(W35/O35,0)</x:f>
        <x:v>0.11046952966172707</x:v>
      </x:c>
      <x:c r="Y35" s="84" t="str">
        <x:f>IF(AND(V35&lt;Inputs!$B$12,X35&gt;Inputs!$B$13),"Priority: margin + leakage",IF(V35&lt;Inputs!$B$12,"Margin review",IF(X35&gt;Inputs!$B$13,"Leakage review","Monitor")))</x:f>
        <x:v>Margin review</x:v>
      </x:c>
      <x:c r="Z35" s="4"/>
    </x:row>
    <x:row r="36" ht="15" hidden="0" customHeight="1">
      <x:c r="A36" s="77" t="str">
        <x:v>T-0033</x:v>
      </x:c>
      <x:c r="B36" s="78" t="n">
        <x:v>45689</x:v>
      </x:c>
      <x:c r="C36" s="77" t="str">
        <x:v>Keystone Health</x:v>
      </x:c>
      <x:c r="D36" s="77" t="str">
        <x:v>Enterprise</x:v>
      </x:c>
      <x:c r="E36" s="77" t="str">
        <x:v>SKU-410</x:v>
      </x:c>
      <x:c r="F36" s="77" t="str">
        <x:v>Premium Module</x:v>
      </x:c>
      <x:c r="G36" s="79" t="n">
        <x:v>24</x:v>
      </x:c>
      <x:c r="H36" s="80" t="n">
        <x:v>575</x:v>
      </x:c>
      <x:c r="I36" s="80" t="n">
        <x:v>235</x:v>
      </x:c>
      <x:c r="J36" s="81" t="n">
        <x:v>0.11904321493878811</x:v>
      </x:c>
      <x:c r="K36" s="81" t="n">
        <x:v>0.05128414276457455</x:v>
      </x:c>
      <x:c r="L36" s="81" t="n">
        <x:v>0.052405653050531416</x:v>
      </x:c>
      <x:c r="M36" s="80" t="n">
        <x:v>172.74841161279326</x:v>
      </x:c>
      <x:c r="N36" s="82" t="n">
        <x:f>H36*(1-J36)*(1-K36)</x:f>
        <x:v>480.5721611278595</x:v>
      </x:c>
      <x:c r="O36" s="82" t="n">
        <x:f>G36*H36</x:f>
        <x:v>13800</x:v>
      </x:c>
      <x:c r="P36" s="82" t="n">
        <x:f>O36*J36</x:f>
        <x:v>1642.796366155276</x:v>
      </x:c>
      <x:c r="Q36" s="82" t="n">
        <x:f>(O36-P36)*K36</x:f>
        <x:v>623.4717667760973</x:v>
      </x:c>
      <x:c r="R36" s="82" t="n">
        <x:f>O36*L36</x:f>
        <x:v>723.1980120973335</x:v>
      </x:c>
      <x:c r="S36" s="82" t="n">
        <x:f>G36*N36-R36-M36</x:f>
        <x:v>10637.785443358502</x:v>
      </x:c>
      <x:c r="T36" s="82" t="n">
        <x:f>G36*I36</x:f>
        <x:v>5640</x:v>
      </x:c>
      <x:c r="U36" s="82" t="n">
        <x:f>S36-T36</x:f>
        <x:v>4997.785443358502</x:v>
      </x:c>
      <x:c r="V36" s="83" t="n">
        <x:f>IFERROR(U36/S36,0)</x:f>
        <x:v>0.46981446185105885</x:v>
      </x:c>
      <x:c r="W36" s="82" t="n">
        <x:f>P36+Q36+R36+M36</x:f>
        <x:v>3162.2145566415</x:v>
      </x:c>
      <x:c r="X36" s="83" t="n">
        <x:f>IFERROR(W36/O36,0)</x:f>
        <x:v>0.2291459823653261</x:v>
      </x:c>
      <x:c r="Y36" s="84" t="str">
        <x:f>IF(AND(V36&lt;Inputs!$B$12,X36&gt;Inputs!$B$13),"Priority: margin + leakage",IF(V36&lt;Inputs!$B$12,"Margin review",IF(X36&gt;Inputs!$B$13,"Leakage review","Monitor")))</x:f>
        <x:v>Leakage review</x:v>
      </x:c>
      <x:c r="Z36" s="4"/>
    </x:row>
    <x:row r="37" ht="15" hidden="0" customHeight="1">
      <x:c r="A37" s="77" t="str">
        <x:v>T-0034</x:v>
      </x:c>
      <x:c r="B37" s="78" t="n">
        <x:v>45687</x:v>
      </x:c>
      <x:c r="C37" s="77" t="str">
        <x:v>Lakeside Clinics</x:v>
      </x:c>
      <x:c r="D37" s="77" t="str">
        <x:v>SMB</x:v>
      </x:c>
      <x:c r="E37" s="77" t="str">
        <x:v>SKU-310</x:v>
      </x:c>
      <x:c r="F37" s="77" t="str">
        <x:v>Services</x:v>
      </x:c>
      <x:c r="G37" s="79" t="n">
        <x:v>12</x:v>
      </x:c>
      <x:c r="H37" s="80" t="n">
        <x:v>260</x:v>
      </x:c>
      <x:c r="I37" s="80" t="n">
        <x:v>165</x:v>
      </x:c>
      <x:c r="J37" s="81" t="n">
        <x:v>0.08287679594072529</x:v>
      </x:c>
      <x:c r="K37" s="81" t="n">
        <x:v>0.043817413251204036</x:v>
      </x:c>
      <x:c r="L37" s="81" t="n">
        <x:v>0.0443726416874905</x:v>
      </x:c>
      <x:c r="M37" s="80" t="n">
        <x:v>21.116550410920865</x:v>
      </x:c>
      <x:c r="N37" s="82" t="n">
        <x:f>H37*(1-J37)*(1-K37)</x:f>
        <x:v>228.0036817824327</x:v>
      </x:c>
      <x:c r="O37" s="82" t="n">
        <x:f>G37*H37</x:f>
        <x:v>3120</x:v>
      </x:c>
      <x:c r="P37" s="82" t="n">
        <x:f>O37*J37</x:f>
        <x:v>258.5756033350629</x:v>
      </x:c>
      <x:c r="Q37" s="82" t="n">
        <x:f>(O37-P37)*K37</x:f>
        <x:v>125.38021527574472</x:v>
      </x:c>
      <x:c r="R37" s="82" t="n">
        <x:f>O37*L37</x:f>
        <x:v>138.44264206497036</x:v>
      </x:c>
      <x:c r="S37" s="82" t="n">
        <x:f>G37*N37-R37-M37</x:f>
        <x:v>2576.484988913301</x:v>
      </x:c>
      <x:c r="T37" s="82" t="n">
        <x:f>G37*I37</x:f>
        <x:v>1980</x:v>
      </x:c>
      <x:c r="U37" s="82" t="n">
        <x:f>S37-T37</x:f>
        <x:v>596.4849889133011</x:v>
      </x:c>
      <x:c r="V37" s="83" t="n">
        <x:f>IFERROR(U37/S37,0)</x:f>
        <x:v>0.23151114463309333</x:v>
      </x:c>
      <x:c r="W37" s="82" t="n">
        <x:f>P37+Q37+R37+M37</x:f>
        <x:v>543.5150110866989</x:v>
      </x:c>
      <x:c r="X37" s="83" t="n">
        <x:f>IFERROR(W37/O37,0)</x:f>
        <x:v>0.17420352919445478</x:v>
      </x:c>
      <x:c r="Y37" s="84" t="str">
        <x:f>IF(AND(V37&lt;Inputs!$B$12,X37&gt;Inputs!$B$13),"Priority: margin + leakage",IF(V37&lt;Inputs!$B$12,"Margin review",IF(X37&gt;Inputs!$B$13,"Leakage review","Monitor")))</x:f>
        <x:v>Priority: margin + leakage</x:v>
      </x:c>
      <x:c r="Z37" s="4"/>
    </x:row>
    <x:row r="38" ht="15" hidden="0" customHeight="1">
      <x:c r="A38" s="77" t="str">
        <x:v>T-0035</x:v>
      </x:c>
      <x:c r="B38" s="78" t="n">
        <x:v>45719</x:v>
      </x:c>
      <x:c r="C38" s="77" t="str">
        <x:v>Ironwood Ops</x:v>
      </x:c>
      <x:c r="D38" s="77" t="str">
        <x:v>SMB</x:v>
      </x:c>
      <x:c r="E38" s="77" t="str">
        <x:v>SKU-110</x:v>
      </x:c>
      <x:c r="F38" s="77" t="str">
        <x:v>Core Platform</x:v>
      </x:c>
      <x:c r="G38" s="79" t="n">
        <x:v>113</x:v>
      </x:c>
      <x:c r="H38" s="80" t="n">
        <x:v>160</x:v>
      </x:c>
      <x:c r="I38" s="80" t="n">
        <x:v>84</x:v>
      </x:c>
      <x:c r="J38" s="81" t="n">
        <x:v>0.06346585314421835</x:v>
      </x:c>
      <x:c r="K38" s="81" t="n">
        <x:v>0.06591876921795685</x:v>
      </x:c>
      <x:c r="L38" s="81" t="n">
        <x:v>0.019031300304771195</x:v>
      </x:c>
      <x:c r="M38" s="80" t="n">
        <x:v>61.23495118503759</x:v>
      </x:c>
      <x:c r="N38" s="82" t="n">
        <x:f>H38*(1-J38)*(1-K38)</x:f>
        <x:v>139.96783497031348</x:v>
      </x:c>
      <x:c r="O38" s="82" t="n">
        <x:f>G38*H38</x:f>
        <x:v>18080</x:v>
      </x:c>
      <x:c r="P38" s="82" t="n">
        <x:f>O38*J38</x:f>
        <x:v>1147.4626248474676</x:v>
      </x:c>
      <x:c r="Q38" s="82" t="n">
        <x:f>(O38-P38)*K38</x:f>
        <x:v>1116.1720235071086</x:v>
      </x:c>
      <x:c r="R38" s="82" t="n">
        <x:f>O38*L38</x:f>
        <x:v>344.0859095102632</x:v>
      </x:c>
      <x:c r="S38" s="82" t="n">
        <x:f>G38*N38-R38-M38</x:f>
        <x:v>15411.044490950124</x:v>
      </x:c>
      <x:c r="T38" s="82" t="n">
        <x:f>G38*I38</x:f>
        <x:v>9492</x:v>
      </x:c>
      <x:c r="U38" s="82" t="n">
        <x:f>S38-T38</x:f>
        <x:v>5919.044490950124</x:v>
      </x:c>
      <x:c r="V38" s="83" t="n">
        <x:f>IFERROR(U38/S38,0)</x:f>
        <x:v>0.3840780872721497</x:v>
      </x:c>
      <x:c r="W38" s="82" t="n">
        <x:f>P38+Q38+R38+M38</x:f>
        <x:v>2668.955509049877</x:v>
      </x:c>
      <x:c r="X38" s="83" t="n">
        <x:f>IFERROR(W38/O38,0)</x:f>
        <x:v>0.14761922063328967</x:v>
      </x:c>
      <x:c r="Y38" s="84" t="str">
        <x:f>IF(AND(V38&lt;Inputs!$B$12,X38&gt;Inputs!$B$13),"Priority: margin + leakage",IF(V38&lt;Inputs!$B$12,"Margin review",IF(X38&gt;Inputs!$B$13,"Leakage review","Monitor")))</x:f>
        <x:v>Leakage review</x:v>
      </x:c>
      <x:c r="Z38" s="4"/>
    </x:row>
    <x:row r="39" ht="15" hidden="0" customHeight="1">
      <x:c r="A39" s="77" t="str">
        <x:v>T-0036</x:v>
      </x:c>
      <x:c r="B39" s="78" t="n">
        <x:v>45925</x:v>
      </x:c>
      <x:c r="C39" s="77" t="str">
        <x:v>Juniper Partners</x:v>
      </x:c>
      <x:c r="D39" s="77" t="str">
        <x:v>Mid-Market</x:v>
      </x:c>
      <x:c r="E39" s="77" t="str">
        <x:v>SKU-210</x:v>
      </x:c>
      <x:c r="F39" s="77" t="str">
        <x:v>Analytics</x:v>
      </x:c>
      <x:c r="G39" s="79" t="n">
        <x:v>79</x:v>
      </x:c>
      <x:c r="H39" s="80" t="n">
        <x:v>310</x:v>
      </x:c>
      <x:c r="I39" s="80" t="n">
        <x:v>142</x:v>
      </x:c>
      <x:c r="J39" s="81" t="n">
        <x:v>0.03468202200517695</x:v>
      </x:c>
      <x:c r="K39" s="81" t="n">
        <x:v>0.015555453972502173</x:v>
      </x:c>
      <x:c r="L39" s="81" t="n">
        <x:v>0.004174460903324302</x:v>
      </x:c>
      <x:c r="M39" s="80" t="n">
        <x:v>177.90682644875938</x:v>
      </x:c>
      <x:c r="N39" s="82" t="n">
        <x:f>H39*(1-J39)*(1-K39)</x:f>
        <x:v>294.59362577198175</x:v>
      </x:c>
      <x:c r="O39" s="82" t="n">
        <x:f>G39*H39</x:f>
        <x:v>24490</x:v>
      </x:c>
      <x:c r="P39" s="82" t="n">
        <x:f>O39*J39</x:f>
        <x:v>849.3627189067835</x:v>
      </x:c>
      <x:c r="Q39" s="82" t="n">
        <x:f>(O39-P39)*K39</x:f>
        <x:v>367.74084510666444</x:v>
      </x:c>
      <x:c r="R39" s="82" t="n">
        <x:f>O39*L39</x:f>
        <x:v>102.23254752241216</x:v>
      </x:c>
      <x:c r="S39" s="82" t="n">
        <x:f>G39*N39-R39-M39</x:f>
        <x:v>22992.757062015386</x:v>
      </x:c>
      <x:c r="T39" s="82" t="n">
        <x:f>G39*I39</x:f>
        <x:v>11218</x:v>
      </x:c>
      <x:c r="U39" s="82" t="n">
        <x:f>S39-T39</x:f>
        <x:v>11774.757062015386</x:v>
      </x:c>
      <x:c r="V39" s="83" t="n">
        <x:f>IFERROR(U39/S39,0)</x:f>
        <x:v>0.5121072270827225</x:v>
      </x:c>
      <x:c r="W39" s="82" t="n">
        <x:f>P39+Q39+R39+M39</x:f>
        <x:v>1497.2429379846194</x:v>
      </x:c>
      <x:c r="X39" s="83" t="n">
        <x:f>IFERROR(W39/O39,0)</x:f>
        <x:v>0.06113691049345118</x:v>
      </x:c>
      <x:c r="Y39" s="84" t="str">
        <x:f>IF(AND(V39&lt;Inputs!$B$12,X39&gt;Inputs!$B$13),"Priority: margin + leakage",IF(V39&lt;Inputs!$B$12,"Margin review",IF(X39&gt;Inputs!$B$13,"Leakage review","Monitor")))</x:f>
        <x:v>Monitor</x:v>
      </x:c>
      <x:c r="Z39" s="4"/>
    </x:row>
    <x:row r="40" ht="15" hidden="0" customHeight="1">
      <x:c r="A40" s="77" t="str">
        <x:v>T-0037</x:v>
      </x:c>
      <x:c r="B40" s="78" t="n">
        <x:v>45988</x:v>
      </x:c>
      <x:c r="C40" s="77" t="str">
        <x:v>Fulton Labs</x:v>
      </x:c>
      <x:c r="D40" s="77" t="str">
        <x:v>SMB</x:v>
      </x:c>
      <x:c r="E40" s="77" t="str">
        <x:v>SKU-300</x:v>
      </x:c>
      <x:c r="F40" s="77" t="str">
        <x:v>Services</x:v>
      </x:c>
      <x:c r="G40" s="79" t="n">
        <x:v>31</x:v>
      </x:c>
      <x:c r="H40" s="80" t="n">
        <x:v>125</x:v>
      </x:c>
      <x:c r="I40" s="80" t="n">
        <x:v>78</x:v>
      </x:c>
      <x:c r="J40" s="81" t="n">
        <x:v>0.030310059320529385</x:v>
      </x:c>
      <x:c r="K40" s="81" t="n">
        <x:v>0.015991239542888155</x:v>
      </x:c>
      <x:c r="L40" s="81" t="n">
        <x:v>0.02406613410175678</x:v>
      </x:c>
      <x:c r="M40" s="80" t="n">
        <x:v>66.08468677180971</x:v>
      </x:c>
      <x:c r="N40" s="82" t="n">
        <x:f>H40*(1-J40)*(1-K40)</x:f>
        <x:v>119.27292456946701</x:v>
      </x:c>
      <x:c r="O40" s="82" t="n">
        <x:f>G40*H40</x:f>
        <x:v>3875</x:v>
      </x:c>
      <x:c r="P40" s="82" t="n">
        <x:f>O40*J40</x:f>
        <x:v>117.45147986705136</x:v>
      </x:c>
      <x:c r="Q40" s="82" t="n">
        <x:f>(O40-P40)*K40</x:f>
        <x:v>60.08785847947088</x:v>
      </x:c>
      <x:c r="R40" s="82" t="n">
        <x:f>O40*L40</x:f>
        <x:v>93.25626964430752</x:v>
      </x:c>
      <x:c r="S40" s="82" t="n">
        <x:f>G40*N40-R40-M40</x:f>
        <x:v>3538.1197052373604</x:v>
      </x:c>
      <x:c r="T40" s="82" t="n">
        <x:f>G40*I40</x:f>
        <x:v>2418</x:v>
      </x:c>
      <x:c r="U40" s="82" t="n">
        <x:f>S40-T40</x:f>
        <x:v>1120.1197052373604</x:v>
      </x:c>
      <x:c r="V40" s="83" t="n">
        <x:f>IFERROR(U40/S40,0)</x:f>
        <x:v>0.31658615268988344</x:v>
      </x:c>
      <x:c r="W40" s="82" t="n">
        <x:f>P40+Q40+R40+M40</x:f>
        <x:v>336.88029476263944</x:v>
      </x:c>
      <x:c r="X40" s="83" t="n">
        <x:f>IFERROR(W40/O40,0)</x:f>
        <x:v>0.0869368502613263</x:v>
      </x:c>
      <x:c r="Y40" s="84" t="str">
        <x:f>IF(AND(V40&lt;Inputs!$B$12,X40&gt;Inputs!$B$13),"Priority: margin + leakage",IF(V40&lt;Inputs!$B$12,"Margin review",IF(X40&gt;Inputs!$B$13,"Leakage review","Monitor")))</x:f>
        <x:v>Monitor</x:v>
      </x:c>
      <x:c r="Z40" s="4"/>
    </x:row>
    <x:row r="41" ht="15" hidden="0" customHeight="1">
      <x:c r="A41" s="77" t="str">
        <x:v>T-0038</x:v>
      </x:c>
      <x:c r="B41" s="78" t="n">
        <x:v>45946</x:v>
      </x:c>
      <x:c r="C41" s="77" t="str">
        <x:v>Evergreen Rehab</x:v>
      </x:c>
      <x:c r="D41" s="77" t="str">
        <x:v>Mid-Market</x:v>
      </x:c>
      <x:c r="E41" s="77" t="str">
        <x:v>SKU-410</x:v>
      </x:c>
      <x:c r="F41" s="77" t="str">
        <x:v>Premium Module</x:v>
      </x:c>
      <x:c r="G41" s="79" t="n">
        <x:v>45</x:v>
      </x:c>
      <x:c r="H41" s="80" t="n">
        <x:v>575</x:v>
      </x:c>
      <x:c r="I41" s="80" t="n">
        <x:v>235</x:v>
      </x:c>
      <x:c r="J41" s="81" t="n">
        <x:v>0.1489822835179248</x:v>
      </x:c>
      <x:c r="K41" s="81" t="n">
        <x:v>0.009733988172577118</x:v>
      </x:c>
      <x:c r="L41" s="81" t="n">
        <x:v>0.05003641339122254</x:v>
      </x:c>
      <x:c r="M41" s="80" t="n">
        <x:v>127.33537778499183</x:v>
      </x:c>
      <x:c r="N41" s="82" t="n">
        <x:f>H41*(1-J41)*(1-K41)</x:f>
        <x:v>484.5720040547314</x:v>
      </x:c>
      <x:c r="O41" s="82" t="n">
        <x:f>G41*H41</x:f>
        <x:v>25875</x:v>
      </x:c>
      <x:c r="P41" s="82" t="n">
        <x:f>O41*J41</x:f>
        <x:v>3854.9165860263042</x:v>
      </x:c>
      <x:c r="Q41" s="82" t="n">
        <x:f>(O41-P41)*K41</x:f>
        <x:v>214.34323151078152</x:v>
      </x:c>
      <x:c r="R41" s="82" t="n">
        <x:f>O41*L41</x:f>
        <x:v>1294.6921964978833</x:v>
      </x:c>
      <x:c r="S41" s="82" t="n">
        <x:f>G41*N41-R41-M41</x:f>
        <x:v>20383.712608180038</x:v>
      </x:c>
      <x:c r="T41" s="82" t="n">
        <x:f>G41*I41</x:f>
        <x:v>10575</x:v>
      </x:c>
      <x:c r="U41" s="82" t="n">
        <x:f>S41-T41</x:f>
        <x:v>9808.712608180038</x:v>
      </x:c>
      <x:c r="V41" s="83" t="n">
        <x:f>IFERROR(U41/S41,0)</x:f>
        <x:v>0.48120343907536134</x:v>
      </x:c>
      <x:c r="W41" s="82" t="n">
        <x:f>P41+Q41+R41+M41</x:f>
        <x:v>5491.28739181996</x:v>
      </x:c>
      <x:c r="X41" s="83" t="n">
        <x:f>IFERROR(W41/O41,0)</x:f>
        <x:v>0.21222366731671344</x:v>
      </x:c>
      <x:c r="Y41" s="84" t="str">
        <x:f>IF(AND(V41&lt;Inputs!$B$12,X41&gt;Inputs!$B$13),"Priority: margin + leakage",IF(V41&lt;Inputs!$B$12,"Margin review",IF(X41&gt;Inputs!$B$13,"Leakage review","Monitor")))</x:f>
        <x:v>Leakage review</x:v>
      </x:c>
      <x:c r="Z41" s="4"/>
    </x:row>
    <x:row r="42" ht="15" hidden="0" customHeight="1">
      <x:c r="A42" s="77" t="str">
        <x:v>T-0039</x:v>
      </x:c>
      <x:c r="B42" s="78" t="n">
        <x:v>45783</x:v>
      </x:c>
      <x:c r="C42" s="77" t="str">
        <x:v>Boreal Clinics</x:v>
      </x:c>
      <x:c r="D42" s="77" t="str">
        <x:v>Enterprise</x:v>
      </x:c>
      <x:c r="E42" s="77" t="str">
        <x:v>SKU-110</x:v>
      </x:c>
      <x:c r="F42" s="77" t="str">
        <x:v>Core Platform</x:v>
      </x:c>
      <x:c r="G42" s="79" t="n">
        <x:v>73</x:v>
      </x:c>
      <x:c r="H42" s="80" t="n">
        <x:v>160</x:v>
      </x:c>
      <x:c r="I42" s="80" t="n">
        <x:v>84</x:v>
      </x:c>
      <x:c r="J42" s="81" t="n">
        <x:v>0.11630448438412949</x:v>
      </x:c>
      <x:c r="K42" s="81" t="n">
        <x:v>0.0541028276482234</x:v>
      </x:c>
      <x:c r="L42" s="81" t="n">
        <x:v>0.058912642316169966</x:v>
      </x:c>
      <x:c r="M42" s="80" t="n">
        <x:v>44.41116409780001</x:v>
      </x:c>
      <x:c r="N42" s="82" t="n">
        <x:f>H42*(1-J42)*(1-K42)</x:f>
        <x:v>133.74161431055956</x:v>
      </x:c>
      <x:c r="O42" s="82" t="n">
        <x:f>G42*H42</x:f>
        <x:v>11680</x:v>
      </x:c>
      <x:c r="P42" s="82" t="n">
        <x:f>O42*J42</x:f>
        <x:v>1358.4363776066325</x:v>
      </x:c>
      <x:c r="Q42" s="82" t="n">
        <x:f>(O42-P42)*K42</x:f>
        <x:v>558.4257777225207</x:v>
      </x:c>
      <x:c r="R42" s="82" t="n">
        <x:f>O42*L42</x:f>
        <x:v>688.0996622528652</x:v>
      </x:c>
      <x:c r="S42" s="82" t="n">
        <x:f>G42*N42-R42-M42</x:f>
        <x:v>9030.627018320181</x:v>
      </x:c>
      <x:c r="T42" s="82" t="n">
        <x:f>G42*I42</x:f>
        <x:v>6132</x:v>
      </x:c>
      <x:c r="U42" s="82" t="n">
        <x:f>S42-T42</x:f>
        <x:v>2898.6270183201814</x:v>
      </x:c>
      <x:c r="V42" s="83" t="n">
        <x:f>IFERROR(U42/S42,0)</x:f>
        <x:v>0.32097738201786186</x:v>
      </x:c>
      <x:c r="W42" s="82" t="n">
        <x:f>P42+Q42+R42+M42</x:f>
        <x:v>2649.372981679818</x:v>
      </x:c>
      <x:c r="X42" s="83" t="n">
        <x:f>IFERROR(W42/O42,0)</x:f>
        <x:v>0.22682987856847758</x:v>
      </x:c>
      <x:c r="Y42" s="84" t="str">
        <x:f>IF(AND(V42&lt;Inputs!$B$12,X42&gt;Inputs!$B$13),"Priority: margin + leakage",IF(V42&lt;Inputs!$B$12,"Margin review",IF(X42&gt;Inputs!$B$13,"Leakage review","Monitor")))</x:f>
        <x:v>Leakage review</x:v>
      </x:c>
      <x:c r="Z42" s="4"/>
    </x:row>
    <x:row r="43" ht="15" hidden="0" customHeight="1">
      <x:c r="A43" s="77" t="str">
        <x:v>T-0040</x:v>
      </x:c>
      <x:c r="B43" s="78" t="n">
        <x:v>45992</x:v>
      </x:c>
      <x:c r="C43" s="77" t="str">
        <x:v>Fulton Labs</x:v>
      </x:c>
      <x:c r="D43" s="77" t="str">
        <x:v>SMB</x:v>
      </x:c>
      <x:c r="E43" s="77" t="str">
        <x:v>SKU-300</x:v>
      </x:c>
      <x:c r="F43" s="77" t="str">
        <x:v>Services</x:v>
      </x:c>
      <x:c r="G43" s="79" t="n">
        <x:v>25</x:v>
      </x:c>
      <x:c r="H43" s="80" t="n">
        <x:v>125</x:v>
      </x:c>
      <x:c r="I43" s="80" t="n">
        <x:v>78</x:v>
      </x:c>
      <x:c r="J43" s="81" t="n">
        <x:v>0.004449098360119461</x:v>
      </x:c>
      <x:c r="K43" s="81" t="n">
        <x:v>0.04685196288327243</x:v>
      </x:c>
      <x:c r="L43" s="81" t="n">
        <x:v>0.008245744280131487</x:v>
      </x:c>
      <x:c r="M43" s="80" t="n">
        <x:v>153.70662699664015</x:v>
      </x:c>
      <x:c r="N43" s="82" t="n">
        <x:f>H43*(1-J43)*(1-K43)</x:f>
        <x:v>118.61342346848006</x:v>
      </x:c>
      <x:c r="O43" s="82" t="n">
        <x:f>G43*H43</x:f>
        <x:v>3125</x:v>
      </x:c>
      <x:c r="P43" s="82" t="n">
        <x:f>O43*J43</x:f>
        <x:v>13.903432375373315</x:v>
      </x:c>
      <x:c r="Q43" s="82" t="n">
        <x:f>(O43-P43)*K43</x:f>
        <x:v>145.76098091262526</x:v>
      </x:c>
      <x:c r="R43" s="82" t="n">
        <x:f>O43*L43</x:f>
        <x:v>25.767950875410897</x:v>
      </x:c>
      <x:c r="S43" s="82" t="n">
        <x:f>G43*N43-R43-M43</x:f>
        <x:v>2785.8610088399505</x:v>
      </x:c>
      <x:c r="T43" s="82" t="n">
        <x:f>G43*I43</x:f>
        <x:v>1950</x:v>
      </x:c>
      <x:c r="U43" s="82" t="n">
        <x:f>S43-T43</x:f>
        <x:v>835.8610088399505</x:v>
      </x:c>
      <x:c r="V43" s="83" t="n">
        <x:f>IFERROR(U43/S43,0)</x:f>
        <x:v>0.3000368669462114</x:v>
      </x:c>
      <x:c r="W43" s="82" t="n">
        <x:f>P43+Q43+R43+M43</x:f>
        <x:v>339.1389911600496</x:v>
      </x:c>
      <x:c r="X43" s="83" t="n">
        <x:f>IFERROR(W43/O43,0)</x:f>
        <x:v>0.10852447717121588</x:v>
      </x:c>
      <x:c r="Y43" s="84" t="str">
        <x:f>IF(AND(V43&lt;Inputs!$B$12,X43&gt;Inputs!$B$13),"Priority: margin + leakage",IF(V43&lt;Inputs!$B$12,"Margin review",IF(X43&gt;Inputs!$B$13,"Leakage review","Monitor")))</x:f>
        <x:v>Monitor</x:v>
      </x:c>
      <x:c r="Z43" s="4"/>
    </x:row>
    <x:row r="44" ht="15" hidden="0" customHeight="1">
      <x:c r="A44" s="77" t="str">
        <x:v>T-0041</x:v>
      </x:c>
      <x:c r="B44" s="78" t="n">
        <x:v>45726</x:v>
      </x:c>
      <x:c r="C44" s="77" t="str">
        <x:v>Ironwood Ops</x:v>
      </x:c>
      <x:c r="D44" s="77" t="str">
        <x:v>SMB</x:v>
      </x:c>
      <x:c r="E44" s="77" t="str">
        <x:v>SKU-100</x:v>
      </x:c>
      <x:c r="F44" s="77" t="str">
        <x:v>Core Platform</x:v>
      </x:c>
      <x:c r="G44" s="79" t="n">
        <x:v>90</x:v>
      </x:c>
      <x:c r="H44" s="80" t="n">
        <x:v>105</x:v>
      </x:c>
      <x:c r="I44" s="80" t="n">
        <x:v>58</x:v>
      </x:c>
      <x:c r="J44" s="81" t="n">
        <x:v>0.057082678164008</x:v>
      </x:c>
      <x:c r="K44" s="81" t="n">
        <x:v>0.015758130553023542</x:v>
      </x:c>
      <x:c r="L44" s="81" t="n">
        <x:v>0.0029637218336908792</x:v>
      </x:c>
      <x:c r="M44" s="80" t="n">
        <x:v>0</x:v>
      </x:c>
      <x:c r="N44" s="82" t="n">
        <x:f>H44*(1-J44)*(1-K44)</x:f>
        <x:v>97.44616429566827</x:v>
      </x:c>
      <x:c r="O44" s="82" t="n">
        <x:f>G44*H44</x:f>
        <x:v>9450</x:v>
      </x:c>
      <x:c r="P44" s="82" t="n">
        <x:f>O44*J44</x:f>
        <x:v>539.4313086498756</x:v>
      </x:c>
      <x:c r="Q44" s="82" t="n">
        <x:f>(O44-P44)*K44</x:f>
        <x:v>140.41390473997942</x:v>
      </x:c>
      <x:c r="R44" s="82" t="n">
        <x:f>O44*L44</x:f>
        <x:v>28.00717132837881</x:v>
      </x:c>
      <x:c r="S44" s="82" t="n">
        <x:f>G44*N44-R44-M44</x:f>
        <x:v>8742.147615281765</x:v>
      </x:c>
      <x:c r="T44" s="82" t="n">
        <x:f>G44*I44</x:f>
        <x:v>5220</x:v>
      </x:c>
      <x:c r="U44" s="82" t="n">
        <x:f>S44-T44</x:f>
        <x:v>3522.147615281765</x:v>
      </x:c>
      <x:c r="V44" s="83" t="n">
        <x:f>IFERROR(U44/S44,0)</x:f>
        <x:v>0.40289271816056427</x:v>
      </x:c>
      <x:c r="W44" s="82" t="n">
        <x:f>P44+Q44+R44+M44</x:f>
        <x:v>707.8523847182339</x:v>
      </x:c>
      <x:c r="X44" s="83" t="n">
        <x:f>IFERROR(W44/O44,0)</x:f>
        <x:v>0.07490501425589777</x:v>
      </x:c>
      <x:c r="Y44" s="84" t="str">
        <x:f>IF(AND(V44&lt;Inputs!$B$12,X44&gt;Inputs!$B$13),"Priority: margin + leakage",IF(V44&lt;Inputs!$B$12,"Margin review",IF(X44&gt;Inputs!$B$13,"Leakage review","Monitor")))</x:f>
        <x:v>Monitor</x:v>
      </x:c>
      <x:c r="Z44" s="4"/>
    </x:row>
    <x:row r="45" ht="15" hidden="0" customHeight="1">
      <x:c r="A45" s="77" t="str">
        <x:v>T-0042</x:v>
      </x:c>
      <x:c r="B45" s="78" t="n">
        <x:v>45833</x:v>
      </x:c>
      <x:c r="C45" s="77" t="str">
        <x:v>Evergreen Rehab</x:v>
      </x:c>
      <x:c r="D45" s="77" t="str">
        <x:v>Mid-Market</x:v>
      </x:c>
      <x:c r="E45" s="77" t="str">
        <x:v>SKU-110</x:v>
      </x:c>
      <x:c r="F45" s="77" t="str">
        <x:v>Core Platform</x:v>
      </x:c>
      <x:c r="G45" s="79" t="n">
        <x:v>118</x:v>
      </x:c>
      <x:c r="H45" s="80" t="n">
        <x:v>160</x:v>
      </x:c>
      <x:c r="I45" s="80" t="n">
        <x:v>84</x:v>
      </x:c>
      <x:c r="J45" s="81" t="n">
        <x:v>0.1097547784624499</x:v>
      </x:c>
      <x:c r="K45" s="81" t="n">
        <x:v>0.05476989219948082</x:v>
      </x:c>
      <x:c r="L45" s="81" t="n">
        <x:v>0.02156711954313504</x:v>
      </x:c>
      <x:c r="M45" s="80" t="n">
        <x:v>241.43348664781368</x:v>
      </x:c>
      <x:c r="N45" s="82" t="n">
        <x:f>H45*(1-J45)*(1-K45)</x:f>
        <x:v>134.6378538756537</x:v>
      </x:c>
      <x:c r="O45" s="82" t="n">
        <x:f>G45*H45</x:f>
        <x:v>18880</x:v>
      </x:c>
      <x:c r="P45" s="82" t="n">
        <x:f>O45*J45</x:f>
        <x:v>2072.170217371054</x:v>
      </x:c>
      <x:c r="Q45" s="82" t="n">
        <x:f>(O45-P45)*K45</x:f>
        <x:v>920.5630253018105</x:v>
      </x:c>
      <x:c r="R45" s="82" t="n">
        <x:f>O45*L45</x:f>
        <x:v>407.18721697438957</x:v>
      </x:c>
      <x:c r="S45" s="82" t="n">
        <x:f>G45*N45-R45-M45</x:f>
        <x:v>15238.646053704933</x:v>
      </x:c>
      <x:c r="T45" s="82" t="n">
        <x:f>G45*I45</x:f>
        <x:v>9912</x:v>
      </x:c>
      <x:c r="U45" s="82" t="n">
        <x:f>S45-T45</x:f>
        <x:v>5326.646053704933</x:v>
      </x:c>
      <x:c r="V45" s="83" t="n">
        <x:f>IFERROR(U45/S45,0)</x:f>
        <x:v>0.3495485120484099</x:v>
      </x:c>
      <x:c r="W45" s="82" t="n">
        <x:f>P45+Q45+R45+M45</x:f>
        <x:v>3641.353946295068</x:v>
      </x:c>
      <x:c r="X45" s="83" t="n">
        <x:f>IFERROR(W45/O45,0)</x:f>
        <x:v>0.19286832342664556</x:v>
      </x:c>
      <x:c r="Y45" s="84" t="str">
        <x:f>IF(AND(V45&lt;Inputs!$B$12,X45&gt;Inputs!$B$13),"Priority: margin + leakage",IF(V45&lt;Inputs!$B$12,"Margin review",IF(X45&gt;Inputs!$B$13,"Leakage review","Monitor")))</x:f>
        <x:v>Leakage review</x:v>
      </x:c>
      <x:c r="Z45" s="4"/>
    </x:row>
    <x:row r="46" ht="15" hidden="0" customHeight="1">
      <x:c r="A46" s="77" t="str">
        <x:v>T-0043</x:v>
      </x:c>
      <x:c r="B46" s="78" t="n">
        <x:v>45874</x:v>
      </x:c>
      <x:c r="C46" s="77" t="str">
        <x:v>Delta Dental Group</x:v>
      </x:c>
      <x:c r="D46" s="77" t="str">
        <x:v>Enterprise</x:v>
      </x:c>
      <x:c r="E46" s="77" t="str">
        <x:v>SKU-300</x:v>
      </x:c>
      <x:c r="F46" s="77" t="str">
        <x:v>Services</x:v>
      </x:c>
      <x:c r="G46" s="79" t="n">
        <x:v>69</x:v>
      </x:c>
      <x:c r="H46" s="80" t="n">
        <x:v>125</x:v>
      </x:c>
      <x:c r="I46" s="80" t="n">
        <x:v>78</x:v>
      </x:c>
      <x:c r="J46" s="81" t="n">
        <x:v>0.03419921481748804</x:v>
      </x:c>
      <x:c r="K46" s="81" t="n">
        <x:v>0.038908151324644175</x:v>
      </x:c>
      <x:c r="L46" s="81" t="n">
        <x:v>0.029497940651718988</x:v>
      </x:c>
      <x:c r="M46" s="80" t="n">
        <x:v>30.509367564716072</x:v>
      </x:c>
      <x:c r="N46" s="82" t="n">
        <x:f>H46*(1-J46)*(1-K46)</x:f>
        <x:v>116.02790776039632</x:v>
      </x:c>
      <x:c r="O46" s="82" t="n">
        <x:f>G46*H46</x:f>
        <x:v>8625</x:v>
      </x:c>
      <x:c r="P46" s="82" t="n">
        <x:f>O46*J46</x:f>
        <x:v>294.96822780083437</x:v>
      </x:c>
      <x:c r="Q46" s="82" t="n">
        <x:f>(O46-P46)*K46</x:f>
        <x:v>324.106136731819</x:v>
      </x:c>
      <x:c r="R46" s="82" t="n">
        <x:f>O46*L46</x:f>
        <x:v>254.41973812107628</x:v>
      </x:c>
      <x:c r="S46" s="82" t="n">
        <x:f>G46*N46-R46-M46</x:f>
        <x:v>7720.996529781554</x:v>
      </x:c>
      <x:c r="T46" s="82" t="n">
        <x:f>G46*I46</x:f>
        <x:v>5382</x:v>
      </x:c>
      <x:c r="U46" s="82" t="n">
        <x:f>S46-T46</x:f>
        <x:v>2338.9965297815543</x:v>
      </x:c>
      <x:c r="V46" s="83" t="n">
        <x:f>IFERROR(U46/S46,0)</x:f>
        <x:v>0.302939720379298</x:v>
      </x:c>
      <x:c r="W46" s="82" t="n">
        <x:f>P46+Q46+R46+M46</x:f>
        <x:v>904.0034702184457</x:v>
      </x:c>
      <x:c r="X46" s="83" t="n">
        <x:f>IFERROR(W46/O46,0)</x:f>
        <x:v>0.10481199654706617</x:v>
      </x:c>
      <x:c r="Y46" s="84" t="str">
        <x:f>IF(AND(V46&lt;Inputs!$B$12,X46&gt;Inputs!$B$13),"Priority: margin + leakage",IF(V46&lt;Inputs!$B$12,"Margin review",IF(X46&gt;Inputs!$B$13,"Leakage review","Monitor")))</x:f>
        <x:v>Monitor</x:v>
      </x:c>
      <x:c r="Z46" s="4"/>
    </x:row>
    <x:row r="47" ht="15" hidden="0" customHeight="1">
      <x:c r="A47" s="77" t="str">
        <x:v>T-0044</x:v>
      </x:c>
      <x:c r="B47" s="78" t="n">
        <x:v>45884</x:v>
      </x:c>
      <x:c r="C47" s="77" t="str">
        <x:v>Evergreen Rehab</x:v>
      </x:c>
      <x:c r="D47" s="77" t="str">
        <x:v>Mid-Market</x:v>
      </x:c>
      <x:c r="E47" s="77" t="str">
        <x:v>SKU-100</x:v>
      </x:c>
      <x:c r="F47" s="77" t="str">
        <x:v>Core Platform</x:v>
      </x:c>
      <x:c r="G47" s="79" t="n">
        <x:v>5</x:v>
      </x:c>
      <x:c r="H47" s="80" t="n">
        <x:v>105</x:v>
      </x:c>
      <x:c r="I47" s="80" t="n">
        <x:v>58</x:v>
      </x:c>
      <x:c r="J47" s="81" t="n">
        <x:v>0.0657106036435522</x:v>
      </x:c>
      <x:c r="K47" s="81" t="n">
        <x:v>0.04645551529746188</x:v>
      </x:c>
      <x:c r="L47" s="81" t="n">
        <x:v>0.03560058266592744</x:v>
      </x:c>
      <x:c r="M47" s="80" t="n">
        <x:v>113.23580320722517</x:v>
      </x:c>
      <x:c r="N47" s="82" t="n">
        <x:f>H47*(1-J47)*(1-K47)</x:f>
        <x:v>93.54308260623422</x:v>
      </x:c>
      <x:c r="O47" s="82" t="n">
        <x:f>G47*H47</x:f>
        <x:v>525</x:v>
      </x:c>
      <x:c r="P47" s="82" t="n">
        <x:f>O47*J47</x:f>
        <x:v>34.49806691286491</x:v>
      </x:c>
      <x:c r="Q47" s="82" t="n">
        <x:f>(O47-P47)*K47</x:f>
        <x:v>22.786520055964026</x:v>
      </x:c>
      <x:c r="R47" s="82" t="n">
        <x:f>O47*L47</x:f>
        <x:v>18.690305899611904</x:v>
      </x:c>
      <x:c r="S47" s="82" t="n">
        <x:f>G47*N47-R47-M47</x:f>
        <x:v>335.78930392433404</x:v>
      </x:c>
      <x:c r="T47" s="82" t="n">
        <x:f>G47*I47</x:f>
        <x:v>290</x:v>
      </x:c>
      <x:c r="U47" s="82" t="n">
        <x:f>S47-T47</x:f>
        <x:v>45.789303924334035</x:v>
      </x:c>
      <x:c r="V47" s="83" t="n">
        <x:f>IFERROR(U47/S47,0)</x:f>
        <x:v>0.1363631997481733</x:v>
      </x:c>
      <x:c r="W47" s="82" t="n">
        <x:f>P47+Q47+R47+M47</x:f>
        <x:v>189.21069607566602</x:v>
      </x:c>
      <x:c r="X47" s="83" t="n">
        <x:f>IFERROR(W47/O47,0)</x:f>
        <x:v>0.36040132585841145</x:v>
      </x:c>
      <x:c r="Y47" s="84" t="str">
        <x:f>IF(AND(V47&lt;Inputs!$B$12,X47&gt;Inputs!$B$13),"Priority: margin + leakage",IF(V47&lt;Inputs!$B$12,"Margin review",IF(X47&gt;Inputs!$B$13,"Leakage review","Monitor")))</x:f>
        <x:v>Priority: margin + leakage</x:v>
      </x:c>
      <x:c r="Z47" s="4"/>
    </x:row>
    <x:row r="48" ht="15" hidden="0" customHeight="1">
      <x:c r="A48" s="77" t="str">
        <x:v>T-0045</x:v>
      </x:c>
      <x:c r="B48" s="78" t="n">
        <x:v>45937</x:v>
      </x:c>
      <x:c r="C48" s="77" t="str">
        <x:v>Ironwood Ops</x:v>
      </x:c>
      <x:c r="D48" s="77" t="str">
        <x:v>SMB</x:v>
      </x:c>
      <x:c r="E48" s="77" t="str">
        <x:v>SKU-400</x:v>
      </x:c>
      <x:c r="F48" s="77" t="str">
        <x:v>Premium Module</x:v>
      </x:c>
      <x:c r="G48" s="79" t="n">
        <x:v>76</x:v>
      </x:c>
      <x:c r="H48" s="80" t="n">
        <x:v>420</x:v>
      </x:c>
      <x:c r="I48" s="80" t="n">
        <x:v>180</x:v>
      </x:c>
      <x:c r="J48" s="81" t="n">
        <x:v>0.0588182913909115</x:v>
      </x:c>
      <x:c r="K48" s="81" t="n">
        <x:v>0.035600418411311806</x:v>
      </x:c>
      <x:c r="L48" s="81" t="n">
        <x:v>0.053917284813085345</x:v>
      </x:c>
      <x:c r="M48" s="80" t="n">
        <x:v>0</x:v>
      </x:c>
      <x:c r="N48" s="82" t="n">
        <x:f>H48*(1-J48)*(1-K48)</x:f>
        <x:v>381.22360331224326</x:v>
      </x:c>
      <x:c r="O48" s="82" t="n">
        <x:f>G48*H48</x:f>
        <x:v>31920</x:v>
      </x:c>
      <x:c r="P48" s="82" t="n">
        <x:f>O48*J48</x:f>
        <x:v>1877.4798611978952</x:v>
      </x:c>
      <x:c r="Q48" s="82" t="n">
        <x:f>(O48-P48)*K48</x:f>
        <x:v>1069.5262870716163</x:v>
      </x:c>
      <x:c r="R48" s="82" t="n">
        <x:f>O48*L48</x:f>
        <x:v>1721.0397312336843</x:v>
      </x:c>
      <x:c r="S48" s="82" t="n">
        <x:f>G48*N48-R48-M48</x:f>
        <x:v>27251.954120496805</x:v>
      </x:c>
      <x:c r="T48" s="82" t="n">
        <x:f>G48*I48</x:f>
        <x:v>13680</x:v>
      </x:c>
      <x:c r="U48" s="82" t="n">
        <x:f>S48-T48</x:f>
        <x:v>13571.954120496805</x:v>
      </x:c>
      <x:c r="V48" s="83" t="n">
        <x:f>IFERROR(U48/S48,0)</x:f>
        <x:v>0.49801764895417294</x:v>
      </x:c>
      <x:c r="W48" s="82" t="n">
        <x:f>P48+Q48+R48+M48</x:f>
        <x:v>4668.0458795031955</x:v>
      </x:c>
      <x:c r="X48" s="83" t="n">
        <x:f>IFERROR(W48/O48,0)</x:f>
        <x:v>0.14624203883155373</x:v>
      </x:c>
      <x:c r="Y48" s="84" t="str">
        <x:f>IF(AND(V48&lt;Inputs!$B$12,X48&gt;Inputs!$B$13),"Priority: margin + leakage",IF(V48&lt;Inputs!$B$12,"Margin review",IF(X48&gt;Inputs!$B$13,"Leakage review","Monitor")))</x:f>
        <x:v>Leakage review</x:v>
      </x:c>
      <x:c r="Z48" s="4"/>
    </x:row>
    <x:row r="49" ht="15" hidden="0" customHeight="1">
      <x:c r="A49" s="77" t="str">
        <x:v>T-0046</x:v>
      </x:c>
      <x:c r="B49" s="78" t="n">
        <x:v>45678</x:v>
      </x:c>
      <x:c r="C49" s="77" t="str">
        <x:v>Acme Health</x:v>
      </x:c>
      <x:c r="D49" s="77" t="str">
        <x:v>Enterprise</x:v>
      </x:c>
      <x:c r="E49" s="77" t="str">
        <x:v>SKU-310</x:v>
      </x:c>
      <x:c r="F49" s="77" t="str">
        <x:v>Services</x:v>
      </x:c>
      <x:c r="G49" s="79" t="n">
        <x:v>79</x:v>
      </x:c>
      <x:c r="H49" s="80" t="n">
        <x:v>260</x:v>
      </x:c>
      <x:c r="I49" s="80" t="n">
        <x:v>165</x:v>
      </x:c>
      <x:c r="J49" s="81" t="n">
        <x:v>0.07490385292451265</x:v>
      </x:c>
      <x:c r="K49" s="81" t="n">
        <x:v>0.026412657006611558</x:v>
      </x:c>
      <x:c r="L49" s="81" t="n">
        <x:v>0.04155541918815646</x:v>
      </x:c>
      <x:c r="M49" s="80" t="n">
        <x:v>54.897997189353525</x:v>
      </x:c>
      <x:c r="N49" s="82" t="n">
        <x:f>H49*(1-J49)*(1-K49)</x:f>
        <x:v>234.1720939596076</x:v>
      </x:c>
      <x:c r="O49" s="82" t="n">
        <x:f>G49*H49</x:f>
        <x:v>20540</x:v>
      </x:c>
      <x:c r="P49" s="82" t="n">
        <x:f>O49*J49</x:f>
        <x:v>1538.52513906949</x:v>
      </x:c>
      <x:c r="Q49" s="82" t="n">
        <x:f>(O49-P49)*K49</x:f>
        <x:v>501.8794381215096</x:v>
      </x:c>
      <x:c r="R49" s="82" t="n">
        <x:f>O49*L49</x:f>
        <x:v>853.5483101247337</x:v>
      </x:c>
      <x:c r="S49" s="82" t="n">
        <x:f>G49*N49-R49-M49</x:f>
        <x:v>17591.149115494914</x:v>
      </x:c>
      <x:c r="T49" s="82" t="n">
        <x:f>G49*I49</x:f>
        <x:v>13035</x:v>
      </x:c>
      <x:c r="U49" s="82" t="n">
        <x:f>S49-T49</x:f>
        <x:v>4556.149115494914</x:v>
      </x:c>
      <x:c r="V49" s="83" t="n">
        <x:f>IFERROR(U49/S49,0)</x:f>
        <x:v>0.25900235883292555</x:v>
      </x:c>
      <x:c r="W49" s="82" t="n">
        <x:f>P49+Q49+R49+M49</x:f>
        <x:v>2948.850884505087</x:v>
      </x:c>
      <x:c r="X49" s="83" t="n">
        <x:f>IFERROR(W49/O49,0)</x:f>
        <x:v>0.143566255331309</x:v>
      </x:c>
      <x:c r="Y49" s="84" t="str">
        <x:f>IF(AND(V49&lt;Inputs!$B$12,X49&gt;Inputs!$B$13),"Priority: margin + leakage",IF(V49&lt;Inputs!$B$12,"Margin review",IF(X49&gt;Inputs!$B$13,"Leakage review","Monitor")))</x:f>
        <x:v>Priority: margin + leakage</x:v>
      </x:c>
      <x:c r="Z49" s="4"/>
    </x:row>
    <x:row r="50" ht="15" hidden="0" customHeight="1">
      <x:c r="A50" s="77" t="str">
        <x:v>T-0047</x:v>
      </x:c>
      <x:c r="B50" s="78" t="n">
        <x:v>45866</x:v>
      </x:c>
      <x:c r="C50" s="77" t="str">
        <x:v>Fulton Labs</x:v>
      </x:c>
      <x:c r="D50" s="77" t="str">
        <x:v>SMB</x:v>
      </x:c>
      <x:c r="E50" s="77" t="str">
        <x:v>SKU-210</x:v>
      </x:c>
      <x:c r="F50" s="77" t="str">
        <x:v>Analytics</x:v>
      </x:c>
      <x:c r="G50" s="79" t="n">
        <x:v>92</x:v>
      </x:c>
      <x:c r="H50" s="80" t="n">
        <x:v>310</x:v>
      </x:c>
      <x:c r="I50" s="80" t="n">
        <x:v>142</x:v>
      </x:c>
      <x:c r="J50" s="81" t="n">
        <x:v>0.045048167553570564</x:v>
      </x:c>
      <x:c r="K50" s="81" t="n">
        <x:v>0.046644119772854584</x:v>
      </x:c>
      <x:c r="L50" s="81" t="n">
        <x:v>0.03202958801160776</x:v>
      </x:c>
      <x:c r="M50" s="80" t="n">
        <x:v>0</x:v>
      </x:c>
      <x:c r="N50" s="82" t="n">
        <x:f>H50*(1-J50)*(1-K50)</x:f>
        <x:v>282.2267728869123</x:v>
      </x:c>
      <x:c r="O50" s="82" t="n">
        <x:f>G50*H50</x:f>
        <x:v>28520</x:v>
      </x:c>
      <x:c r="P50" s="82" t="n">
        <x:f>O50*J50</x:f>
        <x:v>1284.7737386278325</x:v>
      </x:c>
      <x:c r="Q50" s="82" t="n">
        <x:f>(O50-P50)*K50</x:f>
        <x:v>1270.363155776238</x:v>
      </x:c>
      <x:c r="R50" s="82" t="n">
        <x:f>O50*L50</x:f>
        <x:v>913.4838500910533</x:v>
      </x:c>
      <x:c r="S50" s="82" t="n">
        <x:f>G50*N50-R50-M50</x:f>
        <x:v>25051.37925550488</x:v>
      </x:c>
      <x:c r="T50" s="82" t="n">
        <x:f>G50*I50</x:f>
        <x:v>13064</x:v>
      </x:c>
      <x:c r="U50" s="82" t="n">
        <x:f>S50-T50</x:f>
        <x:v>11987.379255504879</x:v>
      </x:c>
      <x:c r="V50" s="83" t="n">
        <x:f>IFERROR(U50/S50,0)</x:f>
        <x:v>0.4785117471274852</x:v>
      </x:c>
      <x:c r="W50" s="82" t="n">
        <x:f>P50+Q50+R50+M50</x:f>
        <x:v>3468.6207444951237</x:v>
      </x:c>
      <x:c r="X50" s="83" t="n">
        <x:f>IFERROR(W50/O50,0)</x:f>
        <x:v>0.12162064321511654</x:v>
      </x:c>
      <x:c r="Y50" s="84" t="str">
        <x:f>IF(AND(V50&lt;Inputs!$B$12,X50&gt;Inputs!$B$13),"Priority: margin + leakage",IF(V50&lt;Inputs!$B$12,"Margin review",IF(X50&gt;Inputs!$B$13,"Leakage review","Monitor")))</x:f>
        <x:v>Leakage review</x:v>
      </x:c>
      <x:c r="Z50" s="4"/>
    </x:row>
    <x:row r="51" ht="15" hidden="0" customHeight="1">
      <x:c r="A51" s="77" t="str">
        <x:v>T-0048</x:v>
      </x:c>
      <x:c r="B51" s="78" t="n">
        <x:v>45670</x:v>
      </x:c>
      <x:c r="C51" s="77" t="str">
        <x:v>Juniper Partners</x:v>
      </x:c>
      <x:c r="D51" s="77" t="str">
        <x:v>Mid-Market</x:v>
      </x:c>
      <x:c r="E51" s="77" t="str">
        <x:v>SKU-200</x:v>
      </x:c>
      <x:c r="F51" s="77" t="str">
        <x:v>Analytics</x:v>
      </x:c>
      <x:c r="G51" s="79" t="n">
        <x:v>35</x:v>
      </x:c>
      <x:c r="H51" s="80" t="n">
        <x:v>220</x:v>
      </x:c>
      <x:c r="I51" s="80" t="n">
        <x:v>98</x:v>
      </x:c>
      <x:c r="J51" s="81" t="n">
        <x:v>0.13811088835285867</x:v>
      </x:c>
      <x:c r="K51" s="81" t="n">
        <x:v>0</x:v>
      </x:c>
      <x:c r="L51" s="81" t="n">
        <x:v>0.03885067817685611</x:v>
      </x:c>
      <x:c r="M51" s="80" t="n">
        <x:v>0</x:v>
      </x:c>
      <x:c r="N51" s="82" t="n">
        <x:f>H51*(1-J51)*(1-K51)</x:f>
        <x:v>189.6156045623711</x:v>
      </x:c>
      <x:c r="O51" s="82" t="n">
        <x:f>G51*H51</x:f>
        <x:v>7700</x:v>
      </x:c>
      <x:c r="P51" s="82" t="n">
        <x:f>O51*J51</x:f>
        <x:v>1063.4538403170118</x:v>
      </x:c>
      <x:c r="Q51" s="82" t="n">
        <x:f>(O51-P51)*K51</x:f>
        <x:v>0</x:v>
      </x:c>
      <x:c r="R51" s="82" t="n">
        <x:f>O51*L51</x:f>
        <x:v>299.15022196179206</x:v>
      </x:c>
      <x:c r="S51" s="82" t="n">
        <x:f>G51*N51-R51-M51</x:f>
        <x:v>6337.395937721196</x:v>
      </x:c>
      <x:c r="T51" s="82" t="n">
        <x:f>G51*I51</x:f>
        <x:v>3430</x:v>
      </x:c>
      <x:c r="U51" s="82" t="n">
        <x:f>S51-T51</x:f>
        <x:v>2907.395937721196</x:v>
      </x:c>
      <x:c r="V51" s="83" t="n">
        <x:f>IFERROR(U51/S51,0)</x:f>
        <x:v>0.4587682332448111</x:v>
      </x:c>
      <x:c r="W51" s="82" t="n">
        <x:f>P51+Q51+R51+M51</x:f>
        <x:v>1362.604062278804</x:v>
      </x:c>
      <x:c r="X51" s="83" t="n">
        <x:f>IFERROR(W51/O51,0)</x:f>
        <x:v>0.1769615665297148</x:v>
      </x:c>
      <x:c r="Y51" s="84" t="str">
        <x:f>IF(AND(V51&lt;Inputs!$B$12,X51&gt;Inputs!$B$13),"Priority: margin + leakage",IF(V51&lt;Inputs!$B$12,"Margin review",IF(X51&gt;Inputs!$B$13,"Leakage review","Monitor")))</x:f>
        <x:v>Leakage review</x:v>
      </x:c>
      <x:c r="Z51" s="4"/>
    </x:row>
    <x:row r="52" ht="15" hidden="0" customHeight="1">
      <x:c r="A52" s="77" t="str">
        <x:v>T-0049</x:v>
      </x:c>
      <x:c r="B52" s="78" t="n">
        <x:v>45794</x:v>
      </x:c>
      <x:c r="C52" s="77" t="str">
        <x:v>Cobalt Services</x:v>
      </x:c>
      <x:c r="D52" s="77" t="str">
        <x:v>Mid-Market</x:v>
      </x:c>
      <x:c r="E52" s="77" t="str">
        <x:v>SKU-310</x:v>
      </x:c>
      <x:c r="F52" s="77" t="str">
        <x:v>Services</x:v>
      </x:c>
      <x:c r="G52" s="79" t="n">
        <x:v>105</x:v>
      </x:c>
      <x:c r="H52" s="80" t="n">
        <x:v>260</x:v>
      </x:c>
      <x:c r="I52" s="80" t="n">
        <x:v>165</x:v>
      </x:c>
      <x:c r="J52" s="81" t="n">
        <x:v>0.13215279472421396</x:v>
      </x:c>
      <x:c r="K52" s="81" t="n">
        <x:v>0.016044957323970387</x:v>
      </x:c>
      <x:c r="L52" s="81" t="n">
        <x:v>0.04657472792221516</x:v>
      </x:c>
      <x:c r="M52" s="80" t="n">
        <x:v>0</x:v>
      </x:c>
      <x:c r="N52" s="82" t="n">
        <x:f>H52*(1-J52)*(1-K52)</x:f>
        <x:v>222.01988481488638</x:v>
      </x:c>
      <x:c r="O52" s="82" t="n">
        <x:f>G52*H52</x:f>
        <x:v>27300</x:v>
      </x:c>
      <x:c r="P52" s="82" t="n">
        <x:f>O52*J52</x:f>
        <x:v>3607.771295971041</x:v>
      </x:c>
      <x:c r="Q52" s="82" t="n">
        <x:f>(O52-P52)*K52</x:f>
        <x:v>380.1407984658909</x:v>
      </x:c>
      <x:c r="R52" s="82" t="n">
        <x:f>O52*L52</x:f>
        <x:v>1271.490072276474</x:v>
      </x:c>
      <x:c r="S52" s="82" t="n">
        <x:f>G52*N52-R52-M52</x:f>
        <x:v>22040.597833286596</x:v>
      </x:c>
      <x:c r="T52" s="82" t="n">
        <x:f>G52*I52</x:f>
        <x:v>17325</x:v>
      </x:c>
      <x:c r="U52" s="82" t="n">
        <x:f>S52-T52</x:f>
        <x:v>4715.597833286596</x:v>
      </x:c>
      <x:c r="V52" s="83" t="n">
        <x:f>IFERROR(U52/S52,0)</x:f>
        <x:v>0.21395054113118978</x:v>
      </x:c>
      <x:c r="W52" s="82" t="n">
        <x:f>P52+Q52+R52+M52</x:f>
        <x:v>5259.402166713406</x:v>
      </x:c>
      <x:c r="X52" s="83" t="n">
        <x:f>IFERROR(W52/O52,0)</x:f>
        <x:v>0.19265209401880606</x:v>
      </x:c>
      <x:c r="Y52" s="84" t="str">
        <x:f>IF(AND(V52&lt;Inputs!$B$12,X52&gt;Inputs!$B$13),"Priority: margin + leakage",IF(V52&lt;Inputs!$B$12,"Margin review",IF(X52&gt;Inputs!$B$13,"Leakage review","Monitor")))</x:f>
        <x:v>Priority: margin + leakage</x:v>
      </x:c>
      <x:c r="Z52" s="4"/>
    </x:row>
    <x:row r="53" ht="15" hidden="0" customHeight="1">
      <x:c r="A53" s="77" t="str">
        <x:v>T-0050</x:v>
      </x:c>
      <x:c r="B53" s="78" t="n">
        <x:v>45893</x:v>
      </x:c>
      <x:c r="C53" s="77" t="str">
        <x:v>Cobalt Services</x:v>
      </x:c>
      <x:c r="D53" s="77" t="str">
        <x:v>Mid-Market</x:v>
      </x:c>
      <x:c r="E53" s="77" t="str">
        <x:v>SKU-110</x:v>
      </x:c>
      <x:c r="F53" s="77" t="str">
        <x:v>Core Platform</x:v>
      </x:c>
      <x:c r="G53" s="79" t="n">
        <x:v>53</x:v>
      </x:c>
      <x:c r="H53" s="80" t="n">
        <x:v>160</x:v>
      </x:c>
      <x:c r="I53" s="80" t="n">
        <x:v>84</x:v>
      </x:c>
      <x:c r="J53" s="81" t="n">
        <x:v>0.12307228601940291</x:v>
      </x:c>
      <x:c r="K53" s="81" t="n">
        <x:v>0</x:v>
      </x:c>
      <x:c r="L53" s="81" t="n">
        <x:v>0.030713293028705495</x:v>
      </x:c>
      <x:c r="M53" s="80" t="n">
        <x:v>283.2769506539979</x:v>
      </x:c>
      <x:c r="N53" s="82" t="n">
        <x:f>H53*(1-J53)*(1-K53)</x:f>
        <x:v>140.30843423689555</x:v>
      </x:c>
      <x:c r="O53" s="82" t="n">
        <x:f>G53*H53</x:f>
        <x:v>8480</x:v>
      </x:c>
      <x:c r="P53" s="82" t="n">
        <x:f>O53*J53</x:f>
        <x:v>1043.6529854445366</x:v>
      </x:c>
      <x:c r="Q53" s="82" t="n">
        <x:f>(O53-P53)*K53</x:f>
        <x:v>0</x:v>
      </x:c>
      <x:c r="R53" s="82" t="n">
        <x:f>O53*L53</x:f>
        <x:v>260.4487248834226</x:v>
      </x:c>
      <x:c r="S53" s="82" t="n">
        <x:f>G53*N53-R53-M53</x:f>
        <x:v>6892.621339018043</x:v>
      </x:c>
      <x:c r="T53" s="82" t="n">
        <x:f>G53*I53</x:f>
        <x:v>4452</x:v>
      </x:c>
      <x:c r="U53" s="82" t="n">
        <x:f>S53-T53</x:f>
        <x:v>2440.621339018043</x:v>
      </x:c>
      <x:c r="V53" s="83" t="n">
        <x:f>IFERROR(U53/S53,0)</x:f>
        <x:v>0.35409189319628953</x:v>
      </x:c>
      <x:c r="W53" s="82" t="n">
        <x:f>P53+Q53+R53+M53</x:f>
        <x:v>1587.3786609819572</x:v>
      </x:c>
      <x:c r="X53" s="83" t="n">
        <x:f>IFERROR(W53/O53,0)</x:f>
        <x:v>0.18719087983277796</x:v>
      </x:c>
      <x:c r="Y53" s="84" t="str">
        <x:f>IF(AND(V53&lt;Inputs!$B$12,X53&gt;Inputs!$B$13),"Priority: margin + leakage",IF(V53&lt;Inputs!$B$12,"Margin review",IF(X53&gt;Inputs!$B$13,"Leakage review","Monitor")))</x:f>
        <x:v>Leakage review</x:v>
      </x:c>
      <x:c r="Z53" s="4"/>
    </x:row>
    <x:row r="54" ht="15" hidden="0" customHeight="1">
      <x:c r="A54" s="77" t="str">
        <x:v>T-0051</x:v>
      </x:c>
      <x:c r="B54" s="78" t="n">
        <x:v>45826</x:v>
      </x:c>
      <x:c r="C54" s="77" t="str">
        <x:v>Fulton Labs</x:v>
      </x:c>
      <x:c r="D54" s="77" t="str">
        <x:v>SMB</x:v>
      </x:c>
      <x:c r="E54" s="77" t="str">
        <x:v>SKU-300</x:v>
      </x:c>
      <x:c r="F54" s="77" t="str">
        <x:v>Services</x:v>
      </x:c>
      <x:c r="G54" s="79" t="n">
        <x:v>110</x:v>
      </x:c>
      <x:c r="H54" s="80" t="n">
        <x:v>125</x:v>
      </x:c>
      <x:c r="I54" s="80" t="n">
        <x:v>78</x:v>
      </x:c>
      <x:c r="J54" s="81" t="n">
        <x:v>0.0520700574332527</x:v>
      </x:c>
      <x:c r="K54" s="81" t="n">
        <x:v>0.017757445278035303</x:v>
      </x:c>
      <x:c r="L54" s="81" t="n">
        <x:v>0.03666208520977455</x:v>
      </x:c>
      <x:c r="M54" s="80" t="n">
        <x:v>48.88201127239585</x:v>
      </x:c>
      <x:c r="N54" s="82" t="n">
        <x:f>H54*(1-J54)*(1-K54)</x:f>
        <x:v>116.38714106052588</x:v>
      </x:c>
      <x:c r="O54" s="82" t="n">
        <x:f>G54*H54</x:f>
        <x:v>13750</x:v>
      </x:c>
      <x:c r="P54" s="82" t="n">
        <x:f>O54*J54</x:f>
        <x:v>715.9632897072246</x:v>
      </x:c>
      <x:c r="Q54" s="82" t="n">
        <x:f>(O54-P54)*K54</x:f>
        <x:v>231.45119363492725</x:v>
      </x:c>
      <x:c r="R54" s="82" t="n">
        <x:f>O54*L54</x:f>
        <x:v>504.10367163440003</x:v>
      </x:c>
      <x:c r="S54" s="82" t="n">
        <x:f>G54*N54-R54-M54</x:f>
        <x:v>12249.59983375105</x:v>
      </x:c>
      <x:c r="T54" s="82" t="n">
        <x:f>G54*I54</x:f>
        <x:v>8580</x:v>
      </x:c>
      <x:c r="U54" s="82" t="n">
        <x:f>S54-T54</x:f>
        <x:v>3669.59983375105</x:v>
      </x:c>
      <x:c r="V54" s="83" t="n">
        <x:f>IFERROR(U54/S54,0)</x:f>
        <x:v>0.29956895601114114</x:v>
      </x:c>
      <x:c r="W54" s="82" t="n">
        <x:f>P54+Q54+R54+M54</x:f>
        <x:v>1500.4001662489477</x:v>
      </x:c>
      <x:c r="X54" s="83" t="n">
        <x:f>IFERROR(W54/O54,0)</x:f>
        <x:v>0.10912001209083257</x:v>
      </x:c>
      <x:c r="Y54" s="84" t="str">
        <x:f>IF(AND(V54&lt;Inputs!$B$12,X54&gt;Inputs!$B$13),"Priority: margin + leakage",IF(V54&lt;Inputs!$B$12,"Margin review",IF(X54&gt;Inputs!$B$13,"Leakage review","Monitor")))</x:f>
        <x:v>Margin review</x:v>
      </x:c>
      <x:c r="Z54" s="4"/>
    </x:row>
    <x:row r="55" ht="15" hidden="0" customHeight="1">
      <x:c r="A55" s="77" t="str">
        <x:v>T-0052</x:v>
      </x:c>
      <x:c r="B55" s="78" t="n">
        <x:v>45932</x:v>
      </x:c>
      <x:c r="C55" s="77" t="str">
        <x:v>Evergreen Rehab</x:v>
      </x:c>
      <x:c r="D55" s="77" t="str">
        <x:v>Mid-Market</x:v>
      </x:c>
      <x:c r="E55" s="77" t="str">
        <x:v>SKU-110</x:v>
      </x:c>
      <x:c r="F55" s="77" t="str">
        <x:v>Core Platform</x:v>
      </x:c>
      <x:c r="G55" s="79" t="n">
        <x:v>103</x:v>
      </x:c>
      <x:c r="H55" s="80" t="n">
        <x:v>160</x:v>
      </x:c>
      <x:c r="I55" s="80" t="n">
        <x:v>84</x:v>
      </x:c>
      <x:c r="J55" s="81" t="n">
        <x:v>0.06587719756981729</x:v>
      </x:c>
      <x:c r="K55" s="81" t="n">
        <x:v>0.0702101917099406</x:v>
      </x:c>
      <x:c r="L55" s="81" t="n">
        <x:v>0</x:v>
      </x:c>
      <x:c r="M55" s="80" t="n">
        <x:v>269.5009132916657</x:v>
      </x:c>
      <x:c r="N55" s="82" t="n">
        <x:f>H55*(1-J55)*(1-K55)</x:f>
        <x:v>138.96605782254923</x:v>
      </x:c>
      <x:c r="O55" s="82" t="n">
        <x:f>G55*H55</x:f>
        <x:v>16480</x:v>
      </x:c>
      <x:c r="P55" s="82" t="n">
        <x:f>O55*J55</x:f>
        <x:v>1085.6562159505888</x:v>
      </x:c>
      <x:c r="Q55" s="82" t="n">
        <x:f>(O55-P55)*K55</x:f>
        <x:v>1080.8398283268416</x:v>
      </x:c>
      <x:c r="R55" s="82" t="n">
        <x:f>O55*L55</x:f>
        <x:v>0</x:v>
      </x:c>
      <x:c r="S55" s="82" t="n">
        <x:f>G55*N55-R55-M55</x:f>
        <x:v>14044.003042430904</x:v>
      </x:c>
      <x:c r="T55" s="82" t="n">
        <x:f>G55*I55</x:f>
        <x:v>8652</x:v>
      </x:c>
      <x:c r="U55" s="82" t="n">
        <x:f>S55-T55</x:f>
        <x:v>5392.003042430904</x:v>
      </x:c>
      <x:c r="V55" s="83" t="n">
        <x:f>IFERROR(U55/S55,0)</x:f>
        <x:v>0.38393633397402</x:v>
      </x:c>
      <x:c r="W55" s="82" t="n">
        <x:f>P55+Q55+R55+M55</x:f>
        <x:v>2435.996957569096</x:v>
      </x:c>
      <x:c r="X55" s="83" t="n">
        <x:f>IFERROR(W55/O55,0)</x:f>
        <x:v>0.14781534936705681</x:v>
      </x:c>
      <x:c r="Y55" s="84" t="str">
        <x:f>IF(AND(V55&lt;Inputs!$B$12,X55&gt;Inputs!$B$13),"Priority: margin + leakage",IF(V55&lt;Inputs!$B$12,"Margin review",IF(X55&gt;Inputs!$B$13,"Leakage review","Monitor")))</x:f>
        <x:v>Leakage review</x:v>
      </x:c>
      <x:c r="Z55" s="4"/>
    </x:row>
    <x:row r="56" ht="15" hidden="0" customHeight="1">
      <x:c r="A56" s="77" t="str">
        <x:v>T-0053</x:v>
      </x:c>
      <x:c r="B56" s="78" t="n">
        <x:v>45677</x:v>
      </x:c>
      <x:c r="C56" s="77" t="str">
        <x:v>Fulton Labs</x:v>
      </x:c>
      <x:c r="D56" s="77" t="str">
        <x:v>SMB</x:v>
      </x:c>
      <x:c r="E56" s="77" t="str">
        <x:v>SKU-100</x:v>
      </x:c>
      <x:c r="F56" s="77" t="str">
        <x:v>Core Platform</x:v>
      </x:c>
      <x:c r="G56" s="79" t="n">
        <x:v>19</x:v>
      </x:c>
      <x:c r="H56" s="80" t="n">
        <x:v>105</x:v>
      </x:c>
      <x:c r="I56" s="80" t="n">
        <x:v>58</x:v>
      </x:c>
      <x:c r="J56" s="81" t="n">
        <x:v>0.0645029719925788</x:v>
      </x:c>
      <x:c r="K56" s="81" t="n">
        <x:v>0.0214216530194793</x:v>
      </x:c>
      <x:c r="L56" s="81" t="n">
        <x:v>0</x:v>
      </x:c>
      <x:c r="M56" s="80" t="n">
        <x:v>0</x:v>
      </x:c>
      <x:c r="N56" s="82" t="n">
        <x:f>H56*(1-J56)*(1-K56)</x:f>
        <x:v>96.12299920363267</x:v>
      </x:c>
      <x:c r="O56" s="82" t="n">
        <x:f>G56*H56</x:f>
        <x:v>1995</x:v>
      </x:c>
      <x:c r="P56" s="82" t="n">
        <x:f>O56*J56</x:f>
        <x:v>128.68342912519472</x:v>
      </x:c>
      <x:c r="Q56" s="82" t="n">
        <x:f>(O56-P56)*K56</x:f>
        <x:v>39.97958600578452</x:v>
      </x:c>
      <x:c r="R56" s="82" t="n">
        <x:f>O56*L56</x:f>
        <x:v>0</x:v>
      </x:c>
      <x:c r="S56" s="82" t="n">
        <x:f>G56*N56-R56-M56</x:f>
        <x:v>1826.3369848690209</x:v>
      </x:c>
      <x:c r="T56" s="82" t="n">
        <x:f>G56*I56</x:f>
        <x:v>1102</x:v>
      </x:c>
      <x:c r="U56" s="82" t="n">
        <x:f>S56-T56</x:f>
        <x:v>724.3369848690209</x:v>
      </x:c>
      <x:c r="V56" s="83" t="n">
        <x:f>IFERROR(U56/S56,0)</x:f>
        <x:v>0.3966064263441328</x:v>
      </x:c>
      <x:c r="W56" s="82" t="n">
        <x:f>P56+Q56+R56+M56</x:f>
        <x:v>168.66301513097923</x:v>
      </x:c>
      <x:c r="X56" s="83" t="n">
        <x:f>IFERROR(W56/O56,0)</x:f>
        <x:v>0.08454286472730789</x:v>
      </x:c>
      <x:c r="Y56" s="84" t="str">
        <x:f>IF(AND(V56&lt;Inputs!$B$12,X56&gt;Inputs!$B$13),"Priority: margin + leakage",IF(V56&lt;Inputs!$B$12,"Margin review",IF(X56&gt;Inputs!$B$13,"Leakage review","Monitor")))</x:f>
        <x:v>Monitor</x:v>
      </x:c>
      <x:c r="Z56" s="4"/>
    </x:row>
    <x:row r="57" ht="15" hidden="0" customHeight="1">
      <x:c r="A57" s="77" t="str">
        <x:v>T-0054</x:v>
      </x:c>
      <x:c r="B57" s="78" t="n">
        <x:v>45855</x:v>
      </x:c>
      <x:c r="C57" s="77" t="str">
        <x:v>Boreal Clinics</x:v>
      </x:c>
      <x:c r="D57" s="77" t="str">
        <x:v>Enterprise</x:v>
      </x:c>
      <x:c r="E57" s="77" t="str">
        <x:v>SKU-400</x:v>
      </x:c>
      <x:c r="F57" s="77" t="str">
        <x:v>Premium Module</x:v>
      </x:c>
      <x:c r="G57" s="79" t="n">
        <x:v>49</x:v>
      </x:c>
      <x:c r="H57" s="80" t="n">
        <x:v>420</x:v>
      </x:c>
      <x:c r="I57" s="80" t="n">
        <x:v>180</x:v>
      </x:c>
      <x:c r="J57" s="81" t="n">
        <x:v>0.10591865697685868</x:v>
      </x:c>
      <x:c r="K57" s="81" t="n">
        <x:v>0.013505568989335321</x:v>
      </x:c>
      <x:c r="L57" s="81" t="n">
        <x:v>0.008077840170211504</x:v>
      </x:c>
      <x:c r="M57" s="80" t="n">
        <x:v>53.333686187330684</x:v>
      </x:c>
      <x:c r="N57" s="82" t="n">
        <x:f>H57*(1-J57)*(1-K57)</x:f>
        <x:v>370.4426316204032</x:v>
      </x:c>
      <x:c r="O57" s="82" t="n">
        <x:f>G57*H57</x:f>
        <x:v>20580</x:v>
      </x:c>
      <x:c r="P57" s="82" t="n">
        <x:f>O57*J57</x:f>
        <x:v>2179.8059605837516</x:v>
      </x:c>
      <x:c r="Q57" s="82" t="n">
        <x:f>(O57-P57)*K57</x:f>
        <x:v>248.5050900164927</x:v>
      </x:c>
      <x:c r="R57" s="82" t="n">
        <x:f>O57*L57</x:f>
        <x:v>166.24195070295275</x:v>
      </x:c>
      <x:c r="S57" s="82" t="n">
        <x:f>G57*N57-R57-M57</x:f>
        <x:v>17932.11331250947</x:v>
      </x:c>
      <x:c r="T57" s="82" t="n">
        <x:f>G57*I57</x:f>
        <x:v>8820</x:v>
      </x:c>
      <x:c r="U57" s="82" t="n">
        <x:f>S57-T57</x:f>
        <x:v>9112.113312509471</x:v>
      </x:c>
      <x:c r="V57" s="83" t="n">
        <x:f>IFERROR(U57/S57,0)</x:f>
        <x:v>0.5081449773213761</x:v>
      </x:c>
      <x:c r="W57" s="82" t="n">
        <x:f>P57+Q57+R57+M57</x:f>
        <x:v>2647.886687490528</x:v>
      </x:c>
      <x:c r="X57" s="83" t="n">
        <x:f>IFERROR(W57/O57,0)</x:f>
        <x:v>0.12866310434842215</x:v>
      </x:c>
      <x:c r="Y57" s="84" t="str">
        <x:f>IF(AND(V57&lt;Inputs!$B$12,X57&gt;Inputs!$B$13),"Priority: margin + leakage",IF(V57&lt;Inputs!$B$12,"Margin review",IF(X57&gt;Inputs!$B$13,"Leakage review","Monitor")))</x:f>
        <x:v>Leakage review</x:v>
      </x:c>
      <x:c r="Z57" s="4"/>
    </x:row>
    <x:row r="58" ht="15" hidden="0" customHeight="1">
      <x:c r="A58" s="77" t="str">
        <x:v>T-0055</x:v>
      </x:c>
      <x:c r="B58" s="78" t="n">
        <x:v>46009</x:v>
      </x:c>
      <x:c r="C58" s="77" t="str">
        <x:v>Juniper Partners</x:v>
      </x:c>
      <x:c r="D58" s="77" t="str">
        <x:v>Mid-Market</x:v>
      </x:c>
      <x:c r="E58" s="77" t="str">
        <x:v>SKU-210</x:v>
      </x:c>
      <x:c r="F58" s="77" t="str">
        <x:v>Analytics</x:v>
      </x:c>
      <x:c r="G58" s="79" t="n">
        <x:v>37</x:v>
      </x:c>
      <x:c r="H58" s="80" t="n">
        <x:v>310</x:v>
      </x:c>
      <x:c r="I58" s="80" t="n">
        <x:v>142</x:v>
      </x:c>
      <x:c r="J58" s="81" t="n">
        <x:v>0.11101410336074102</x:v>
      </x:c>
      <x:c r="K58" s="81" t="n">
        <x:v>0.042366212672336465</x:v>
      </x:c>
      <x:c r="L58" s="81" t="n">
        <x:v>0</x:v>
      </x:c>
      <x:c r="M58" s="80" t="n">
        <x:v>99.63628727753185</x:v>
      </x:c>
      <x:c r="N58" s="82" t="n">
        <x:f>H58*(1-J58)*(1-K58)</x:f>
        <x:v>263.91010863465505</x:v>
      </x:c>
      <x:c r="O58" s="82" t="n">
        <x:f>G58*H58</x:f>
        <x:v>11470</x:v>
      </x:c>
      <x:c r="P58" s="82" t="n">
        <x:f>O58*J58</x:f>
        <x:v>1273.3317655476994</x:v>
      </x:c>
      <x:c r="Q58" s="82" t="n">
        <x:f>(O58-P58)*K58</x:f>
        <x:v>431.9942149700637</x:v>
      </x:c>
      <x:c r="R58" s="82" t="n">
        <x:f>O58*L58</x:f>
        <x:v>0</x:v>
      </x:c>
      <x:c r="S58" s="82" t="n">
        <x:f>G58*N58-R58-M58</x:f>
        <x:v>9665.037732204704</x:v>
      </x:c>
      <x:c r="T58" s="82" t="n">
        <x:f>G58*I58</x:f>
        <x:v>5254</x:v>
      </x:c>
      <x:c r="U58" s="82" t="n">
        <x:f>S58-T58</x:f>
        <x:v>4411.037732204704</x:v>
      </x:c>
      <x:c r="V58" s="83" t="n">
        <x:f>IFERROR(U58/S58,0)</x:f>
        <x:v>0.4563911548432721</x:v>
      </x:c>
      <x:c r="W58" s="82" t="n">
        <x:f>P58+Q58+R58+M58</x:f>
        <x:v>1804.962267795295</x:v>
      </x:c>
      <x:c r="X58" s="83" t="n">
        <x:f>IFERROR(W58/O58,0)</x:f>
        <x:v>0.15736375482086268</x:v>
      </x:c>
      <x:c r="Y58" s="84" t="str">
        <x:f>IF(AND(V58&lt;Inputs!$B$12,X58&gt;Inputs!$B$13),"Priority: margin + leakage",IF(V58&lt;Inputs!$B$12,"Margin review",IF(X58&gt;Inputs!$B$13,"Leakage review","Monitor")))</x:f>
        <x:v>Leakage review</x:v>
      </x:c>
      <x:c r="Z58" s="4"/>
    </x:row>
    <x:row r="59" ht="15" hidden="0" customHeight="1">
      <x:c r="A59" s="77" t="str">
        <x:v>T-0056</x:v>
      </x:c>
      <x:c r="B59" s="78" t="n">
        <x:v>45997</x:v>
      </x:c>
      <x:c r="C59" s="77" t="str">
        <x:v>Lakeside Clinics</x:v>
      </x:c>
      <x:c r="D59" s="77" t="str">
        <x:v>SMB</x:v>
      </x:c>
      <x:c r="E59" s="77" t="str">
        <x:v>SKU-210</x:v>
      </x:c>
      <x:c r="F59" s="77" t="str">
        <x:v>Analytics</x:v>
      </x:c>
      <x:c r="G59" s="79" t="n">
        <x:v>51</x:v>
      </x:c>
      <x:c r="H59" s="80" t="n">
        <x:v>310</x:v>
      </x:c>
      <x:c r="I59" s="80" t="n">
        <x:v>142</x:v>
      </x:c>
      <x:c r="J59" s="81" t="n">
        <x:v>0</x:v>
      </x:c>
      <x:c r="K59" s="81" t="n">
        <x:v>0.06050747251875198</x:v>
      </x:c>
      <x:c r="L59" s="81" t="n">
        <x:v>0.04709535803297178</x:v>
      </x:c>
      <x:c r="M59" s="80" t="n">
        <x:v>59.95983188117091</x:v>
      </x:c>
      <x:c r="N59" s="82" t="n">
        <x:f>H59*(1-J59)*(1-K59)</x:f>
        <x:v>291.24268351918687</x:v>
      </x:c>
      <x:c r="O59" s="82" t="n">
        <x:f>G59*H59</x:f>
        <x:v>15810</x:v>
      </x:c>
      <x:c r="P59" s="82" t="n">
        <x:f>O59*J59</x:f>
        <x:v>0</x:v>
      </x:c>
      <x:c r="Q59" s="82" t="n">
        <x:f>(O59-P59)*K59</x:f>
        <x:v>956.6231405214688</x:v>
      </x:c>
      <x:c r="R59" s="82" t="n">
        <x:f>O59*L59</x:f>
        <x:v>744.5776105012839</x:v>
      </x:c>
      <x:c r="S59" s="82" t="n">
        <x:f>G59*N59-R59-M59</x:f>
        <x:v>14048.839417096075</x:v>
      </x:c>
      <x:c r="T59" s="82" t="n">
        <x:f>G59*I59</x:f>
        <x:v>7242</x:v>
      </x:c>
      <x:c r="U59" s="82" t="n">
        <x:f>S59-T59</x:f>
        <x:v>6806.839417096075</x:v>
      </x:c>
      <x:c r="V59" s="83" t="n">
        <x:f>IFERROR(U59/S59,0)</x:f>
        <x:v>0.4845125789403509</x:v>
      </x:c>
      <x:c r="W59" s="82" t="n">
        <x:f>P59+Q59+R59+M59</x:f>
        <x:v>1761.1605829039236</x:v>
      </x:c>
      <x:c r="X59" s="83" t="n">
        <x:f>IFERROR(W59/O59,0)</x:f>
        <x:v>0.1113953562874082</x:v>
      </x:c>
      <x:c r="Y59" s="84" t="str">
        <x:f>IF(AND(V59&lt;Inputs!$B$12,X59&gt;Inputs!$B$13),"Priority: margin + leakage",IF(V59&lt;Inputs!$B$12,"Margin review",IF(X59&gt;Inputs!$B$13,"Leakage review","Monitor")))</x:f>
        <x:v>Monitor</x:v>
      </x:c>
      <x:c r="Z59" s="4"/>
    </x:row>
    <x:row r="60" ht="15" hidden="0" customHeight="1">
      <x:c r="A60" s="77" t="str">
        <x:v>T-0057</x:v>
      </x:c>
      <x:c r="B60" s="78" t="n">
        <x:v>45723</x:v>
      </x:c>
      <x:c r="C60" s="77" t="str">
        <x:v>Boreal Clinics</x:v>
      </x:c>
      <x:c r="D60" s="77" t="str">
        <x:v>Enterprise</x:v>
      </x:c>
      <x:c r="E60" s="77" t="str">
        <x:v>SKU-300</x:v>
      </x:c>
      <x:c r="F60" s="77" t="str">
        <x:v>Services</x:v>
      </x:c>
      <x:c r="G60" s="79" t="n">
        <x:v>69</x:v>
      </x:c>
      <x:c r="H60" s="80" t="n">
        <x:v>125</x:v>
      </x:c>
      <x:c r="I60" s="80" t="n">
        <x:v>78</x:v>
      </x:c>
      <x:c r="J60" s="81" t="n">
        <x:v>0.0969485563256706</x:v>
      </x:c>
      <x:c r="K60" s="81" t="n">
        <x:v>0.05885859270113425</x:v>
      </x:c>
      <x:c r="L60" s="81" t="n">
        <x:v>0.012675615207233966</x:v>
      </x:c>
      <x:c r="M60" s="80" t="n">
        <x:v>64.27389237327316</x:v>
      </x:c>
      <x:c r="N60" s="82" t="n">
        <x:f>H60*(1-J60)*(1-K60)</x:f>
        <x:v>106.23738832036635</x:v>
      </x:c>
      <x:c r="O60" s="82" t="n">
        <x:f>G60*H60</x:f>
        <x:v>8625</x:v>
      </x:c>
      <x:c r="P60" s="82" t="n">
        <x:f>O60*J60</x:f>
        <x:v>836.1812983089089</x:v>
      </x:c>
      <x:c r="Q60" s="82" t="n">
        <x:f>(O60-P60)*K60</x:f>
        <x:v>458.4389075858132</x:v>
      </x:c>
      <x:c r="R60" s="82" t="n">
        <x:f>O60*L60</x:f>
        <x:v>109.32718116239295</x:v>
      </x:c>
      <x:c r="S60" s="82" t="n">
        <x:f>G60*N60-R60-M60</x:f>
        <x:v>7156.778720569612</x:v>
      </x:c>
      <x:c r="T60" s="82" t="n">
        <x:f>G60*I60</x:f>
        <x:v>5382</x:v>
      </x:c>
      <x:c r="U60" s="82" t="n">
        <x:f>S60-T60</x:f>
        <x:v>1774.7787205696122</x:v>
      </x:c>
      <x:c r="V60" s="83" t="n">
        <x:f>IFERROR(U60/S60,0)</x:f>
        <x:v>0.24798569158896064</x:v>
      </x:c>
      <x:c r="W60" s="82" t="n">
        <x:f>P60+Q60+R60+M60</x:f>
        <x:v>1468.2212794303882</x:v>
      </x:c>
      <x:c r="X60" s="83" t="n">
        <x:f>IFERROR(W60/O60,0)</x:f>
        <x:v>0.1702285541368566</x:v>
      </x:c>
      <x:c r="Y60" s="84" t="str">
        <x:f>IF(AND(V60&lt;Inputs!$B$12,X60&gt;Inputs!$B$13),"Priority: margin + leakage",IF(V60&lt;Inputs!$B$12,"Margin review",IF(X60&gt;Inputs!$B$13,"Leakage review","Monitor")))</x:f>
        <x:v>Priority: margin + leakage</x:v>
      </x:c>
      <x:c r="Z60" s="4"/>
    </x:row>
    <x:row r="61" ht="15" hidden="0" customHeight="1">
      <x:c r="A61" s="77" t="str">
        <x:v>T-0058</x:v>
      </x:c>
      <x:c r="B61" s="78" t="n">
        <x:v>45812</x:v>
      </x:c>
      <x:c r="C61" s="77" t="str">
        <x:v>Delta Dental Group</x:v>
      </x:c>
      <x:c r="D61" s="77" t="str">
        <x:v>Enterprise</x:v>
      </x:c>
      <x:c r="E61" s="77" t="str">
        <x:v>SKU-400</x:v>
      </x:c>
      <x:c r="F61" s="77" t="str">
        <x:v>Premium Module</x:v>
      </x:c>
      <x:c r="G61" s="79" t="n">
        <x:v>90</x:v>
      </x:c>
      <x:c r="H61" s="80" t="n">
        <x:v>420</x:v>
      </x:c>
      <x:c r="I61" s="80" t="n">
        <x:v>180</x:v>
      </x:c>
      <x:c r="J61" s="81" t="n">
        <x:v>0.15898931349188278</x:v>
      </x:c>
      <x:c r="K61" s="81" t="n">
        <x:v>0.021237950509089804</x:v>
      </x:c>
      <x:c r="L61" s="81" t="n">
        <x:v>0.04538919151927595</x:v>
      </x:c>
      <x:c r="M61" s="80" t="n">
        <x:v>48.64317601697675</x:v>
      </x:c>
      <x:c r="N61" s="82" t="n">
        <x:f>H61*(1-J61)*(1-K61)</x:f>
        <x:v>345.7227241315858</x:v>
      </x:c>
      <x:c r="O61" s="82" t="n">
        <x:f>G61*H61</x:f>
        <x:v>37800</x:v>
      </x:c>
      <x:c r="P61" s="82" t="n">
        <x:f>O61*J61</x:f>
        <x:v>6009.796049993169</x:v>
      </x:c>
      <x:c r="Q61" s="82" t="n">
        <x:f>(O61-P61)*K61</x:f>
        <x:v>675.1587781641163</x:v>
      </x:c>
      <x:c r="R61" s="82" t="n">
        <x:f>O61*L61</x:f>
        <x:v>1715.711439428631</x:v>
      </x:c>
      <x:c r="S61" s="82" t="n">
        <x:f>G61*N61-R61-M61</x:f>
        <x:v>29350.690556397112</x:v>
      </x:c>
      <x:c r="T61" s="82" t="n">
        <x:f>G61*I61</x:f>
        <x:v>16200</x:v>
      </x:c>
      <x:c r="U61" s="82" t="n">
        <x:f>S61-T61</x:f>
        <x:v>13150.690556397112</x:v>
      </x:c>
      <x:c r="V61" s="83" t="n">
        <x:f>IFERROR(U61/S61,0)</x:f>
        <x:v>0.4480538722292809</x:v>
      </x:c>
      <x:c r="W61" s="82" t="n">
        <x:f>P61+Q61+R61+M61</x:f>
        <x:v>8449.309443602891</x:v>
      </x:c>
      <x:c r="X61" s="83" t="n">
        <x:f>IFERROR(W61/O61,0)</x:f>
        <x:v>0.22352670485721934</x:v>
      </x:c>
      <x:c r="Y61" s="84" t="str">
        <x:f>IF(AND(V61&lt;Inputs!$B$12,X61&gt;Inputs!$B$13),"Priority: margin + leakage",IF(V61&lt;Inputs!$B$12,"Margin review",IF(X61&gt;Inputs!$B$13,"Leakage review","Monitor")))</x:f>
        <x:v>Leakage review</x:v>
      </x:c>
      <x:c r="Z61" s="4"/>
    </x:row>
    <x:row r="62" ht="15" hidden="0" customHeight="1">
      <x:c r="A62" s="77" t="str">
        <x:v>T-0059</x:v>
      </x:c>
      <x:c r="B62" s="78" t="n">
        <x:v>45896</x:v>
      </x:c>
      <x:c r="C62" s="77" t="str">
        <x:v>Granite Medical</x:v>
      </x:c>
      <x:c r="D62" s="77" t="str">
        <x:v>Mid-Market</x:v>
      </x:c>
      <x:c r="E62" s="77" t="str">
        <x:v>SKU-100</x:v>
      </x:c>
      <x:c r="F62" s="77" t="str">
        <x:v>Core Platform</x:v>
      </x:c>
      <x:c r="G62" s="79" t="n">
        <x:v>43</x:v>
      </x:c>
      <x:c r="H62" s="80" t="n">
        <x:v>105</x:v>
      </x:c>
      <x:c r="I62" s="80" t="n">
        <x:v>58</x:v>
      </x:c>
      <x:c r="J62" s="81" t="n">
        <x:v>0.06647119429730222</x:v>
      </x:c>
      <x:c r="K62" s="81" t="n">
        <x:v>0.06079323308573201</x:v>
      </x:c>
      <x:c r="L62" s="81" t="n">
        <x:v>0.0019958496962128904</x:v>
      </x:c>
      <x:c r="M62" s="80" t="n">
        <x:v>56.78112868317365</x:v>
      </x:c>
      <x:c r="N62" s="82" t="n">
        <x:f>H62*(1-J62)*(1-K62)</x:f>
        <x:v>92.06153999966371</x:v>
      </x:c>
      <x:c r="O62" s="82" t="n">
        <x:f>G62*H62</x:f>
        <x:v>4515</x:v>
      </x:c>
      <x:c r="P62" s="82" t="n">
        <x:f>O62*J62</x:f>
        <x:v>300.1174422523195</x:v>
      </x:c>
      <x:c r="Q62" s="82" t="n">
        <x:f>(O62-P62)*K62</x:f>
        <x:v>256.23633776214103</x:v>
      </x:c>
      <x:c r="R62" s="82" t="n">
        <x:f>O62*L62</x:f>
        <x:v>9.0112613784012</x:v>
      </x:c>
      <x:c r="S62" s="82" t="n">
        <x:f>G62*N62-R62-M62</x:f>
        <x:v>3892.8538299239644</x:v>
      </x:c>
      <x:c r="T62" s="82" t="n">
        <x:f>G62*I62</x:f>
        <x:v>2494</x:v>
      </x:c>
      <x:c r="U62" s="82" t="n">
        <x:f>S62-T62</x:f>
        <x:v>1398.8538299239644</x:v>
      </x:c>
      <x:c r="V62" s="83" t="n">
        <x:f>IFERROR(U62/S62,0)</x:f>
        <x:v>0.3593389043203009</x:v>
      </x:c>
      <x:c r="W62" s="82" t="n">
        <x:f>P62+Q62+R62+M62</x:f>
        <x:v>622.1461700760353</x:v>
      </x:c>
      <x:c r="X62" s="83" t="n">
        <x:f>IFERROR(W62/O62,0)</x:f>
        <x:v>0.13779538650632012</x:v>
      </x:c>
      <x:c r="Y62" s="84" t="str">
        <x:f>IF(AND(V62&lt;Inputs!$B$12,X62&gt;Inputs!$B$13),"Priority: margin + leakage",IF(V62&lt;Inputs!$B$12,"Margin review",IF(X62&gt;Inputs!$B$13,"Leakage review","Monitor")))</x:f>
        <x:v>Leakage review</x:v>
      </x:c>
      <x:c r="Z62" s="4"/>
    </x:row>
    <x:row r="63" ht="15" hidden="0" customHeight="1">
      <x:c r="A63" s="77" t="str">
        <x:v>T-0060</x:v>
      </x:c>
      <x:c r="B63" s="78" t="n">
        <x:v>45744</x:v>
      </x:c>
      <x:c r="C63" s="77" t="str">
        <x:v>Harbor Care</x:v>
      </x:c>
      <x:c r="D63" s="77" t="str">
        <x:v>Enterprise</x:v>
      </x:c>
      <x:c r="E63" s="77" t="str">
        <x:v>SKU-410</x:v>
      </x:c>
      <x:c r="F63" s="77" t="str">
        <x:v>Premium Module</x:v>
      </x:c>
      <x:c r="G63" s="79" t="n">
        <x:v>91</x:v>
      </x:c>
      <x:c r="H63" s="80" t="n">
        <x:v>575</x:v>
      </x:c>
      <x:c r="I63" s="80" t="n">
        <x:v>235</x:v>
      </x:c>
      <x:c r="J63" s="81" t="n">
        <x:v>0.11895940222422746</x:v>
      </x:c>
      <x:c r="K63" s="81" t="n">
        <x:v>0.06257137235807995</x:v>
      </x:c>
      <x:c r="L63" s="81" t="n">
        <x:v>0.05110557895029498</x:v>
      </x:c>
      <x:c r="M63" s="80" t="n">
        <x:v>26.63765922129768</x:v>
      </x:c>
      <x:c r="N63" s="82" t="n">
        <x:f>H63*(1-J63)*(1-K63)</x:f>
        <x:v>474.89979012011156</x:v>
      </x:c>
      <x:c r="O63" s="82" t="n">
        <x:f>G63*H63</x:f>
        <x:v>52325</x:v>
      </x:c>
      <x:c r="P63" s="82" t="n">
        <x:f>O63*J63</x:f>
        <x:v>6224.550721382702</x:v>
      </x:c>
      <x:c r="Q63" s="82" t="n">
        <x:f>(O63-P63)*K63</x:f>
        <x:v>2884.5683776871415</x:v>
      </x:c>
      <x:c r="R63" s="82" t="n">
        <x:f>O63*L63</x:f>
        <x:v>2674.0994185741847</x:v>
      </x:c>
      <x:c r="S63" s="82" t="n">
        <x:f>G63*N63-R63-M63</x:f>
        <x:v>40515.14382313467</x:v>
      </x:c>
      <x:c r="T63" s="82" t="n">
        <x:f>G63*I63</x:f>
        <x:v>21385</x:v>
      </x:c>
      <x:c r="U63" s="82" t="n">
        <x:f>S63-T63</x:f>
        <x:v>19130.14382313467</x:v>
      </x:c>
      <x:c r="V63" s="83" t="n">
        <x:f>IFERROR(U63/S63,0)</x:f>
        <x:v>0.47217267465828694</x:v>
      </x:c>
      <x:c r="W63" s="82" t="n">
        <x:f>P63+Q63+R63+M63</x:f>
        <x:v>11809.856176865327</x:v>
      </x:c>
      <x:c r="X63" s="83" t="n">
        <x:f>IFERROR(W63/O63,0)</x:f>
        <x:v>0.2257019814021085</x:v>
      </x:c>
      <x:c r="Y63" s="84" t="str">
        <x:f>IF(AND(V63&lt;Inputs!$B$12,X63&gt;Inputs!$B$13),"Priority: margin + leakage",IF(V63&lt;Inputs!$B$12,"Margin review",IF(X63&gt;Inputs!$B$13,"Leakage review","Monitor")))</x:f>
        <x:v>Leakage review</x:v>
      </x:c>
      <x:c r="Z63" s="4"/>
    </x:row>
    <x:row r="64" ht="15" hidden="0" customHeight="1">
      <x:c r="A64" s="77" t="str">
        <x:v>T-0061</x:v>
      </x:c>
      <x:c r="B64" s="78" t="n">
        <x:v>45778</x:v>
      </x:c>
      <x:c r="C64" s="77" t="str">
        <x:v>Keystone Health</x:v>
      </x:c>
      <x:c r="D64" s="77" t="str">
        <x:v>Enterprise</x:v>
      </x:c>
      <x:c r="E64" s="77" t="str">
        <x:v>SKU-110</x:v>
      </x:c>
      <x:c r="F64" s="77" t="str">
        <x:v>Core Platform</x:v>
      </x:c>
      <x:c r="G64" s="79" t="n">
        <x:v>41</x:v>
      </x:c>
      <x:c r="H64" s="80" t="n">
        <x:v>160</x:v>
      </x:c>
      <x:c r="I64" s="80" t="n">
        <x:v>84</x:v>
      </x:c>
      <x:c r="J64" s="81" t="n">
        <x:v>0.06068066945712116</x:v>
      </x:c>
      <x:c r="K64" s="81" t="n">
        <x:v>0.03156899340163334</x:v>
      </x:c>
      <x:c r="L64" s="81" t="n">
        <x:v>0.008040715767749482</x:v>
      </x:c>
      <x:c r="M64" s="80" t="n">
        <x:v>262.9966120687752</x:v>
      </x:c>
      <x:c r="N64" s="82" t="n">
        <x:f>H64*(1-J64)*(1-K64)</x:f>
        <x:v>145.54655436719105</x:v>
      </x:c>
      <x:c r="O64" s="82" t="n">
        <x:f>G64*H64</x:f>
        <x:v>6560</x:v>
      </x:c>
      <x:c r="P64" s="82" t="n">
        <x:f>O64*J64</x:f>
        <x:v>398.0651916387148</x:v>
      </x:c>
      <x:c r="Q64" s="82" t="n">
        <x:f>(O64-P64)*K64</x:f>
        <x:v>194.5260793064522</x:v>
      </x:c>
      <x:c r="R64" s="82" t="n">
        <x:f>O64*L64</x:f>
        <x:v>52.7470954364366</x:v>
      </x:c>
      <x:c r="S64" s="82" t="n">
        <x:f>G64*N64-R64-M64</x:f>
        <x:v>5651.665021549622</x:v>
      </x:c>
      <x:c r="T64" s="82" t="n">
        <x:f>G64*I64</x:f>
        <x:v>3444</x:v>
      </x:c>
      <x:c r="U64" s="82" t="n">
        <x:f>S64-T64</x:f>
        <x:v>2207.665021549622</x:v>
      </x:c>
      <x:c r="V64" s="83" t="n">
        <x:f>IFERROR(U64/S64,0)</x:f>
        <x:v>0.39062205794785504</x:v>
      </x:c>
      <x:c r="W64" s="82" t="n">
        <x:f>P64+Q64+R64+M64</x:f>
        <x:v>908.3349784503788</x:v>
      </x:c>
      <x:c r="X64" s="83" t="n">
        <x:f>IFERROR(W64/O64,0)</x:f>
        <x:v>0.13846569793450897</x:v>
      </x:c>
      <x:c r="Y64" s="84" t="str">
        <x:f>IF(AND(V64&lt;Inputs!$B$12,X64&gt;Inputs!$B$13),"Priority: margin + leakage",IF(V64&lt;Inputs!$B$12,"Margin review",IF(X64&gt;Inputs!$B$13,"Leakage review","Monitor")))</x:f>
        <x:v>Leakage review</x:v>
      </x:c>
      <x:c r="Z64" s="4"/>
    </x:row>
    <x:row r="65" ht="15" hidden="0" customHeight="1">
      <x:c r="A65" s="77" t="str">
        <x:v>T-0062</x:v>
      </x:c>
      <x:c r="B65" s="78" t="n">
        <x:v>45970</x:v>
      </x:c>
      <x:c r="C65" s="77" t="str">
        <x:v>Keystone Health</x:v>
      </x:c>
      <x:c r="D65" s="77" t="str">
        <x:v>Enterprise</x:v>
      </x:c>
      <x:c r="E65" s="77" t="str">
        <x:v>SKU-300</x:v>
      </x:c>
      <x:c r="F65" s="77" t="str">
        <x:v>Services</x:v>
      </x:c>
      <x:c r="G65" s="79" t="n">
        <x:v>33</x:v>
      </x:c>
      <x:c r="H65" s="80" t="n">
        <x:v>125</x:v>
      </x:c>
      <x:c r="I65" s="80" t="n">
        <x:v>78</x:v>
      </x:c>
      <x:c r="J65" s="81" t="n">
        <x:v>0.11687657627055535</x:v>
      </x:c>
      <x:c r="K65" s="81" t="n">
        <x:v>0.021766055012547393</x:v>
      </x:c>
      <x:c r="L65" s="81" t="n">
        <x:v>0.07457383320648384</x:v>
      </x:c>
      <x:c r="M65" s="80" t="n">
        <x:v>77.9186861409045</x:v>
      </x:c>
      <x:c r="N65" s="82" t="n">
        <x:f>H65*(1-J65)*(1-K65)</x:f>
        <x:v>107.98766383821005</x:v>
      </x:c>
      <x:c r="O65" s="82" t="n">
        <x:f>G65*H65</x:f>
        <x:v>4125</x:v>
      </x:c>
      <x:c r="P65" s="82" t="n">
        <x:f>O65*J65</x:f>
        <x:v>482.11587711604085</x:v>
      </x:c>
      <x:c r="Q65" s="82" t="n">
        <x:f>(O65-P65)*K65</x:f>
        <x:v>79.29121622302772</x:v>
      </x:c>
      <x:c r="R65" s="82" t="n">
        <x:f>O65*L65</x:f>
        <x:v>307.61706197674584</x:v>
      </x:c>
      <x:c r="S65" s="82" t="n">
        <x:f>G65*N65-R65-M65</x:f>
        <x:v>3178.0571585432817</x:v>
      </x:c>
      <x:c r="T65" s="82" t="n">
        <x:f>G65*I65</x:f>
        <x:v>2574</x:v>
      </x:c>
      <x:c r="U65" s="82" t="n">
        <x:f>S65-T65</x:f>
        <x:v>604.0571585432817</x:v>
      </x:c>
      <x:c r="V65" s="83" t="n">
        <x:f>IFERROR(U65/S65,0)</x:f>
        <x:v>0.19007120652926265</x:v>
      </x:c>
      <x:c r="W65" s="82" t="n">
        <x:f>P65+Q65+R65+M65</x:f>
        <x:v>946.9428414567188</x:v>
      </x:c>
      <x:c r="X65" s="83" t="n">
        <x:f>IFERROR(W65/O65,0)</x:f>
        <x:v>0.22956190095920456</x:v>
      </x:c>
      <x:c r="Y65" s="84" t="str">
        <x:f>IF(AND(V65&lt;Inputs!$B$12,X65&gt;Inputs!$B$13),"Priority: margin + leakage",IF(V65&lt;Inputs!$B$12,"Margin review",IF(X65&gt;Inputs!$B$13,"Leakage review","Monitor")))</x:f>
        <x:v>Priority: margin + leakage</x:v>
      </x:c>
      <x:c r="Z65" s="4"/>
    </x:row>
    <x:row r="66" ht="15" hidden="0" customHeight="1">
      <x:c r="A66" s="77" t="str">
        <x:v>T-0063</x:v>
      </x:c>
      <x:c r="B66" s="78" t="n">
        <x:v>45862</x:v>
      </x:c>
      <x:c r="C66" s="77" t="str">
        <x:v>Boreal Clinics</x:v>
      </x:c>
      <x:c r="D66" s="77" t="str">
        <x:v>Enterprise</x:v>
      </x:c>
      <x:c r="E66" s="77" t="str">
        <x:v>SKU-410</x:v>
      </x:c>
      <x:c r="F66" s="77" t="str">
        <x:v>Premium Module</x:v>
      </x:c>
      <x:c r="G66" s="79" t="n">
        <x:v>58</x:v>
      </x:c>
      <x:c r="H66" s="80" t="n">
        <x:v>575</x:v>
      </x:c>
      <x:c r="I66" s="80" t="n">
        <x:v>235</x:v>
      </x:c>
      <x:c r="J66" s="81" t="n">
        <x:v>0.14459209054946473</x:v>
      </x:c>
      <x:c r="K66" s="81" t="n">
        <x:v>0.013528140928789442</x:v>
      </x:c>
      <x:c r="L66" s="81" t="n">
        <x:v>0.021499217812201994</x:v>
      </x:c>
      <x:c r="M66" s="80" t="n">
        <x:v>33.15484157191975</x:v>
      </x:c>
      <x:c r="N66" s="82" t="n">
        <x:f>H66*(1-J66)*(1-K66)</x:f>
        <x:v>485.20560265243523</x:v>
      </x:c>
      <x:c r="O66" s="82" t="n">
        <x:f>G66*H66</x:f>
        <x:v>33350</x:v>
      </x:c>
      <x:c r="P66" s="82" t="n">
        <x:f>O66*J66</x:f>
        <x:v>4822.146219824649</x:v>
      </x:c>
      <x:c r="Q66" s="82" t="n">
        <x:f>(O66-P66)*K66</x:f>
        <x:v>385.9288263341108</x:v>
      </x:c>
      <x:c r="R66" s="82" t="n">
        <x:f>O66*L66</x:f>
        <x:v>716.9989140369365</x:v>
      </x:c>
      <x:c r="S66" s="82" t="n">
        <x:f>G66*N66-R66-M66</x:f>
        <x:v>27391.77119823239</x:v>
      </x:c>
      <x:c r="T66" s="82" t="n">
        <x:f>G66*I66</x:f>
        <x:v>13630</x:v>
      </x:c>
      <x:c r="U66" s="82" t="n">
        <x:f>S66-T66</x:f>
        <x:v>13761.771198232389</x:v>
      </x:c>
      <x:c r="V66" s="83" t="n">
        <x:f>IFERROR(U66/S66,0)</x:f>
        <x:v>0.5024053062738947</x:v>
      </x:c>
      <x:c r="W66" s="82" t="n">
        <x:f>P66+Q66+R66+M66</x:f>
        <x:v>5958.228801767616</x:v>
      </x:c>
      <x:c r="X66" s="83" t="n">
        <x:f>IFERROR(W66/O66,0)</x:f>
        <x:v>0.17865753528538578</x:v>
      </x:c>
      <x:c r="Y66" s="84" t="str">
        <x:f>IF(AND(V66&lt;Inputs!$B$12,X66&gt;Inputs!$B$13),"Priority: margin + leakage",IF(V66&lt;Inputs!$B$12,"Margin review",IF(X66&gt;Inputs!$B$13,"Leakage review","Monitor")))</x:f>
        <x:v>Leakage review</x:v>
      </x:c>
      <x:c r="Z66" s="4"/>
    </x:row>
    <x:row r="67" ht="15" hidden="0" customHeight="1">
      <x:c r="A67" s="77" t="str">
        <x:v>T-0064</x:v>
      </x:c>
      <x:c r="B67" s="78" t="n">
        <x:v>45875</x:v>
      </x:c>
      <x:c r="C67" s="77" t="str">
        <x:v>Delta Dental Group</x:v>
      </x:c>
      <x:c r="D67" s="77" t="str">
        <x:v>Enterprise</x:v>
      </x:c>
      <x:c r="E67" s="77" t="str">
        <x:v>SKU-200</x:v>
      </x:c>
      <x:c r="F67" s="77" t="str">
        <x:v>Analytics</x:v>
      </x:c>
      <x:c r="G67" s="79" t="n">
        <x:v>88</x:v>
      </x:c>
      <x:c r="H67" s="80" t="n">
        <x:v>220</x:v>
      </x:c>
      <x:c r="I67" s="80" t="n">
        <x:v>98</x:v>
      </x:c>
      <x:c r="J67" s="81" t="n">
        <x:v>0.08175520757092117</x:v>
      </x:c>
      <x:c r="K67" s="81" t="n">
        <x:v>0</x:v>
      </x:c>
      <x:c r="L67" s="81" t="n">
        <x:v>0.0489652583987312</x:v>
      </x:c>
      <x:c r="M67" s="80" t="n">
        <x:v>0</x:v>
      </x:c>
      <x:c r="N67" s="82" t="n">
        <x:f>H67*(1-J67)*(1-K67)</x:f>
        <x:v>202.01385433439734</x:v>
      </x:c>
      <x:c r="O67" s="82" t="n">
        <x:f>G67*H67</x:f>
        <x:v>19360</x:v>
      </x:c>
      <x:c r="P67" s="82" t="n">
        <x:f>O67*J67</x:f>
        <x:v>1582.780818573034</x:v>
      </x:c>
      <x:c r="Q67" s="82" t="n">
        <x:f>(O67-P67)*K67</x:f>
        <x:v>0</x:v>
      </x:c>
      <x:c r="R67" s="82" t="n">
        <x:f>O67*L67</x:f>
        <x:v>947.967402599436</x:v>
      </x:c>
      <x:c r="S67" s="82" t="n">
        <x:f>G67*N67-R67-M67</x:f>
        <x:v>16829.25177882753</x:v>
      </x:c>
      <x:c r="T67" s="82" t="n">
        <x:f>G67*I67</x:f>
        <x:v>8624</x:v>
      </x:c>
      <x:c r="U67" s="82" t="n">
        <x:f>S67-T67</x:f>
        <x:v>8205.251778827529</x:v>
      </x:c>
      <x:c r="V67" s="83" t="n">
        <x:f>IFERROR(U67/S67,0)</x:f>
        <x:v>0.4875589174529052</x:v>
      </x:c>
      <x:c r="W67" s="82" t="n">
        <x:f>P67+Q67+R67+M67</x:f>
        <x:v>2530.74822117247</x:v>
      </x:c>
      <x:c r="X67" s="83" t="n">
        <x:f>IFERROR(W67/O67,0)</x:f>
        <x:v>0.13072046596965237</x:v>
      </x:c>
      <x:c r="Y67" s="84" t="str">
        <x:f>IF(AND(V67&lt;Inputs!$B$12,X67&gt;Inputs!$B$13),"Priority: margin + leakage",IF(V67&lt;Inputs!$B$12,"Margin review",IF(X67&gt;Inputs!$B$13,"Leakage review","Monitor")))</x:f>
        <x:v>Leakage review</x:v>
      </x:c>
      <x:c r="Z67" s="4"/>
    </x:row>
    <x:row r="68" ht="15" hidden="0" customHeight="1">
      <x:c r="A68" s="77" t="str">
        <x:v>T-0065</x:v>
      </x:c>
      <x:c r="B68" s="78" t="n">
        <x:v>45720</x:v>
      </x:c>
      <x:c r="C68" s="77" t="str">
        <x:v>Delta Dental Group</x:v>
      </x:c>
      <x:c r="D68" s="77" t="str">
        <x:v>Enterprise</x:v>
      </x:c>
      <x:c r="E68" s="77" t="str">
        <x:v>SKU-200</x:v>
      </x:c>
      <x:c r="F68" s="77" t="str">
        <x:v>Analytics</x:v>
      </x:c>
      <x:c r="G68" s="79" t="n">
        <x:v>107</x:v>
      </x:c>
      <x:c r="H68" s="80" t="n">
        <x:v>220</x:v>
      </x:c>
      <x:c r="I68" s="80" t="n">
        <x:v>98</x:v>
      </x:c>
      <x:c r="J68" s="81" t="n">
        <x:v>0.15081654118321725</x:v>
      </x:c>
      <x:c r="K68" s="81" t="n">
        <x:v>0.027115871815696295</x:v>
      </x:c>
      <x:c r="L68" s="81" t="n">
        <x:v>0.03795532196091596</x:v>
      </x:c>
      <x:c r="M68" s="80" t="n">
        <x:v>141.1455074587493</x:v>
      </x:c>
      <x:c r="N68" s="82" t="n">
        <x:f>H68*(1-J68)*(1-K68)</x:f>
        <x:v>181.7545639798894</x:v>
      </x:c>
      <x:c r="O68" s="82" t="n">
        <x:f>G68*H68</x:f>
        <x:v>23540</x:v>
      </x:c>
      <x:c r="P68" s="82" t="n">
        <x:f>O68*J68</x:f>
        <x:v>3550.221379452934</x:v>
      </x:c>
      <x:c r="Q68" s="82" t="n">
        <x:f>(O68-P68)*K68</x:f>
        <x:v>542.0402746989006</x:v>
      </x:c>
      <x:c r="R68" s="82" t="n">
        <x:f>O68*L68</x:f>
        <x:v>893.4682789599617</x:v>
      </x:c>
      <x:c r="S68" s="82" t="n">
        <x:f>G68*N68-R68-M68</x:f>
        <x:v>18413.124559429456</x:v>
      </x:c>
      <x:c r="T68" s="82" t="n">
        <x:f>G68*I68</x:f>
        <x:v>10486</x:v>
      </x:c>
      <x:c r="U68" s="82" t="n">
        <x:f>S68-T68</x:f>
        <x:v>7927.124559429456</x:v>
      </x:c>
      <x:c r="V68" s="83" t="n">
        <x:f>IFERROR(U68/S68,0)</x:f>
        <x:v>0.43051490440116175</x:v>
      </x:c>
      <x:c r="W68" s="82" t="n">
        <x:f>P68+Q68+R68+M68</x:f>
        <x:v>5126.875440570546</x:v>
      </x:c>
      <x:c r="X68" s="83" t="n">
        <x:f>IFERROR(W68/O68,0)</x:f>
        <x:v>0.21779419883477255</x:v>
      </x:c>
      <x:c r="Y68" s="84" t="str">
        <x:f>IF(AND(V68&lt;Inputs!$B$12,X68&gt;Inputs!$B$13),"Priority: margin + leakage",IF(V68&lt;Inputs!$B$12,"Margin review",IF(X68&gt;Inputs!$B$13,"Leakage review","Monitor")))</x:f>
        <x:v>Leakage review</x:v>
      </x:c>
      <x:c r="Z68" s="4"/>
    </x:row>
    <x:row r="69" ht="15" hidden="0" customHeight="1">
      <x:c r="A69" s="77" t="str">
        <x:v>T-0066</x:v>
      </x:c>
      <x:c r="B69" s="78" t="n">
        <x:v>45884</x:v>
      </x:c>
      <x:c r="C69" s="77" t="str">
        <x:v>Harbor Care</x:v>
      </x:c>
      <x:c r="D69" s="77" t="str">
        <x:v>Enterprise</x:v>
      </x:c>
      <x:c r="E69" s="77" t="str">
        <x:v>SKU-200</x:v>
      </x:c>
      <x:c r="F69" s="77" t="str">
        <x:v>Analytics</x:v>
      </x:c>
      <x:c r="G69" s="79" t="n">
        <x:v>107</x:v>
      </x:c>
      <x:c r="H69" s="80" t="n">
        <x:v>220</x:v>
      </x:c>
      <x:c r="I69" s="80" t="n">
        <x:v>98</x:v>
      </x:c>
      <x:c r="J69" s="81" t="n">
        <x:v>0.06798064371428705</x:v>
      </x:c>
      <x:c r="K69" s="81" t="n">
        <x:v>0.04177956115749174</x:v>
      </x:c>
      <x:c r="L69" s="81" t="n">
        <x:v>0.010338615893470312</x:v>
      </x:c>
      <x:c r="M69" s="80" t="n">
        <x:v>91.54682868303875</x:v>
      </x:c>
      <x:c r="N69" s="82" t="n">
        <x:f>H69*(1-J69)*(1-K69)</x:f>
        <x:v>196.47759924975776</x:v>
      </x:c>
      <x:c r="O69" s="82" t="n">
        <x:f>G69*H69</x:f>
        <x:v>23540</x:v>
      </x:c>
      <x:c r="P69" s="82" t="n">
        <x:f>O69*J69</x:f>
        <x:v>1600.2643530343173</x:v>
      </x:c>
      <x:c r="Q69" s="82" t="n">
        <x:f>(O69-P69)*K69</x:f>
        <x:v>916.6325272416044</x:v>
      </x:c>
      <x:c r="R69" s="82" t="n">
        <x:f>O69*L69</x:f>
        <x:v>243.37101813229114</x:v>
      </x:c>
      <x:c r="S69" s="82" t="n">
        <x:f>G69*N69-R69-M69</x:f>
        <x:v>20688.18527290875</x:v>
      </x:c>
      <x:c r="T69" s="82" t="n">
        <x:f>G69*I69</x:f>
        <x:v>10486</x:v>
      </x:c>
      <x:c r="U69" s="82" t="n">
        <x:f>S69-T69</x:f>
        <x:v>10202.185272908751</x:v>
      </x:c>
      <x:c r="V69" s="83" t="n">
        <x:f>IFERROR(U69/S69,0)</x:f>
        <x:v>0.4931406567722761</x:v>
      </x:c>
      <x:c r="W69" s="82" t="n">
        <x:f>P69+Q69+R69+M69</x:f>
        <x:v>2851.814727091252</x:v>
      </x:c>
      <x:c r="X69" s="83" t="n">
        <x:f>IFERROR(W69/O69,0)</x:f>
        <x:v>0.1211476094771135</x:v>
      </x:c>
      <x:c r="Y69" s="84" t="str">
        <x:f>IF(AND(V69&lt;Inputs!$B$12,X69&gt;Inputs!$B$13),"Priority: margin + leakage",IF(V69&lt;Inputs!$B$12,"Margin review",IF(X69&gt;Inputs!$B$13,"Leakage review","Monitor")))</x:f>
        <x:v>Leakage review</x:v>
      </x:c>
      <x:c r="Z69" s="4"/>
    </x:row>
    <x:row r="70" ht="15" hidden="0" customHeight="1">
      <x:c r="A70" s="77" t="str">
        <x:v>T-0067</x:v>
      </x:c>
      <x:c r="B70" s="78" t="n">
        <x:v>45888</x:v>
      </x:c>
      <x:c r="C70" s="77" t="str">
        <x:v>Juniper Partners</x:v>
      </x:c>
      <x:c r="D70" s="77" t="str">
        <x:v>Mid-Market</x:v>
      </x:c>
      <x:c r="E70" s="77" t="str">
        <x:v>SKU-400</x:v>
      </x:c>
      <x:c r="F70" s="77" t="str">
        <x:v>Premium Module</x:v>
      </x:c>
      <x:c r="G70" s="79" t="n">
        <x:v>111</x:v>
      </x:c>
      <x:c r="H70" s="80" t="n">
        <x:v>420</x:v>
      </x:c>
      <x:c r="I70" s="80" t="n">
        <x:v>180</x:v>
      </x:c>
      <x:c r="J70" s="81" t="n">
        <x:v>0.10670395360658635</x:v>
      </x:c>
      <x:c r="K70" s="81" t="n">
        <x:v>0.019992786326144436</x:v>
      </x:c>
      <x:c r="L70" s="81" t="n">
        <x:v>0.04433741360467122</x:v>
      </x:c>
      <x:c r="M70" s="80" t="n">
        <x:v>270.5873558515532</x:v>
      </x:c>
      <x:c r="N70" s="82" t="n">
        <x:f>H70*(1-J70)*(1-K70)</x:f>
        <x:v>367.68335915298985</x:v>
      </x:c>
      <x:c r="O70" s="82" t="n">
        <x:f>G70*H70</x:f>
        <x:v>46620</x:v>
      </x:c>
      <x:c r="P70" s="82" t="n">
        <x:f>O70*J70</x:f>
        <x:v>4974.538317139056</x:v>
      </x:c>
      <x:c r="Q70" s="82" t="n">
        <x:f>(O70-P70)*K70</x:f>
        <x:v>832.6088168790743</x:v>
      </x:c>
      <x:c r="R70" s="82" t="n">
        <x:f>O70*L70</x:f>
        <x:v>2067.010222249772</x:v>
      </x:c>
      <x:c r="S70" s="82" t="n">
        <x:f>G70*N70-R70-M70</x:f>
        <x:v>38475.25528788055</x:v>
      </x:c>
      <x:c r="T70" s="82" t="n">
        <x:f>G70*I70</x:f>
        <x:v>19980</x:v>
      </x:c>
      <x:c r="U70" s="82" t="n">
        <x:f>S70-T70</x:f>
        <x:v>18495.25528788055</x:v>
      </x:c>
      <x:c r="V70" s="83" t="n">
        <x:f>IFERROR(U70/S70,0)</x:f>
        <x:v>0.4807051999913938</x:v>
      </x:c>
      <x:c r="W70" s="82" t="n">
        <x:f>P70+Q70+R70+M70</x:f>
        <x:v>8144.7447121194555</x:v>
      </x:c>
      <x:c r="X70" s="83" t="n">
        <x:f>IFERROR(W70/O70,0)</x:f>
        <x:v>0.1747049487799111</x:v>
      </x:c>
      <x:c r="Y70" s="84" t="str">
        <x:f>IF(AND(V70&lt;Inputs!$B$12,X70&gt;Inputs!$B$13),"Priority: margin + leakage",IF(V70&lt;Inputs!$B$12,"Margin review",IF(X70&gt;Inputs!$B$13,"Leakage review","Monitor")))</x:f>
        <x:v>Leakage review</x:v>
      </x:c>
      <x:c r="Z70" s="4"/>
    </x:row>
    <x:row r="71" ht="15" hidden="0" customHeight="1">
      <x:c r="A71" s="77" t="str">
        <x:v>T-0068</x:v>
      </x:c>
      <x:c r="B71" s="78" t="n">
        <x:v>45798</x:v>
      </x:c>
      <x:c r="C71" s="77" t="str">
        <x:v>Evergreen Rehab</x:v>
      </x:c>
      <x:c r="D71" s="77" t="str">
        <x:v>Mid-Market</x:v>
      </x:c>
      <x:c r="E71" s="77" t="str">
        <x:v>SKU-210</x:v>
      </x:c>
      <x:c r="F71" s="77" t="str">
        <x:v>Analytics</x:v>
      </x:c>
      <x:c r="G71" s="79" t="n">
        <x:v>112</x:v>
      </x:c>
      <x:c r="H71" s="80" t="n">
        <x:v>310</x:v>
      </x:c>
      <x:c r="I71" s="80" t="n">
        <x:v>142</x:v>
      </x:c>
      <x:c r="J71" s="81" t="n">
        <x:v>0.036315200773891325</x:v>
      </x:c>
      <x:c r="K71" s="81" t="n">
        <x:v>0.0025805547408862192</x:v>
      </x:c>
      <x:c r="L71" s="81" t="n">
        <x:v>0</x:v>
      </x:c>
      <x:c r="M71" s="80" t="n">
        <x:v>103.14049299166014</x:v>
      </x:c>
      <x:c r="N71" s="82" t="n">
        <x:f>H71*(1-J71)*(1-K71)</x:f>
        <x:v>297.9713669331112</x:v>
      </x:c>
      <x:c r="O71" s="82" t="n">
        <x:f>G71*H71</x:f>
        <x:v>34720</x:v>
      </x:c>
      <x:c r="P71" s="82" t="n">
        <x:f>O71*J71</x:f>
        <x:v>1260.8637708695069</x:v>
      </x:c>
      <x:c r="Q71" s="82" t="n">
        <x:f>(O71-P71)*K71</x:f>
        <x:v>86.34313262204054</x:v>
      </x:c>
      <x:c r="R71" s="82" t="n">
        <x:f>O71*L71</x:f>
        <x:v>0</x:v>
      </x:c>
      <x:c r="S71" s="82" t="n">
        <x:f>G71*N71-R71-M71</x:f>
        <x:v>33269.65260351679</x:v>
      </x:c>
      <x:c r="T71" s="82" t="n">
        <x:f>G71*I71</x:f>
        <x:v>15904</x:v>
      </x:c>
      <x:c r="U71" s="82" t="n">
        <x:f>S71-T71</x:f>
        <x:v>17365.65260351679</x:v>
      </x:c>
      <x:c r="V71" s="83" t="n">
        <x:f>IFERROR(U71/S71,0)</x:f>
        <x:v>0.5219667548221151</x:v>
      </x:c>
      <x:c r="W71" s="82" t="n">
        <x:f>P71+Q71+R71+M71</x:f>
        <x:v>1450.3473964832074</x:v>
      </x:c>
      <x:c r="X71" s="83" t="n">
        <x:f>IFERROR(W71/O71,0)</x:f>
        <x:v>0.04177267847013846</x:v>
      </x:c>
      <x:c r="Y71" s="84" t="str">
        <x:f>IF(AND(V71&lt;Inputs!$B$12,X71&gt;Inputs!$B$13),"Priority: margin + leakage",IF(V71&lt;Inputs!$B$12,"Margin review",IF(X71&gt;Inputs!$B$13,"Leakage review","Monitor")))</x:f>
        <x:v>Monitor</x:v>
      </x:c>
      <x:c r="Z71" s="4"/>
    </x:row>
    <x:row r="72" ht="15" hidden="0" customHeight="1">
      <x:c r="A72" s="77" t="str">
        <x:v>T-0069</x:v>
      </x:c>
      <x:c r="B72" s="78" t="n">
        <x:v>45728</x:v>
      </x:c>
      <x:c r="C72" s="77" t="str">
        <x:v>Harbor Care</x:v>
      </x:c>
      <x:c r="D72" s="77" t="str">
        <x:v>Enterprise</x:v>
      </x:c>
      <x:c r="E72" s="77" t="str">
        <x:v>SKU-110</x:v>
      </x:c>
      <x:c r="F72" s="77" t="str">
        <x:v>Core Platform</x:v>
      </x:c>
      <x:c r="G72" s="79" t="n">
        <x:v>96</x:v>
      </x:c>
      <x:c r="H72" s="80" t="n">
        <x:v>160</x:v>
      </x:c>
      <x:c r="I72" s="80" t="n">
        <x:v>84</x:v>
      </x:c>
      <x:c r="J72" s="81" t="n">
        <x:v>0.10379570542801377</x:v>
      </x:c>
      <x:c r="K72" s="81" t="n">
        <x:v>0.054408484989587474</x:v>
      </x:c>
      <x:c r="L72" s="81" t="n">
        <x:v>0.0154839838439861</x:v>
      </x:c>
      <x:c r="M72" s="80" t="n">
        <x:v>221.5936221917822</x:v>
      </x:c>
      <x:c r="N72" s="82" t="n">
        <x:f>H72*(1-J72)*(1-K72)</x:f>
        <x:v>135.590908266106</x:v>
      </x:c>
      <x:c r="O72" s="82" t="n">
        <x:f>G72*H72</x:f>
        <x:v>15360</x:v>
      </x:c>
      <x:c r="P72" s="82" t="n">
        <x:f>O72*J72</x:f>
        <x:v>1594.3020353742913</x:v>
      </x:c>
      <x:c r="Q72" s="82" t="n">
        <x:f>(O72-P72)*K72</x:f>
        <x:v>748.9707710795328</x:v>
      </x:c>
      <x:c r="R72" s="82" t="n">
        <x:f>O72*L72</x:f>
        <x:v>237.83399184362648</x:v>
      </x:c>
      <x:c r="S72" s="82" t="n">
        <x:f>G72*N72-R72-M72</x:f>
        <x:v>12557.299579510767</x:v>
      </x:c>
      <x:c r="T72" s="82" t="n">
        <x:f>G72*I72</x:f>
        <x:v>8064</x:v>
      </x:c>
      <x:c r="U72" s="82" t="n">
        <x:f>S72-T72</x:f>
        <x:v>4493.299579510767</x:v>
      </x:c>
      <x:c r="V72" s="83" t="n">
        <x:f>IFERROR(U72/S72,0)</x:f>
        <x:v>0.35782371449051836</x:v>
      </x:c>
      <x:c r="W72" s="82" t="n">
        <x:f>P72+Q72+R72+M72</x:f>
        <x:v>2802.700420489233</x:v>
      </x:c>
      <x:c r="X72" s="83" t="n">
        <x:f>IFERROR(W72/O72,0)</x:f>
        <x:v>0.18246747529226776</x:v>
      </x:c>
      <x:c r="Y72" s="84" t="str">
        <x:f>IF(AND(V72&lt;Inputs!$B$12,X72&gt;Inputs!$B$13),"Priority: margin + leakage",IF(V72&lt;Inputs!$B$12,"Margin review",IF(X72&gt;Inputs!$B$13,"Leakage review","Monitor")))</x:f>
        <x:v>Leakage review</x:v>
      </x:c>
      <x:c r="Z72" s="4"/>
    </x:row>
    <x:row r="73" ht="15" hidden="0" customHeight="1">
      <x:c r="A73" s="77" t="str">
        <x:v>T-0070</x:v>
      </x:c>
      <x:c r="B73" s="78" t="n">
        <x:v>45935</x:v>
      </x:c>
      <x:c r="C73" s="77" t="str">
        <x:v>Cobalt Services</x:v>
      </x:c>
      <x:c r="D73" s="77" t="str">
        <x:v>Mid-Market</x:v>
      </x:c>
      <x:c r="E73" s="77" t="str">
        <x:v>SKU-210</x:v>
      </x:c>
      <x:c r="F73" s="77" t="str">
        <x:v>Analytics</x:v>
      </x:c>
      <x:c r="G73" s="79" t="n">
        <x:v>54</x:v>
      </x:c>
      <x:c r="H73" s="80" t="n">
        <x:v>310</x:v>
      </x:c>
      <x:c r="I73" s="80" t="n">
        <x:v>142</x:v>
      </x:c>
      <x:c r="J73" s="81" t="n">
        <x:v>0.056098337236377825</x:v>
      </x:c>
      <x:c r="K73" s="81" t="n">
        <x:v>0</x:v>
      </x:c>
      <x:c r="L73" s="81" t="n">
        <x:v>0.041939746378697115</x:v>
      </x:c>
      <x:c r="M73" s="80" t="n">
        <x:v>156.16619088370228</x:v>
      </x:c>
      <x:c r="N73" s="82" t="n">
        <x:f>H73*(1-J73)*(1-K73)</x:f>
        <x:v>292.6095154567229</x:v>
      </x:c>
      <x:c r="O73" s="82" t="n">
        <x:f>G73*H73</x:f>
        <x:v>16740</x:v>
      </x:c>
      <x:c r="P73" s="82" t="n">
        <x:f>O73*J73</x:f>
        <x:v>939.0861653369648</x:v>
      </x:c>
      <x:c r="Q73" s="82" t="n">
        <x:f>(O73-P73)*K73</x:f>
        <x:v>0</x:v>
      </x:c>
      <x:c r="R73" s="82" t="n">
        <x:f>O73*L73</x:f>
        <x:v>702.0713543793897</x:v>
      </x:c>
      <x:c r="S73" s="82" t="n">
        <x:f>G73*N73-R73-M73</x:f>
        <x:v>14942.676289399942</x:v>
      </x:c>
      <x:c r="T73" s="82" t="n">
        <x:f>G73*I73</x:f>
        <x:v>7668</x:v>
      </x:c>
      <x:c r="U73" s="82" t="n">
        <x:f>S73-T73</x:f>
        <x:v>7274.676289399942</x:v>
      </x:c>
      <x:c r="V73" s="83" t="n">
        <x:f>IFERROR(U73/S73,0)</x:f>
        <x:v>0.48683891349238845</x:v>
      </x:c>
      <x:c r="W73" s="82" t="n">
        <x:f>P73+Q73+R73+M73</x:f>
        <x:v>1797.3237106000568</x:v>
      </x:c>
      <x:c r="X73" s="83" t="n">
        <x:f>IFERROR(W73/O73,0)</x:f>
        <x:v>0.10736700780167603</x:v>
      </x:c>
      <x:c r="Y73" s="84" t="str">
        <x:f>IF(AND(V73&lt;Inputs!$B$12,X73&gt;Inputs!$B$13),"Priority: margin + leakage",IF(V73&lt;Inputs!$B$12,"Margin review",IF(X73&gt;Inputs!$B$13,"Leakage review","Monitor")))</x:f>
        <x:v>Monitor</x:v>
      </x:c>
      <x:c r="Z73" s="4"/>
    </x:row>
    <x:row r="74" ht="15" hidden="0" customHeight="1">
      <x:c r="A74" s="77" t="str">
        <x:v>T-0071</x:v>
      </x:c>
      <x:c r="B74" s="78" t="n">
        <x:v>46014</x:v>
      </x:c>
      <x:c r="C74" s="77" t="str">
        <x:v>Harbor Care</x:v>
      </x:c>
      <x:c r="D74" s="77" t="str">
        <x:v>Enterprise</x:v>
      </x:c>
      <x:c r="E74" s="77" t="str">
        <x:v>SKU-400</x:v>
      </x:c>
      <x:c r="F74" s="77" t="str">
        <x:v>Premium Module</x:v>
      </x:c>
      <x:c r="G74" s="79" t="n">
        <x:v>12</x:v>
      </x:c>
      <x:c r="H74" s="80" t="n">
        <x:v>420</x:v>
      </x:c>
      <x:c r="I74" s="80" t="n">
        <x:v>180</x:v>
      </x:c>
      <x:c r="J74" s="81" t="n">
        <x:v>0.11978929594444142</x:v>
      </x:c>
      <x:c r="K74" s="81" t="n">
        <x:v>0.06014607912221268</x:v>
      </x:c>
      <x:c r="L74" s="81" t="n">
        <x:v>0.04470606254271145</x:v>
      </x:c>
      <x:c r="M74" s="80" t="n">
        <x:v>52.892588729368114</x:v>
      </x:c>
      <x:c r="N74" s="82" t="n">
        <x:f>H74*(1-J74)*(1-K74)</x:f>
        <x:v>347.45318219019003</x:v>
      </x:c>
      <x:c r="O74" s="82" t="n">
        <x:f>G74*H74</x:f>
        <x:v>5040</x:v>
      </x:c>
      <x:c r="P74" s="82" t="n">
        <x:f>O74*J74</x:f>
        <x:v>603.7380515599848</x:v>
      </x:c>
      <x:c r="Q74" s="82" t="n">
        <x:f>(O74-P74)*K74</x:f>
        <x:v>266.8237621577345</x:v>
      </x:c>
      <x:c r="R74" s="82" t="n">
        <x:f>O74*L74</x:f>
        <x:v>225.31855521526572</x:v>
      </x:c>
      <x:c r="S74" s="82" t="n">
        <x:f>G74*N74-R74-M74</x:f>
        <x:v>3891.2270423376463</x:v>
      </x:c>
      <x:c r="T74" s="82" t="n">
        <x:f>G74*I74</x:f>
        <x:v>2160</x:v>
      </x:c>
      <x:c r="U74" s="82" t="n">
        <x:f>S74-T74</x:f>
        <x:v>1731.2270423376463</x:v>
      </x:c>
      <x:c r="V74" s="83" t="n">
        <x:f>IFERROR(U74/S74,0)</x:f>
        <x:v>0.44490517348420133</x:v>
      </x:c>
      <x:c r="W74" s="82" t="n">
        <x:f>P74+Q74+R74+M74</x:f>
        <x:v>1148.772957662353</x:v>
      </x:c>
      <x:c r="X74" s="83" t="n">
        <x:f>IFERROR(W74/O74,0)</x:f>
        <x:v>0.22793114239332402</x:v>
      </x:c>
      <x:c r="Y74" s="84" t="str">
        <x:f>IF(AND(V74&lt;Inputs!$B$12,X74&gt;Inputs!$B$13),"Priority: margin + leakage",IF(V74&lt;Inputs!$B$12,"Margin review",IF(X74&gt;Inputs!$B$13,"Leakage review","Monitor")))</x:f>
        <x:v>Leakage review</x:v>
      </x:c>
      <x:c r="Z74" s="4"/>
    </x:row>
    <x:row r="75" ht="15" hidden="0" customHeight="1">
      <x:c r="A75" s="77" t="str">
        <x:v>T-0072</x:v>
      </x:c>
      <x:c r="B75" s="78" t="n">
        <x:v>45872</x:v>
      </x:c>
      <x:c r="C75" s="77" t="str">
        <x:v>Acme Health</x:v>
      </x:c>
      <x:c r="D75" s="77" t="str">
        <x:v>Enterprise</x:v>
      </x:c>
      <x:c r="E75" s="77" t="str">
        <x:v>SKU-400</x:v>
      </x:c>
      <x:c r="F75" s="77" t="str">
        <x:v>Premium Module</x:v>
      </x:c>
      <x:c r="G75" s="79" t="n">
        <x:v>66</x:v>
      </x:c>
      <x:c r="H75" s="80" t="n">
        <x:v>420</x:v>
      </x:c>
      <x:c r="I75" s="80" t="n">
        <x:v>180</x:v>
      </x:c>
      <x:c r="J75" s="81" t="n">
        <x:v>0.14256684728464863</x:v>
      </x:c>
      <x:c r="K75" s="81" t="n">
        <x:v>0.03586216407715332</x:v>
      </x:c>
      <x:c r="L75" s="81" t="n">
        <x:v>0.025770187169499487</x:v>
      </x:c>
      <x:c r="M75" s="80" t="n">
        <x:v>0</x:v>
      </x:c>
      <x:c r="N75" s="82" t="n">
        <x:f>H75*(1-J75)*(1-K75)</x:f>
        <x:v>347.2071726091427</x:v>
      </x:c>
      <x:c r="O75" s="82" t="n">
        <x:f>G75*H75</x:f>
        <x:v>27720</x:v>
      </x:c>
      <x:c r="P75" s="82" t="n">
        <x:f>O75*J75</x:f>
        <x:v>3951.95300673046</x:v>
      </x:c>
      <x:c r="Q75" s="82" t="n">
        <x:f>(O75-P75)*K75</x:f>
        <x:v>852.3736010661229</x:v>
      </x:c>
      <x:c r="R75" s="82" t="n">
        <x:f>O75*L75</x:f>
        <x:v>714.3495883385258</x:v>
      </x:c>
      <x:c r="S75" s="82" t="n">
        <x:f>G75*N75-R75-M75</x:f>
        <x:v>22201.323803864892</x:v>
      </x:c>
      <x:c r="T75" s="82" t="n">
        <x:f>G75*I75</x:f>
        <x:v>11880</x:v>
      </x:c>
      <x:c r="U75" s="82" t="n">
        <x:f>S75-T75</x:f>
        <x:v>10321.323803864892</x:v>
      </x:c>
      <x:c r="V75" s="83" t="n">
        <x:f>IFERROR(U75/S75,0)</x:f>
        <x:v>0.4648967735008719</x:v>
      </x:c>
      <x:c r="W75" s="82" t="n">
        <x:f>P75+Q75+R75+M75</x:f>
        <x:v>5518.6761961351085</x:v>
      </x:c>
      <x:c r="X75" s="83" t="n">
        <x:f>IFERROR(W75/O75,0)</x:f>
        <x:v>0.1990864428620169</x:v>
      </x:c>
      <x:c r="Y75" s="84" t="str">
        <x:f>IF(AND(V75&lt;Inputs!$B$12,X75&gt;Inputs!$B$13),"Priority: margin + leakage",IF(V75&lt;Inputs!$B$12,"Margin review",IF(X75&gt;Inputs!$B$13,"Leakage review","Monitor")))</x:f>
        <x:v>Leakage review</x:v>
      </x:c>
      <x:c r="Z75" s="4"/>
    </x:row>
    <x:row r="76" ht="15" hidden="0" customHeight="1">
      <x:c r="A76" s="77" t="str">
        <x:v>T-0073</x:v>
      </x:c>
      <x:c r="B76" s="78" t="n">
        <x:v>46005</x:v>
      </x:c>
      <x:c r="C76" s="77" t="str">
        <x:v>Ironwood Ops</x:v>
      </x:c>
      <x:c r="D76" s="77" t="str">
        <x:v>SMB</x:v>
      </x:c>
      <x:c r="E76" s="77" t="str">
        <x:v>SKU-210</x:v>
      </x:c>
      <x:c r="F76" s="77" t="str">
        <x:v>Analytics</x:v>
      </x:c>
      <x:c r="G76" s="79" t="n">
        <x:v>67</x:v>
      </x:c>
      <x:c r="H76" s="80" t="n">
        <x:v>310</x:v>
      </x:c>
      <x:c r="I76" s="80" t="n">
        <x:v>142</x:v>
      </x:c>
      <x:c r="J76" s="81" t="n">
        <x:v>0.052150817162260485</x:v>
      </x:c>
      <x:c r="K76" s="81" t="n">
        <x:v>0.06125688364005592</x:v>
      </x:c>
      <x:c r="L76" s="81" t="n">
        <x:v>0.041022907881234694</x:v>
      </x:c>
      <x:c r="M76" s="80" t="n">
        <x:v>134.77450967585193</x:v>
      </x:c>
      <x:c r="N76" s="82" t="n">
        <x:f>H76*(1-J76)*(1-K76)</x:f>
        <x:v>275.83393767826107</x:v>
      </x:c>
      <x:c r="O76" s="82" t="n">
        <x:f>G76*H76</x:f>
        <x:v>20770</x:v>
      </x:c>
      <x:c r="P76" s="82" t="n">
        <x:f>O76*J76</x:f>
        <x:v>1083.1724724601502</x:v>
      </x:c>
      <x:c r="Q76" s="82" t="n">
        <x:f>(O76-P76)*K76</x:f>
        <x:v>1205.9537030963584</x:v>
      </x:c>
      <x:c r="R76" s="82" t="n">
        <x:f>O76*L76</x:f>
        <x:v>852.0457966932446</x:v>
      </x:c>
      <x:c r="S76" s="82" t="n">
        <x:f>G76*N76-R76-M76</x:f>
        <x:v>17494.053518074394</x:v>
      </x:c>
      <x:c r="T76" s="82" t="n">
        <x:f>G76*I76</x:f>
        <x:v>9514</x:v>
      </x:c>
      <x:c r="U76" s="82" t="n">
        <x:f>S76-T76</x:f>
        <x:v>7980.053518074394</x:v>
      </x:c>
      <x:c r="V76" s="83" t="n">
        <x:f>IFERROR(U76/S76,0)</x:f>
        <x:v>0.4561580602134098</x:v>
      </x:c>
      <x:c r="W76" s="82" t="n">
        <x:f>P76+Q76+R76+M76</x:f>
        <x:v>3275.9464819256045</x:v>
      </x:c>
      <x:c r="X76" s="83" t="n">
        <x:f>IFERROR(W76/O76,0)</x:f>
        <x:v>0.1577249148736449</x:v>
      </x:c>
      <x:c r="Y76" s="84" t="str">
        <x:f>IF(AND(V76&lt;Inputs!$B$12,X76&gt;Inputs!$B$13),"Priority: margin + leakage",IF(V76&lt;Inputs!$B$12,"Margin review",IF(X76&gt;Inputs!$B$13,"Leakage review","Monitor")))</x:f>
        <x:v>Leakage review</x:v>
      </x:c>
      <x:c r="Z76" s="4"/>
    </x:row>
    <x:row r="77" ht="15" hidden="0" customHeight="1">
      <x:c r="A77" s="77" t="str">
        <x:v>T-0074</x:v>
      </x:c>
      <x:c r="B77" s="78" t="n">
        <x:v>45859</x:v>
      </x:c>
      <x:c r="C77" s="77" t="str">
        <x:v>Granite Medical</x:v>
      </x:c>
      <x:c r="D77" s="77" t="str">
        <x:v>Mid-Market</x:v>
      </x:c>
      <x:c r="E77" s="77" t="str">
        <x:v>SKU-200</x:v>
      </x:c>
      <x:c r="F77" s="77" t="str">
        <x:v>Analytics</x:v>
      </x:c>
      <x:c r="G77" s="79" t="n">
        <x:v>112</x:v>
      </x:c>
      <x:c r="H77" s="80" t="n">
        <x:v>220</x:v>
      </x:c>
      <x:c r="I77" s="80" t="n">
        <x:v>98</x:v>
      </x:c>
      <x:c r="J77" s="81" t="n">
        <x:v>0.0570926669695868</x:v>
      </x:c>
      <x:c r="K77" s="81" t="n">
        <x:v>0.037658087268360854</x:v>
      </x:c>
      <x:c r="L77" s="81" t="n">
        <x:v>0.021973064120800623</x:v>
      </x:c>
      <x:c r="M77" s="80" t="n">
        <x:v>105.37822455914066</x:v>
      </x:c>
      <x:c r="N77" s="82" t="n">
        <x:f>H77*(1-J77)*(1-K77)</x:f>
        <x:v>199.62783420737884</x:v>
      </x:c>
      <x:c r="O77" s="82" t="n">
        <x:f>G77*H77</x:f>
        <x:v>24640</x:v>
      </x:c>
      <x:c r="P77" s="82" t="n">
        <x:f>O77*J77</x:f>
        <x:v>1406.7633141306187</x:v>
      </x:c>
      <x:c r="Q77" s="82" t="n">
        <x:f>(O77-P77)*K77</x:f>
        <x:v>874.9192546429521</x:v>
      </x:c>
      <x:c r="R77" s="82" t="n">
        <x:f>O77*L77</x:f>
        <x:v>541.4162999365274</x:v>
      </x:c>
      <x:c r="S77" s="82" t="n">
        <x:f>G77*N77-R77-M77</x:f>
        <x:v>21711.522906730763</x:v>
      </x:c>
      <x:c r="T77" s="82" t="n">
        <x:f>G77*I77</x:f>
        <x:v>10976</x:v>
      </x:c>
      <x:c r="U77" s="82" t="n">
        <x:f>S77-T77</x:f>
        <x:v>10735.522906730763</x:v>
      </x:c>
      <x:c r="V77" s="83" t="n">
        <x:f>IFERROR(U77/S77,0)</x:f>
        <x:v>0.49446199388448503</x:v>
      </x:c>
      <x:c r="W77" s="82" t="n">
        <x:f>P77+Q77+R77+M77</x:f>
        <x:v>2928.4770932692386</x:v>
      </x:c>
      <x:c r="X77" s="83" t="n">
        <x:f>IFERROR(W77/O77,0)</x:f>
        <x:v>0.11885053138268013</x:v>
      </x:c>
      <x:c r="Y77" s="84" t="str">
        <x:f>IF(AND(V77&lt;Inputs!$B$12,X77&gt;Inputs!$B$13),"Priority: margin + leakage",IF(V77&lt;Inputs!$B$12,"Margin review",IF(X77&gt;Inputs!$B$13,"Leakage review","Monitor")))</x:f>
        <x:v>Monitor</x:v>
      </x:c>
      <x:c r="Z77" s="4"/>
    </x:row>
    <x:row r="78" ht="15" hidden="0" customHeight="1">
      <x:c r="A78" s="77" t="str">
        <x:v>T-0075</x:v>
      </x:c>
      <x:c r="B78" s="78" t="n">
        <x:v>45852</x:v>
      </x:c>
      <x:c r="C78" s="77" t="str">
        <x:v>Juniper Partners</x:v>
      </x:c>
      <x:c r="D78" s="77" t="str">
        <x:v>Mid-Market</x:v>
      </x:c>
      <x:c r="E78" s="77" t="str">
        <x:v>SKU-100</x:v>
      </x:c>
      <x:c r="F78" s="77" t="str">
        <x:v>Core Platform</x:v>
      </x:c>
      <x:c r="G78" s="79" t="n">
        <x:v>15</x:v>
      </x:c>
      <x:c r="H78" s="80" t="n">
        <x:v>105</x:v>
      </x:c>
      <x:c r="I78" s="80" t="n">
        <x:v>58</x:v>
      </x:c>
      <x:c r="J78" s="81" t="n">
        <x:v>0.06320465955850497</x:v>
      </x:c>
      <x:c r="K78" s="81" t="n">
        <x:v>0.024449705162057203</x:v>
      </x:c>
      <x:c r="L78" s="81" t="n">
        <x:v>0.019384566714357072</x:v>
      </x:c>
      <x:c r="M78" s="80" t="n">
        <x:v>126.89046963049198</x:v>
      </x:c>
      <x:c r="N78" s="82" t="n">
        <x:f>H78*(1-J78)*(1-K78)</x:f>
        <x:v>95.9585519099037</x:v>
      </x:c>
      <x:c r="O78" s="82" t="n">
        <x:f>G78*H78</x:f>
        <x:v>1575</x:v>
      </x:c>
      <x:c r="P78" s="82" t="n">
        <x:f>O78*J78</x:f>
        <x:v>99.54733880464534</x:v>
      </x:c>
      <x:c r="Q78" s="82" t="n">
        <x:f>(O78-P78)*K78</x:f>
        <x:v>36.0743825467991</x:v>
      </x:c>
      <x:c r="R78" s="82" t="n">
        <x:f>O78*L78</x:f>
        <x:v>30.53069257511239</x:v>
      </x:c>
      <x:c r="S78" s="82" t="n">
        <x:f>G78*N78-R78-M78</x:f>
        <x:v>1281.9571164429512</x:v>
      </x:c>
      <x:c r="T78" s="82" t="n">
        <x:f>G78*I78</x:f>
        <x:v>870</x:v>
      </x:c>
      <x:c r="U78" s="82" t="n">
        <x:f>S78-T78</x:f>
        <x:v>411.95711644295125</x:v>
      </x:c>
      <x:c r="V78" s="83" t="n">
        <x:f>IFERROR(U78/S78,0)</x:f>
        <x:v>0.3213501537290182</x:v>
      </x:c>
      <x:c r="W78" s="82" t="n">
        <x:f>P78+Q78+R78+M78</x:f>
        <x:v>293.0428835570488</x:v>
      </x:c>
      <x:c r="X78" s="83" t="n">
        <x:f>IFERROR(W78/O78,0)</x:f>
        <x:v>0.18605897368701513</x:v>
      </x:c>
      <x:c r="Y78" s="84" t="str">
        <x:f>IF(AND(V78&lt;Inputs!$B$12,X78&gt;Inputs!$B$13),"Priority: margin + leakage",IF(V78&lt;Inputs!$B$12,"Margin review",IF(X78&gt;Inputs!$B$13,"Leakage review","Monitor")))</x:f>
        <x:v>Leakage review</x:v>
      </x:c>
      <x:c r="Z78" s="4"/>
    </x:row>
    <x:row r="79" ht="15" hidden="0" customHeight="1">
      <x:c r="A79" s="77" t="str">
        <x:v>T-0076</x:v>
      </x:c>
      <x:c r="B79" s="78" t="n">
        <x:v>45873</x:v>
      </x:c>
      <x:c r="C79" s="77" t="str">
        <x:v>Fulton Labs</x:v>
      </x:c>
      <x:c r="D79" s="77" t="str">
        <x:v>SMB</x:v>
      </x:c>
      <x:c r="E79" s="77" t="str">
        <x:v>SKU-210</x:v>
      </x:c>
      <x:c r="F79" s="77" t="str">
        <x:v>Analytics</x:v>
      </x:c>
      <x:c r="G79" s="79" t="n">
        <x:v>63</x:v>
      </x:c>
      <x:c r="H79" s="80" t="n">
        <x:v>310</x:v>
      </x:c>
      <x:c r="I79" s="80" t="n">
        <x:v>142</x:v>
      </x:c>
      <x:c r="J79" s="81" t="n">
        <x:v>0.017496668904065288</x:v>
      </x:c>
      <x:c r="K79" s="81" t="n">
        <x:v>0.07247507599220968</x:v>
      </x:c>
      <x:c r="L79" s="81" t="n">
        <x:v>0.0032011616778200302</x:v>
      </x:c>
      <x:c r="M79" s="80" t="n">
        <x:v>223.48428740337138</x:v>
      </x:c>
      <x:c r="N79" s="82" t="n">
        <x:f>H79*(1-J79)*(1-K79)</x:f>
        <x:v>282.50186152876887</x:v>
      </x:c>
      <x:c r="O79" s="82" t="n">
        <x:f>G79*H79</x:f>
        <x:v>19530</x:v>
      </x:c>
      <x:c r="P79" s="82" t="n">
        <x:f>O79*J79</x:f>
        <x:v>341.70994369639504</x:v>
      </x:c>
      <x:c r="Q79" s="82" t="n">
        <x:f>(O79-P79)*K79</x:f>
        <x:v>1390.672779991165</x:v>
      </x:c>
      <x:c r="R79" s="82" t="n">
        <x:f>O79*L79</x:f>
        <x:v>62.51868756782519</x:v>
      </x:c>
      <x:c r="S79" s="82" t="n">
        <x:f>G79*N79-R79-M79</x:f>
        <x:v>17511.61430134124</x:v>
      </x:c>
      <x:c r="T79" s="82" t="n">
        <x:f>G79*I79</x:f>
        <x:v>8946</x:v>
      </x:c>
      <x:c r="U79" s="82" t="n">
        <x:f>S79-T79</x:f>
        <x:v>8565.61430134124</x:v>
      </x:c>
      <x:c r="V79" s="83" t="n">
        <x:f>IFERROR(U79/S79,0)</x:f>
        <x:v>0.48913904531835123</x:v>
      </x:c>
      <x:c r="W79" s="82" t="n">
        <x:f>P79+Q79+R79+M79</x:f>
        <x:v>2018.3856986587566</x:v>
      </x:c>
      <x:c r="X79" s="83" t="n">
        <x:f>IFERROR(W79/O79,0)</x:f>
        <x:v>0.10334796204089895</x:v>
      </x:c>
      <x:c r="Y79" s="84" t="str">
        <x:f>IF(AND(V79&lt;Inputs!$B$12,X79&gt;Inputs!$B$13),"Priority: margin + leakage",IF(V79&lt;Inputs!$B$12,"Margin review",IF(X79&gt;Inputs!$B$13,"Leakage review","Monitor")))</x:f>
        <x:v>Monitor</x:v>
      </x:c>
      <x:c r="Z79" s="4"/>
    </x:row>
    <x:row r="80" ht="15" hidden="0" customHeight="1">
      <x:c r="A80" s="77" t="str">
        <x:v>T-0077</x:v>
      </x:c>
      <x:c r="B80" s="78" t="n">
        <x:v>45990</x:v>
      </x:c>
      <x:c r="C80" s="77" t="str">
        <x:v>Evergreen Rehab</x:v>
      </x:c>
      <x:c r="D80" s="77" t="str">
        <x:v>Mid-Market</x:v>
      </x:c>
      <x:c r="E80" s="77" t="str">
        <x:v>SKU-110</x:v>
      </x:c>
      <x:c r="F80" s="77" t="str">
        <x:v>Core Platform</x:v>
      </x:c>
      <x:c r="G80" s="79" t="n">
        <x:v>65</x:v>
      </x:c>
      <x:c r="H80" s="80" t="n">
        <x:v>160</x:v>
      </x:c>
      <x:c r="I80" s="80" t="n">
        <x:v>84</x:v>
      </x:c>
      <x:c r="J80" s="81" t="n">
        <x:v>0.11825932717098833</x:v>
      </x:c>
      <x:c r="K80" s="81" t="n">
        <x:v>0.03878193193492731</x:v>
      </x:c>
      <x:c r="L80" s="81" t="n">
        <x:v>0.0417065167812679</x:v>
      </x:c>
      <x:c r="M80" s="80" t="n">
        <x:v>119.95162372277325</x:v>
      </x:c>
      <x:c r="N80" s="82" t="n">
        <x:f>H80*(1-J80)*(1-K80)</x:f>
        <x:v>135.607210571376</x:v>
      </x:c>
      <x:c r="O80" s="82" t="n">
        <x:f>G80*H80</x:f>
        <x:v>10400</x:v>
      </x:c>
      <x:c r="P80" s="82" t="n">
        <x:f>O80*J80</x:f>
        <x:v>1229.8970025782787</x:v>
      </x:c>
      <x:c r="Q80" s="82" t="n">
        <x:f>(O80-P80)*K80</x:f>
        <x:v>355.6343102822821</x:v>
      </x:c>
      <x:c r="R80" s="82" t="n">
        <x:f>O80*L80</x:f>
        <x:v>433.7477745251861</x:v>
      </x:c>
      <x:c r="S80" s="82" t="n">
        <x:f>G80*N80-R80-M80</x:f>
        <x:v>8260.76928889148</x:v>
      </x:c>
      <x:c r="T80" s="82" t="n">
        <x:f>G80*I80</x:f>
        <x:v>5460</x:v>
      </x:c>
      <x:c r="U80" s="82" t="n">
        <x:f>S80-T80</x:f>
        <x:v>2800.7692888914808</x:v>
      </x:c>
      <x:c r="V80" s="83" t="n">
        <x:f>IFERROR(U80/S80,0)</x:f>
        <x:v>0.33904460843105305</x:v>
      </x:c>
      <x:c r="W80" s="82" t="n">
        <x:f>P80+Q80+R80+M80</x:f>
        <x:v>2139.23071110852</x:v>
      </x:c>
      <x:c r="X80" s="83" t="n">
        <x:f>IFERROR(W80/O80,0)</x:f>
        <x:v>0.20569526068351154</x:v>
      </x:c>
      <x:c r="Y80" s="84" t="str">
        <x:f>IF(AND(V80&lt;Inputs!$B$12,X80&gt;Inputs!$B$13),"Priority: margin + leakage",IF(V80&lt;Inputs!$B$12,"Margin review",IF(X80&gt;Inputs!$B$13,"Leakage review","Monitor")))</x:f>
        <x:v>Leakage review</x:v>
      </x:c>
      <x:c r="Z80" s="4"/>
    </x:row>
    <x:row r="81" ht="15" hidden="0" customHeight="1">
      <x:c r="A81" s="77" t="str">
        <x:v>T-0078</x:v>
      </x:c>
      <x:c r="B81" s="78" t="n">
        <x:v>45780</x:v>
      </x:c>
      <x:c r="C81" s="77" t="str">
        <x:v>Boreal Clinics</x:v>
      </x:c>
      <x:c r="D81" s="77" t="str">
        <x:v>Enterprise</x:v>
      </x:c>
      <x:c r="E81" s="77" t="str">
        <x:v>SKU-100</x:v>
      </x:c>
      <x:c r="F81" s="77" t="str">
        <x:v>Core Platform</x:v>
      </x:c>
      <x:c r="G81" s="79" t="n">
        <x:v>101</x:v>
      </x:c>
      <x:c r="H81" s="80" t="n">
        <x:v>105</x:v>
      </x:c>
      <x:c r="I81" s="80" t="n">
        <x:v>58</x:v>
      </x:c>
      <x:c r="J81" s="81" t="n">
        <x:v>0.1358812866390224</x:v>
      </x:c>
      <x:c r="K81" s="81" t="n">
        <x:v>0.03865066198379485</x:v>
      </x:c>
      <x:c r="L81" s="81" t="n">
        <x:v>0.03833863457212046</x:v>
      </x:c>
      <x:c r="M81" s="80" t="n">
        <x:v>13.774186873653832</x:v>
      </x:c>
      <x:c r="N81" s="82" t="n">
        <x:f>H81*(1-J81)*(1-K81)</x:f>
        <x:v>87.22559507098403</x:v>
      </x:c>
      <x:c r="O81" s="82" t="n">
        <x:f>G81*H81</x:f>
        <x:v>10605</x:v>
      </x:c>
      <x:c r="P81" s="82" t="n">
        <x:f>O81*J81</x:f>
        <x:v>1441.0210448068326</x:v>
      </x:c>
      <x:c r="Q81" s="82" t="n">
        <x:f>(O81-P81)*K81</x:f>
        <x:v>354.1938530237806</x:v>
      </x:c>
      <x:c r="R81" s="82" t="n">
        <x:f>O81*L81</x:f>
        <x:v>406.5812196373375</x:v>
      </x:c>
      <x:c r="S81" s="82" t="n">
        <x:f>G81*N81-R81-M81</x:f>
        <x:v>8389.429695658395</x:v>
      </x:c>
      <x:c r="T81" s="82" t="n">
        <x:f>G81*I81</x:f>
        <x:v>5858</x:v>
      </x:c>
      <x:c r="U81" s="82" t="n">
        <x:f>S81-T81</x:f>
        <x:v>2531.429695658395</x:v>
      </x:c>
      <x:c r="V81" s="83" t="n">
        <x:f>IFERROR(U81/S81,0)</x:f>
        <x:v>0.3017403789638326</x:v>
      </x:c>
      <x:c r="W81" s="82" t="n">
        <x:f>P81+Q81+R81+M81</x:f>
        <x:v>2215.5703043416047</x:v>
      </x:c>
      <x:c r="X81" s="83" t="n">
        <x:f>IFERROR(W81/O81,0)</x:f>
        <x:v>0.2089175204471103</x:v>
      </x:c>
      <x:c r="Y81" s="84" t="str">
        <x:f>IF(AND(V81&lt;Inputs!$B$12,X81&gt;Inputs!$B$13),"Priority: margin + leakage",IF(V81&lt;Inputs!$B$12,"Margin review",IF(X81&gt;Inputs!$B$13,"Leakage review","Monitor")))</x:f>
        <x:v>Leakage review</x:v>
      </x:c>
      <x:c r="Z81" s="4"/>
    </x:row>
    <x:row r="82" ht="15" hidden="0" customHeight="1">
      <x:c r="A82" s="77" t="str">
        <x:v>T-0079</x:v>
      </x:c>
      <x:c r="B82" s="78" t="n">
        <x:v>45846</x:v>
      </x:c>
      <x:c r="C82" s="77" t="str">
        <x:v>Cobalt Services</x:v>
      </x:c>
      <x:c r="D82" s="77" t="str">
        <x:v>Mid-Market</x:v>
      </x:c>
      <x:c r="E82" s="77" t="str">
        <x:v>SKU-410</x:v>
      </x:c>
      <x:c r="F82" s="77" t="str">
        <x:v>Premium Module</x:v>
      </x:c>
      <x:c r="G82" s="79" t="n">
        <x:v>90</x:v>
      </x:c>
      <x:c r="H82" s="80" t="n">
        <x:v>575</x:v>
      </x:c>
      <x:c r="I82" s="80" t="n">
        <x:v>235</x:v>
      </x:c>
      <x:c r="J82" s="81" t="n">
        <x:v>0.13900573636295757</x:v>
      </x:c>
      <x:c r="K82" s="81" t="n">
        <x:v>0.07499552084043229</x:v>
      </x:c>
      <x:c r="L82" s="81" t="n">
        <x:v>0.011482463512605803</x:v>
      </x:c>
      <x:c r="M82" s="80" t="n">
        <x:v>135.0924849959179</x:v>
      </x:c>
      <x:c r="N82" s="82" t="n">
        <x:f>H82*(1-J82)*(1-K82)</x:f>
        <x:v>457.94354147710084</x:v>
      </x:c>
      <x:c r="O82" s="82" t="n">
        <x:f>G82*H82</x:f>
        <x:v>51750</x:v>
      </x:c>
      <x:c r="P82" s="82" t="n">
        <x:f>O82*J82</x:f>
        <x:v>7193.546856783054</x:v>
      </x:c>
      <x:c r="Q82" s="82" t="n">
        <x:f>(O82-P82)*K82</x:f>
        <x:v>3341.5344102778713</x:v>
      </x:c>
      <x:c r="R82" s="82" t="n">
        <x:f>O82*L82</x:f>
        <x:v>594.2174867773504</x:v>
      </x:c>
      <x:c r="S82" s="82" t="n">
        <x:f>G82*N82-R82-M82</x:f>
        <x:v>40485.60876116581</x:v>
      </x:c>
      <x:c r="T82" s="82" t="n">
        <x:f>G82*I82</x:f>
        <x:v>21150</x:v>
      </x:c>
      <x:c r="U82" s="82" t="n">
        <x:f>S82-T82</x:f>
        <x:v>19335.608761165808</x:v>
      </x:c>
      <x:c r="V82" s="83" t="n">
        <x:f>IFERROR(U82/S82,0)</x:f>
        <x:v>0.4775921457728632</x:v>
      </x:c>
      <x:c r="W82" s="82" t="n">
        <x:f>P82+Q82+R82+M82</x:f>
        <x:v>11264.391238834192</x:v>
      </x:c>
      <x:c r="X82" s="83" t="n">
        <x:f>IFERROR(W82/O82,0)</x:f>
        <x:v>0.2176693959195013</x:v>
      </x:c>
      <x:c r="Y82" s="84" t="str">
        <x:f>IF(AND(V82&lt;Inputs!$B$12,X82&gt;Inputs!$B$13),"Priority: margin + leakage",IF(V82&lt;Inputs!$B$12,"Margin review",IF(X82&gt;Inputs!$B$13,"Leakage review","Monitor")))</x:f>
        <x:v>Leakage review</x:v>
      </x:c>
      <x:c r="Z82" s="4"/>
    </x:row>
    <x:row r="83" ht="15" hidden="0" customHeight="1">
      <x:c r="A83" s="77" t="str">
        <x:v>T-0080</x:v>
      </x:c>
      <x:c r="B83" s="78" t="n">
        <x:v>45817</x:v>
      </x:c>
      <x:c r="C83" s="77" t="str">
        <x:v>Cobalt Services</x:v>
      </x:c>
      <x:c r="D83" s="77" t="str">
        <x:v>Mid-Market</x:v>
      </x:c>
      <x:c r="E83" s="77" t="str">
        <x:v>SKU-110</x:v>
      </x:c>
      <x:c r="F83" s="77" t="str">
        <x:v>Core Platform</x:v>
      </x:c>
      <x:c r="G83" s="79" t="n">
        <x:v>104</x:v>
      </x:c>
      <x:c r="H83" s="80" t="n">
        <x:v>160</x:v>
      </x:c>
      <x:c r="I83" s="80" t="n">
        <x:v>84</x:v>
      </x:c>
      <x:c r="J83" s="81" t="n">
        <x:v>0.11318167601113445</x:v>
      </x:c>
      <x:c r="K83" s="81" t="n">
        <x:v>0</x:v>
      </x:c>
      <x:c r="L83" s="81" t="n">
        <x:v>0.028194553526836745</x:v>
      </x:c>
      <x:c r="M83" s="80" t="n">
        <x:v>132.89555766902632</x:v>
      </x:c>
      <x:c r="N83" s="82" t="n">
        <x:f>H83*(1-J83)*(1-K83)</x:f>
        <x:v>141.89093183821848</x:v>
      </x:c>
      <x:c r="O83" s="82" t="n">
        <x:f>G83*H83</x:f>
        <x:v>16640</x:v>
      </x:c>
      <x:c r="P83" s="82" t="n">
        <x:f>O83*J83</x:f>
        <x:v>1883.3430888252772</x:v>
      </x:c>
      <x:c r="Q83" s="82" t="n">
        <x:f>(O83-P83)*K83</x:f>
        <x:v>0</x:v>
      </x:c>
      <x:c r="R83" s="82" t="n">
        <x:f>O83*L83</x:f>
        <x:v>469.1573706865634</x:v>
      </x:c>
      <x:c r="S83" s="82" t="n">
        <x:f>G83*N83-R83-M83</x:f>
        <x:v>14154.603982819131</x:v>
      </x:c>
      <x:c r="T83" s="82" t="n">
        <x:f>G83*I83</x:f>
        <x:v>8736</x:v>
      </x:c>
      <x:c r="U83" s="82" t="n">
        <x:f>S83-T83</x:f>
        <x:v>5418.6039828191315</x:v>
      </x:c>
      <x:c r="V83" s="83" t="n">
        <x:f>IFERROR(U83/S83,0)</x:f>
        <x:v>0.3828156541430786</x:v>
      </x:c>
      <x:c r="W83" s="82" t="n">
        <x:f>P83+Q83+R83+M83</x:f>
        <x:v>2485.396017180867</x:v>
      </x:c>
      <x:c r="X83" s="83" t="n">
        <x:f>IFERROR(W83/O83,0)</x:f>
        <x:v>0.14936274141711942</x:v>
      </x:c>
      <x:c r="Y83" s="84" t="str">
        <x:f>IF(AND(V83&lt;Inputs!$B$12,X83&gt;Inputs!$B$13),"Priority: margin + leakage",IF(V83&lt;Inputs!$B$12,"Margin review",IF(X83&gt;Inputs!$B$13,"Leakage review","Monitor")))</x:f>
        <x:v>Leakage review</x:v>
      </x:c>
      <x:c r="Z83" s="4"/>
    </x:row>
    <x:row r="84" ht="15" hidden="0" customHeight="1">
      <x:c r="A84" s="77" t="str">
        <x:v>T-0081</x:v>
      </x:c>
      <x:c r="B84" s="78" t="n">
        <x:v>45782</x:v>
      </x:c>
      <x:c r="C84" s="77" t="str">
        <x:v>Juniper Partners</x:v>
      </x:c>
      <x:c r="D84" s="77" t="str">
        <x:v>Mid-Market</x:v>
      </x:c>
      <x:c r="E84" s="77" t="str">
        <x:v>SKU-400</x:v>
      </x:c>
      <x:c r="F84" s="77" t="str">
        <x:v>Premium Module</x:v>
      </x:c>
      <x:c r="G84" s="79" t="n">
        <x:v>55</x:v>
      </x:c>
      <x:c r="H84" s="80" t="n">
        <x:v>420</x:v>
      </x:c>
      <x:c r="I84" s="80" t="n">
        <x:v>180</x:v>
      </x:c>
      <x:c r="J84" s="81" t="n">
        <x:v>0.09671611307513124</x:v>
      </x:c>
      <x:c r="K84" s="81" t="n">
        <x:v>0.029023754160065342</x:v>
      </x:c>
      <x:c r="L84" s="81" t="n">
        <x:v>0</x:v>
      </x:c>
      <x:c r="M84" s="80" t="n">
        <x:v>27.25047454438645</x:v>
      </x:c>
      <x:c r="N84" s="82" t="n">
        <x:f>H84*(1-J84)*(1-K84)</x:f>
        <x:v>368.36822293068553</x:v>
      </x:c>
      <x:c r="O84" s="82" t="n">
        <x:f>G84*H84</x:f>
        <x:v>23100</x:v>
      </x:c>
      <x:c r="P84" s="82" t="n">
        <x:f>O84*J84</x:f>
        <x:v>2234.142212035532</x:v>
      </x:c>
      <x:c r="Q84" s="82" t="n">
        <x:f>(O84-P84)*K84</x:f>
        <x:v>605.6055267767656</x:v>
      </x:c>
      <x:c r="R84" s="82" t="n">
        <x:f>O84*L84</x:f>
        <x:v>0</x:v>
      </x:c>
      <x:c r="S84" s="82" t="n">
        <x:f>G84*N84-R84-M84</x:f>
        <x:v>20233.001786643315</x:v>
      </x:c>
      <x:c r="T84" s="82" t="n">
        <x:f>G84*I84</x:f>
        <x:v>9900</x:v>
      </x:c>
      <x:c r="U84" s="82" t="n">
        <x:f>S84-T84</x:f>
        <x:v>10333.001786643315</x:v>
      </x:c>
      <x:c r="V84" s="83" t="n">
        <x:f>IFERROR(U84/S84,0)</x:f>
        <x:v>0.5107003842338698</x:v>
      </x:c>
      <x:c r="W84" s="82" t="n">
        <x:f>P84+Q84+R84+M84</x:f>
        <x:v>2866.998213356684</x:v>
      </x:c>
      <x:c r="X84" s="83" t="n">
        <x:f>IFERROR(W84/O84,0)</x:f>
        <x:v>0.12411247676868763</x:v>
      </x:c>
      <x:c r="Y84" s="84" t="str">
        <x:f>IF(AND(V84&lt;Inputs!$B$12,X84&gt;Inputs!$B$13),"Priority: margin + leakage",IF(V84&lt;Inputs!$B$12,"Margin review",IF(X84&gt;Inputs!$B$13,"Leakage review","Monitor")))</x:f>
        <x:v>Leakage review</x:v>
      </x:c>
      <x:c r="Z84" s="4"/>
    </x:row>
    <x:row r="85" ht="15" hidden="0" customHeight="1">
      <x:c r="A85" s="77" t="str">
        <x:v>T-0082</x:v>
      </x:c>
      <x:c r="B85" s="78" t="n">
        <x:v>45679</x:v>
      </x:c>
      <x:c r="C85" s="77" t="str">
        <x:v>Boreal Clinics</x:v>
      </x:c>
      <x:c r="D85" s="77" t="str">
        <x:v>Enterprise</x:v>
      </x:c>
      <x:c r="E85" s="77" t="str">
        <x:v>SKU-300</x:v>
      </x:c>
      <x:c r="F85" s="77" t="str">
        <x:v>Services</x:v>
      </x:c>
      <x:c r="G85" s="79" t="n">
        <x:v>113</x:v>
      </x:c>
      <x:c r="H85" s="80" t="n">
        <x:v>125</x:v>
      </x:c>
      <x:c r="I85" s="80" t="n">
        <x:v>78</x:v>
      </x:c>
      <x:c r="J85" s="81" t="n">
        <x:v>0.08457480620563733</x:v>
      </x:c>
      <x:c r="K85" s="81" t="n">
        <x:v>0</x:v>
      </x:c>
      <x:c r="L85" s="81" t="n">
        <x:v>0.03165991954525207</x:v>
      </x:c>
      <x:c r="M85" s="80" t="n">
        <x:v>0</x:v>
      </x:c>
      <x:c r="N85" s="82" t="n">
        <x:f>H85*(1-J85)*(1-K85)</x:f>
        <x:v>114.42814922429534</x:v>
      </x:c>
      <x:c r="O85" s="82" t="n">
        <x:f>G85*H85</x:f>
        <x:v>14125</x:v>
      </x:c>
      <x:c r="P85" s="82" t="n">
        <x:f>O85*J85</x:f>
        <x:v>1194.6191376546274</x:v>
      </x:c>
      <x:c r="Q85" s="82" t="n">
        <x:f>(O85-P85)*K85</x:f>
        <x:v>0</x:v>
      </x:c>
      <x:c r="R85" s="82" t="n">
        <x:f>O85*L85</x:f>
        <x:v>447.1963635766854</x:v>
      </x:c>
      <x:c r="S85" s="82" t="n">
        <x:f>G85*N85-R85-M85</x:f>
        <x:v>12483.184498768687</x:v>
      </x:c>
      <x:c r="T85" s="82" t="n">
        <x:f>G85*I85</x:f>
        <x:v>8814</x:v>
      </x:c>
      <x:c r="U85" s="82" t="n">
        <x:f>S85-T85</x:f>
        <x:v>3669.1844987686873</x:v>
      </x:c>
      <x:c r="V85" s="83" t="n">
        <x:f>IFERROR(U85/S85,0)</x:f>
        <x:v>0.2939301665476952</x:v>
      </x:c>
      <x:c r="W85" s="82" t="n">
        <x:f>P85+Q85+R85+M85</x:f>
        <x:v>1641.8155012313127</x:v>
      </x:c>
      <x:c r="X85" s="83" t="n">
        <x:f>IFERROR(W85/O85,0)</x:f>
        <x:v>0.1162347257508894</x:v>
      </x:c>
      <x:c r="Y85" s="84" t="str">
        <x:f>IF(AND(V85&lt;Inputs!$B$12,X85&gt;Inputs!$B$13),"Priority: margin + leakage",IF(V85&lt;Inputs!$B$12,"Margin review",IF(X85&gt;Inputs!$B$13,"Leakage review","Monitor")))</x:f>
        <x:v>Margin review</x:v>
      </x:c>
      <x:c r="Z85" s="4"/>
    </x:row>
    <x:row r="86" ht="15" hidden="0" customHeight="1">
      <x:c r="A86" s="77" t="str">
        <x:v>T-0083</x:v>
      </x:c>
      <x:c r="B86" s="78" t="n">
        <x:v>45908</x:v>
      </x:c>
      <x:c r="C86" s="77" t="str">
        <x:v>Fulton Labs</x:v>
      </x:c>
      <x:c r="D86" s="77" t="str">
        <x:v>SMB</x:v>
      </x:c>
      <x:c r="E86" s="77" t="str">
        <x:v>SKU-400</x:v>
      </x:c>
      <x:c r="F86" s="77" t="str">
        <x:v>Premium Module</x:v>
      </x:c>
      <x:c r="G86" s="79" t="n">
        <x:v>89</x:v>
      </x:c>
      <x:c r="H86" s="80" t="n">
        <x:v>420</x:v>
      </x:c>
      <x:c r="I86" s="80" t="n">
        <x:v>180</x:v>
      </x:c>
      <x:c r="J86" s="81" t="n">
        <x:v>0.016438757436749336</x:v>
      </x:c>
      <x:c r="K86" s="81" t="n">
        <x:v>0.056569174234191756</x:v>
      </x:c>
      <x:c r="L86" s="81" t="n">
        <x:v>0.005998641146467889</x:v>
      </x:c>
      <x:c r="M86" s="80" t="n">
        <x:v>267.17773345633634</x:v>
      </x:c>
      <x:c r="N86" s="82" t="n">
        <x:f>H86*(1-J86)*(1-K86)</x:f>
        <x:v>389.72723801033067</x:v>
      </x:c>
      <x:c r="O86" s="82" t="n">
        <x:f>G86*H86</x:f>
        <x:v>37380</x:v>
      </x:c>
      <x:c r="P86" s="82" t="n">
        <x:f>O86*J86</x:f>
        <x:v>614.4807529856902</x:v>
      </x:c>
      <x:c r="Q86" s="82" t="n">
        <x:f>(O86-P86)*K86</x:f>
        <x:v>2079.795064094883</x:v>
      </x:c>
      <x:c r="R86" s="82" t="n">
        <x:f>O86*L86</x:f>
        <x:v>224.2292060549697</x:v>
      </x:c>
      <x:c r="S86" s="82" t="n">
        <x:f>G86*N86-R86-M86</x:f>
        <x:v>34194.31724340813</x:v>
      </x:c>
      <x:c r="T86" s="82" t="n">
        <x:f>G86*I86</x:f>
        <x:v>16020</x:v>
      </x:c>
      <x:c r="U86" s="82" t="n">
        <x:f>S86-T86</x:f>
        <x:v>18174.317243408128</x:v>
      </x:c>
      <x:c r="V86" s="83" t="n">
        <x:f>IFERROR(U86/S86,0)</x:f>
        <x:v>0.5315011004324619</x:v>
      </x:c>
      <x:c r="W86" s="82" t="n">
        <x:f>P86+Q86+R86+M86</x:f>
        <x:v>3185.6827565918793</x:v>
      </x:c>
      <x:c r="X86" s="83" t="n">
        <x:f>IFERROR(W86/O86,0)</x:f>
        <x:v>0.08522425780074583</x:v>
      </x:c>
      <x:c r="Y86" s="84" t="str">
        <x:f>IF(AND(V86&lt;Inputs!$B$12,X86&gt;Inputs!$B$13),"Priority: margin + leakage",IF(V86&lt;Inputs!$B$12,"Margin review",IF(X86&gt;Inputs!$B$13,"Leakage review","Monitor")))</x:f>
        <x:v>Monitor</x:v>
      </x:c>
      <x:c r="Z86" s="4"/>
    </x:row>
    <x:row r="87" ht="15" hidden="0" customHeight="1">
      <x:c r="A87" s="77" t="str">
        <x:v>T-0084</x:v>
      </x:c>
      <x:c r="B87" s="78" t="n">
        <x:v>45925</x:v>
      </x:c>
      <x:c r="C87" s="77" t="str">
        <x:v>Boreal Clinics</x:v>
      </x:c>
      <x:c r="D87" s="77" t="str">
        <x:v>Enterprise</x:v>
      </x:c>
      <x:c r="E87" s="77" t="str">
        <x:v>SKU-400</x:v>
      </x:c>
      <x:c r="F87" s="77" t="str">
        <x:v>Premium Module</x:v>
      </x:c>
      <x:c r="G87" s="79" t="n">
        <x:v>51</x:v>
      </x:c>
      <x:c r="H87" s="80" t="n">
        <x:v>420</x:v>
      </x:c>
      <x:c r="I87" s="80" t="n">
        <x:v>180</x:v>
      </x:c>
      <x:c r="J87" s="81" t="n">
        <x:v>0.06670199526268891</x:v>
      </x:c>
      <x:c r="K87" s="81" t="n">
        <x:v>0</x:v>
      </x:c>
      <x:c r="L87" s="81" t="n">
        <x:v>0.01989840663592963</x:v>
      </x:c>
      <x:c r="M87" s="80" t="n">
        <x:v>27.197111972967107</x:v>
      </x:c>
      <x:c r="N87" s="82" t="n">
        <x:f>H87*(1-J87)*(1-K87)</x:f>
        <x:v>391.98516198967064</x:v>
      </x:c>
      <x:c r="O87" s="82" t="n">
        <x:f>G87*H87</x:f>
        <x:v>21420</x:v>
      </x:c>
      <x:c r="P87" s="82" t="n">
        <x:f>O87*J87</x:f>
        <x:v>1428.7567385267964</x:v>
      </x:c>
      <x:c r="Q87" s="82" t="n">
        <x:f>(O87-P87)*K87</x:f>
        <x:v>0</x:v>
      </x:c>
      <x:c r="R87" s="82" t="n">
        <x:f>O87*L87</x:f>
        <x:v>426.2238701416126</x:v>
      </x:c>
      <x:c r="S87" s="82" t="n">
        <x:f>G87*N87-R87-M87</x:f>
        <x:v>19537.82227935862</x:v>
      </x:c>
      <x:c r="T87" s="82" t="n">
        <x:f>G87*I87</x:f>
        <x:v>9180</x:v>
      </x:c>
      <x:c r="U87" s="82" t="n">
        <x:f>S87-T87</x:f>
        <x:v>10357.822279358621</x:v>
      </x:c>
      <x:c r="V87" s="83" t="n">
        <x:f>IFERROR(U87/S87,0)</x:f>
        <x:v>0.5301421075112084</x:v>
      </x:c>
      <x:c r="W87" s="82" t="n">
        <x:f>P87+Q87+R87+M87</x:f>
        <x:v>1882.1777206413763</x:v>
      </x:c>
      <x:c r="X87" s="83" t="n">
        <x:f>IFERROR(W87/O87,0)</x:f>
        <x:v>0.08787010833993353</x:v>
      </x:c>
      <x:c r="Y87" s="84" t="str">
        <x:f>IF(AND(V87&lt;Inputs!$B$12,X87&gt;Inputs!$B$13),"Priority: margin + leakage",IF(V87&lt;Inputs!$B$12,"Margin review",IF(X87&gt;Inputs!$B$13,"Leakage review","Monitor")))</x:f>
        <x:v>Monitor</x:v>
      </x:c>
      <x:c r="Z87" s="4"/>
    </x:row>
    <x:row r="88" ht="15" hidden="0" customHeight="1">
      <x:c r="A88" s="77" t="str">
        <x:v>T-0085</x:v>
      </x:c>
      <x:c r="B88" s="78" t="n">
        <x:v>45961</x:v>
      </x:c>
      <x:c r="C88" s="77" t="str">
        <x:v>Keystone Health</x:v>
      </x:c>
      <x:c r="D88" s="77" t="str">
        <x:v>Enterprise</x:v>
      </x:c>
      <x:c r="E88" s="77" t="str">
        <x:v>SKU-300</x:v>
      </x:c>
      <x:c r="F88" s="77" t="str">
        <x:v>Services</x:v>
      </x:c>
      <x:c r="G88" s="79" t="n">
        <x:v>83</x:v>
      </x:c>
      <x:c r="H88" s="80" t="n">
        <x:v>125</x:v>
      </x:c>
      <x:c r="I88" s="80" t="n">
        <x:v>78</x:v>
      </x:c>
      <x:c r="J88" s="81" t="n">
        <x:v>0.12555697176493127</x:v>
      </x:c>
      <x:c r="K88" s="81" t="n">
        <x:v>0.00597885904627489</x:v>
      </x:c>
      <x:c r="L88" s="81" t="n">
        <x:v>0.005851862136899876</x:v>
      </x:c>
      <x:c r="M88" s="80" t="n">
        <x:v>49.42796173094687</x:v>
      </x:c>
      <x:c r="N88" s="82" t="n">
        <x:f>H88*(1-J88)*(1-K88)</x:f>
        <x:v>108.65185707815668</x:v>
      </x:c>
      <x:c r="O88" s="82" t="n">
        <x:f>G88*H88</x:f>
        <x:v>10375</x:v>
      </x:c>
      <x:c r="P88" s="82" t="n">
        <x:f>O88*J88</x:f>
        <x:v>1302.653582061162</x:v>
      </x:c>
      <x:c r="Q88" s="82" t="n">
        <x:f>(O88-P88)*K88</x:f>
        <x:v>54.24228045183321</x:v>
      </x:c>
      <x:c r="R88" s="82" t="n">
        <x:f>O88*L88</x:f>
        <x:v>60.71306967033622</x:v>
      </x:c>
      <x:c r="S88" s="82" t="n">
        <x:f>G88*N88-R88-M88</x:f>
        <x:v>8907.96310608572</x:v>
      </x:c>
      <x:c r="T88" s="82" t="n">
        <x:f>G88*I88</x:f>
        <x:v>6474</x:v>
      </x:c>
      <x:c r="U88" s="82" t="n">
        <x:f>S88-T88</x:f>
        <x:v>2433.963106085719</x:v>
      </x:c>
      <x:c r="V88" s="83" t="n">
        <x:f>IFERROR(U88/S88,0)</x:f>
        <x:v>0.2732345292744747</x:v>
      </x:c>
      <x:c r="W88" s="82" t="n">
        <x:f>P88+Q88+R88+M88</x:f>
        <x:v>1467.0368939142784</x:v>
      </x:c>
      <x:c r="X88" s="83" t="n">
        <x:f>IFERROR(W88/O88,0)</x:f>
        <x:v>0.14140114640137624</x:v>
      </x:c>
      <x:c r="Y88" s="84" t="str">
        <x:f>IF(AND(V88&lt;Inputs!$B$12,X88&gt;Inputs!$B$13),"Priority: margin + leakage",IF(V88&lt;Inputs!$B$12,"Margin review",IF(X88&gt;Inputs!$B$13,"Leakage review","Monitor")))</x:f>
        <x:v>Priority: margin + leakage</x:v>
      </x:c>
      <x:c r="Z88" s="4"/>
    </x:row>
    <x:row r="89" ht="15" hidden="0" customHeight="1">
      <x:c r="A89" s="77" t="str">
        <x:v>T-0086</x:v>
      </x:c>
      <x:c r="B89" s="78" t="n">
        <x:v>45895</x:v>
      </x:c>
      <x:c r="C89" s="77" t="str">
        <x:v>Evergreen Rehab</x:v>
      </x:c>
      <x:c r="D89" s="77" t="str">
        <x:v>Mid-Market</x:v>
      </x:c>
      <x:c r="E89" s="77" t="str">
        <x:v>SKU-310</x:v>
      </x:c>
      <x:c r="F89" s="77" t="str">
        <x:v>Services</x:v>
      </x:c>
      <x:c r="G89" s="79" t="n">
        <x:v>114</x:v>
      </x:c>
      <x:c r="H89" s="80" t="n">
        <x:v>260</x:v>
      </x:c>
      <x:c r="I89" s="80" t="n">
        <x:v>165</x:v>
      </x:c>
      <x:c r="J89" s="81" t="n">
        <x:v>0.07731350890641116</x:v>
      </x:c>
      <x:c r="K89" s="81" t="n">
        <x:v>0.09336718887836587</x:v>
      </x:c>
      <x:c r="L89" s="81" t="n">
        <x:v>0.021437816033290334</x:v>
      </x:c>
      <x:c r="M89" s="80" t="n">
        <x:v>88.07070348661965</x:v>
      </x:c>
      <x:c r="N89" s="82" t="n">
        <x:f>H89*(1-J89)*(1-K89)</x:f>
        <x:v>217.49984027307565</x:v>
      </x:c>
      <x:c r="O89" s="82" t="n">
        <x:f>G89*H89</x:f>
        <x:v>29640</x:v>
      </x:c>
      <x:c r="P89" s="82" t="n">
        <x:f>O89*J89</x:f>
        <x:v>2291.5724039860265</x:v>
      </x:c>
      <x:c r="Q89" s="82" t="n">
        <x:f>(O89-P89)*K89</x:f>
        <x:v>2553.4458048833503</x:v>
      </x:c>
      <x:c r="R89" s="82" t="n">
        <x:f>O89*L89</x:f>
        <x:v>635.4168672267255</x:v>
      </x:c>
      <x:c r="S89" s="82" t="n">
        <x:f>G89*N89-R89-M89</x:f>
        <x:v>24071.494220417277</x:v>
      </x:c>
      <x:c r="T89" s="82" t="n">
        <x:f>G89*I89</x:f>
        <x:v>18810</x:v>
      </x:c>
      <x:c r="U89" s="82" t="n">
        <x:f>S89-T89</x:f>
        <x:v>5261.494220417277</x:v>
      </x:c>
      <x:c r="V89" s="83" t="n">
        <x:f>IFERROR(U89/S89,0)</x:f>
        <x:v>0.21857779879549452</x:v>
      </x:c>
      <x:c r="W89" s="82" t="n">
        <x:f>P89+Q89+R89+M89</x:f>
        <x:v>5568.5057795827215</x:v>
      </x:c>
      <x:c r="X89" s="83" t="n">
        <x:f>IFERROR(W89/O89,0)</x:f>
        <x:v>0.18787131510063163</x:v>
      </x:c>
      <x:c r="Y89" s="84" t="str">
        <x:f>IF(AND(V89&lt;Inputs!$B$12,X89&gt;Inputs!$B$13),"Priority: margin + leakage",IF(V89&lt;Inputs!$B$12,"Margin review",IF(X89&gt;Inputs!$B$13,"Leakage review","Monitor")))</x:f>
        <x:v>Priority: margin + leakage</x:v>
      </x:c>
      <x:c r="Z89" s="4"/>
    </x:row>
    <x:row r="90" ht="15" hidden="0" customHeight="1">
      <x:c r="A90" s="77" t="str">
        <x:v>T-0087</x:v>
      </x:c>
      <x:c r="B90" s="78" t="n">
        <x:v>45790</x:v>
      </x:c>
      <x:c r="C90" s="77" t="str">
        <x:v>Juniper Partners</x:v>
      </x:c>
      <x:c r="D90" s="77" t="str">
        <x:v>Mid-Market</x:v>
      </x:c>
      <x:c r="E90" s="77" t="str">
        <x:v>SKU-400</x:v>
      </x:c>
      <x:c r="F90" s="77" t="str">
        <x:v>Premium Module</x:v>
      </x:c>
      <x:c r="G90" s="79" t="n">
        <x:v>48</x:v>
      </x:c>
      <x:c r="H90" s="80" t="n">
        <x:v>420</x:v>
      </x:c>
      <x:c r="I90" s="80" t="n">
        <x:v>180</x:v>
      </x:c>
      <x:c r="J90" s="81" t="n">
        <x:v>0.14218291342826295</x:v>
      </x:c>
      <x:c r="K90" s="81" t="n">
        <x:v>0.04374854914047286</x:v>
      </x:c>
      <x:c r="L90" s="81" t="n">
        <x:v>0.030161806805626502</x:v>
      </x:c>
      <x:c r="M90" s="80" t="n">
        <x:v>176.53427578695857</x:v>
      </x:c>
      <x:c r="N90" s="82" t="n">
        <x:f>H90*(1-J90)*(1-K90)</x:f>
        <x:v>344.5213101146528</x:v>
      </x:c>
      <x:c r="O90" s="82" t="n">
        <x:f>G90*H90</x:f>
        <x:v>20160</x:v>
      </x:c>
      <x:c r="P90" s="82" t="n">
        <x:f>O90*J90</x:f>
        <x:v>2866.407534713781</x:v>
      </x:c>
      <x:c r="Q90" s="82" t="n">
        <x:f>(O90-P90)*K90</x:f>
        <x:v>756.5695797828854</x:v>
      </x:c>
      <x:c r="R90" s="82" t="n">
        <x:f>O90*L90</x:f>
        <x:v>608.0620252014303</x:v>
      </x:c>
      <x:c r="S90" s="82" t="n">
        <x:f>G90*N90-R90-M90</x:f>
        <x:v>15752.426584514946</x:v>
      </x:c>
      <x:c r="T90" s="82" t="n">
        <x:f>G90*I90</x:f>
        <x:v>8640</x:v>
      </x:c>
      <x:c r="U90" s="82" t="n">
        <x:f>S90-T90</x:f>
        <x:v>7112.426584514946</x:v>
      </x:c>
      <x:c r="V90" s="83" t="n">
        <x:f>IFERROR(U90/S90,0)</x:f>
        <x:v>0.4515130761826023</x:v>
      </x:c>
      <x:c r="W90" s="82" t="n">
        <x:f>P90+Q90+R90+M90</x:f>
        <x:v>4407.573415485055</x:v>
      </x:c>
      <x:c r="X90" s="83" t="n">
        <x:f>IFERROR(W90/O90,0)</x:f>
        <x:v>0.21862963370461583</x:v>
      </x:c>
      <x:c r="Y90" s="84" t="str">
        <x:f>IF(AND(V90&lt;Inputs!$B$12,X90&gt;Inputs!$B$13),"Priority: margin + leakage",IF(V90&lt;Inputs!$B$12,"Margin review",IF(X90&gt;Inputs!$B$13,"Leakage review","Monitor")))</x:f>
        <x:v>Leakage review</x:v>
      </x:c>
      <x:c r="Z90" s="4"/>
    </x:row>
    <x:row r="91" ht="15" hidden="0" customHeight="1">
      <x:c r="A91" s="77" t="str">
        <x:v>T-0088</x:v>
      </x:c>
      <x:c r="B91" s="78" t="n">
        <x:v>45755</x:v>
      </x:c>
      <x:c r="C91" s="77" t="str">
        <x:v>Fulton Labs</x:v>
      </x:c>
      <x:c r="D91" s="77" t="str">
        <x:v>SMB</x:v>
      </x:c>
      <x:c r="E91" s="77" t="str">
        <x:v>SKU-300</x:v>
      </x:c>
      <x:c r="F91" s="77" t="str">
        <x:v>Services</x:v>
      </x:c>
      <x:c r="G91" s="79" t="n">
        <x:v>117</x:v>
      </x:c>
      <x:c r="H91" s="80" t="n">
        <x:v>125</x:v>
      </x:c>
      <x:c r="I91" s="80" t="n">
        <x:v>78</x:v>
      </x:c>
      <x:c r="J91" s="81" t="n">
        <x:v>0</x:v>
      </x:c>
      <x:c r="K91" s="81" t="n">
        <x:v>0.005748779167023158</x:v>
      </x:c>
      <x:c r="L91" s="81" t="n">
        <x:v>0.004615675806790877</x:v>
      </x:c>
      <x:c r="M91" s="80" t="n">
        <x:v>28.43675575833904</x:v>
      </x:c>
      <x:c r="N91" s="82" t="n">
        <x:f>H91*(1-J91)*(1-K91)</x:f>
        <x:v>124.28140260412209</x:v>
      </x:c>
      <x:c r="O91" s="82" t="n">
        <x:f>G91*H91</x:f>
        <x:v>14625</x:v>
      </x:c>
      <x:c r="P91" s="82" t="n">
        <x:f>O91*J91</x:f>
        <x:v>0</x:v>
      </x:c>
      <x:c r="Q91" s="82" t="n">
        <x:f>(O91-P91)*K91</x:f>
        <x:v>84.07589531771369</x:v>
      </x:c>
      <x:c r="R91" s="82" t="n">
        <x:f>O91*L91</x:f>
        <x:v>67.50425867431657</x:v>
      </x:c>
      <x:c r="S91" s="82" t="n">
        <x:f>G91*N91-R91-M91</x:f>
        <x:v>14444.983090249629</x:v>
      </x:c>
      <x:c r="T91" s="82" t="n">
        <x:f>G91*I91</x:f>
        <x:v>9126</x:v>
      </x:c>
      <x:c r="U91" s="82" t="n">
        <x:f>S91-T91</x:f>
        <x:v>5318.983090249629</x:v>
      </x:c>
      <x:c r="V91" s="83" t="n">
        <x:f>IFERROR(U91/S91,0)</x:f>
        <x:v>0.36822355948896507</x:v>
      </x:c>
      <x:c r="W91" s="82" t="n">
        <x:f>P91+Q91+R91+M91</x:f>
        <x:v>180.0169097503693</x:v>
      </x:c>
      <x:c r="X91" s="83" t="n">
        <x:f>IFERROR(W91/O91,0)</x:f>
        <x:v>0.012308848529939782</x:v>
      </x:c>
      <x:c r="Y91" s="84" t="str">
        <x:f>IF(AND(V91&lt;Inputs!$B$12,X91&gt;Inputs!$B$13),"Priority: margin + leakage",IF(V91&lt;Inputs!$B$12,"Margin review",IF(X91&gt;Inputs!$B$13,"Leakage review","Monitor")))</x:f>
        <x:v>Monitor</x:v>
      </x:c>
      <x:c r="Z91" s="4"/>
    </x:row>
    <x:row r="92" ht="15" hidden="0" customHeight="1">
      <x:c r="A92" s="77" t="str">
        <x:v>T-0089</x:v>
      </x:c>
      <x:c r="B92" s="78" t="n">
        <x:v>46022</x:v>
      </x:c>
      <x:c r="C92" s="77" t="str">
        <x:v>Boreal Clinics</x:v>
      </x:c>
      <x:c r="D92" s="77" t="str">
        <x:v>Enterprise</x:v>
      </x:c>
      <x:c r="E92" s="77" t="str">
        <x:v>SKU-210</x:v>
      </x:c>
      <x:c r="F92" s="77" t="str">
        <x:v>Analytics</x:v>
      </x:c>
      <x:c r="G92" s="79" t="n">
        <x:v>97</x:v>
      </x:c>
      <x:c r="H92" s="80" t="n">
        <x:v>310</x:v>
      </x:c>
      <x:c r="I92" s="80" t="n">
        <x:v>142</x:v>
      </x:c>
      <x:c r="J92" s="81" t="n">
        <x:v>0.07293047933937401</x:v>
      </x:c>
      <x:c r="K92" s="81" t="n">
        <x:v>0.05264935429782759</x:v>
      </x:c>
      <x:c r="L92" s="81" t="n">
        <x:v>0.026243549486369384</x:v>
      </x:c>
      <x:c r="M92" s="80" t="n">
        <x:v>222.14542927617515</x:v>
      </x:c>
      <x:c r="N92" s="82" t="n">
        <x:f>H92*(1-J92)*(1-K92)</x:f>
        <x:v>272.2605717926807</x:v>
      </x:c>
      <x:c r="O92" s="82" t="n">
        <x:f>G92*H92</x:f>
        <x:v>30070</x:v>
      </x:c>
      <x:c r="P92" s="82" t="n">
        <x:f>O92*J92</x:f>
        <x:v>2193.0195137349765</x:v>
      </x:c>
      <x:c r="Q92" s="82" t="n">
        <x:f>(O92-P92)*K92</x:f>
        <x:v>1467.7050223749934</x:v>
      </x:c>
      <x:c r="R92" s="82" t="n">
        <x:f>O92*L92</x:f>
        <x:v>789.1435330551274</x:v>
      </x:c>
      <x:c r="S92" s="82" t="n">
        <x:f>G92*N92-R92-M92</x:f>
        <x:v>25397.986501558727</x:v>
      </x:c>
      <x:c r="T92" s="82" t="n">
        <x:f>G92*I92</x:f>
        <x:v>13774</x:v>
      </x:c>
      <x:c r="U92" s="82" t="n">
        <x:f>S92-T92</x:f>
        <x:v>11623.986501558727</x:v>
      </x:c>
      <x:c r="V92" s="83" t="n">
        <x:f>IFERROR(U92/S92,0)</x:f>
        <x:v>0.4576735443514524</x:v>
      </x:c>
      <x:c r="W92" s="82" t="n">
        <x:f>P92+Q92+R92+M92</x:f>
        <x:v>4672.0134984412725</x:v>
      </x:c>
      <x:c r="X92" s="83" t="n">
        <x:f>IFERROR(W92/O92,0)</x:f>
        <x:v>0.15537125036386007</x:v>
      </x:c>
      <x:c r="Y92" s="84" t="str">
        <x:f>IF(AND(V92&lt;Inputs!$B$12,X92&gt;Inputs!$B$13),"Priority: margin + leakage",IF(V92&lt;Inputs!$B$12,"Margin review",IF(X92&gt;Inputs!$B$13,"Leakage review","Monitor")))</x:f>
        <x:v>Leakage review</x:v>
      </x:c>
      <x:c r="Z92" s="4"/>
    </x:row>
    <x:row r="93" ht="15" hidden="0" customHeight="1">
      <x:c r="A93" s="77" t="str">
        <x:v>T-0090</x:v>
      </x:c>
      <x:c r="B93" s="78" t="n">
        <x:v>45997</x:v>
      </x:c>
      <x:c r="C93" s="77" t="str">
        <x:v>Harbor Care</x:v>
      </x:c>
      <x:c r="D93" s="77" t="str">
        <x:v>Enterprise</x:v>
      </x:c>
      <x:c r="E93" s="77" t="str">
        <x:v>SKU-410</x:v>
      </x:c>
      <x:c r="F93" s="77" t="str">
        <x:v>Premium Module</x:v>
      </x:c>
      <x:c r="G93" s="79" t="n">
        <x:v>106</x:v>
      </x:c>
      <x:c r="H93" s="80" t="n">
        <x:v>575</x:v>
      </x:c>
      <x:c r="I93" s="80" t="n">
        <x:v>235</x:v>
      </x:c>
      <x:c r="J93" s="81" t="n">
        <x:v>0.13904786345102849</x:v>
      </x:c>
      <x:c r="K93" s="81" t="n">
        <x:v>0.03725678051477031</x:v>
      </x:c>
      <x:c r="L93" s="81" t="n">
        <x:v>0.013911752570201436</x:v>
      </x:c>
      <x:c r="M93" s="80" t="n">
        <x:v>157.98357462730584</x:v>
      </x:c>
      <x:c r="N93" s="82" t="n">
        <x:f>H93*(1-J93)*(1-K93)</x:f>
        <x:v>476.6036032642102</x:v>
      </x:c>
      <x:c r="O93" s="82" t="n">
        <x:f>G93*H93</x:f>
        <x:v>60950</x:v>
      </x:c>
      <x:c r="P93" s="82" t="n">
        <x:f>O93*J93</x:f>
        <x:v>8474.967277340185</x:v>
      </x:c>
      <x:c r="Q93" s="82" t="n">
        <x:f>(O93-P93)*K93</x:f>
        <x:v>1955.0507766535268</x:v>
      </x:c>
      <x:c r="R93" s="82" t="n">
        <x:f>O93*L93</x:f>
        <x:v>847.9213191537775</x:v>
      </x:c>
      <x:c r="S93" s="82" t="n">
        <x:f>G93*N93-R93-M93</x:f>
        <x:v>49514.0770522252</x:v>
      </x:c>
      <x:c r="T93" s="82" t="n">
        <x:f>G93*I93</x:f>
        <x:v>24910</x:v>
      </x:c>
      <x:c r="U93" s="82" t="n">
        <x:f>S93-T93</x:f>
        <x:v>24604.0770522252</x:v>
      </x:c>
      <x:c r="V93" s="83" t="n">
        <x:f>IFERROR(U93/S93,0)</x:f>
        <x:v>0.4969107477510676</x:v>
      </x:c>
      <x:c r="W93" s="82" t="n">
        <x:f>P93+Q93+R93+M93</x:f>
        <x:v>11435.922947774796</x:v>
      </x:c>
      <x:c r="X93" s="83" t="n">
        <x:f>IFERROR(W93/O93,0)</x:f>
        <x:v>0.18762794007833955</x:v>
      </x:c>
      <x:c r="Y93" s="84" t="str">
        <x:f>IF(AND(V93&lt;Inputs!$B$12,X93&gt;Inputs!$B$13),"Priority: margin + leakage",IF(V93&lt;Inputs!$B$12,"Margin review",IF(X93&gt;Inputs!$B$13,"Leakage review","Monitor")))</x:f>
        <x:v>Leakage review</x:v>
      </x:c>
      <x:c r="Z93" s="4"/>
    </x:row>
    <x:row r="94" ht="15" hidden="0" customHeight="1">
      <x:c r="A94" s="77" t="str">
        <x:v>T-0091</x:v>
      </x:c>
      <x:c r="B94" s="78" t="n">
        <x:v>45838</x:v>
      </x:c>
      <x:c r="C94" s="77" t="str">
        <x:v>Juniper Partners</x:v>
      </x:c>
      <x:c r="D94" s="77" t="str">
        <x:v>Mid-Market</x:v>
      </x:c>
      <x:c r="E94" s="77" t="str">
        <x:v>SKU-310</x:v>
      </x:c>
      <x:c r="F94" s="77" t="str">
        <x:v>Services</x:v>
      </x:c>
      <x:c r="G94" s="79" t="n">
        <x:v>65</x:v>
      </x:c>
      <x:c r="H94" s="80" t="n">
        <x:v>260</x:v>
      </x:c>
      <x:c r="I94" s="80" t="n">
        <x:v>165</x:v>
      </x:c>
      <x:c r="J94" s="81" t="n">
        <x:v>0.04467140984507748</x:v>
      </x:c>
      <x:c r="K94" s="81" t="n">
        <x:v>0.0274347325060549</x:v>
      </x:c>
      <x:c r="L94" s="81" t="n">
        <x:v>0.04775435392701251</x:v>
      </x:c>
      <x:c r="M94" s="80" t="n">
        <x:v>43.92962016717793</x:v>
      </x:c>
      <x:c r="N94" s="82" t="n">
        <x:f>H94*(1-J94)*(1-K94)</x:f>
        <x:v>241.57104551544526</x:v>
      </x:c>
      <x:c r="O94" s="82" t="n">
        <x:f>G94*H94</x:f>
        <x:v>16900</x:v>
      </x:c>
      <x:c r="P94" s="82" t="n">
        <x:f>O94*J94</x:f>
        <x:v>754.9468263818095</x:v>
      </x:c>
      <x:c r="Q94" s="82" t="n">
        <x:f>(O94-P94)*K94</x:f>
        <x:v>442.9352151142478</x:v>
      </x:c>
      <x:c r="R94" s="82" t="n">
        <x:f>O94*L94</x:f>
        <x:v>807.0485813665114</x:v>
      </x:c>
      <x:c r="S94" s="82" t="n">
        <x:f>G94*N94-R94-M94</x:f>
        <x:v>14851.139756970253</x:v>
      </x:c>
      <x:c r="T94" s="82" t="n">
        <x:f>G94*I94</x:f>
        <x:v>10725</x:v>
      </x:c>
      <x:c r="U94" s="82" t="n">
        <x:f>S94-T94</x:f>
        <x:v>4126.139756970253</x:v>
      </x:c>
      <x:c r="V94" s="83" t="n">
        <x:f>IFERROR(U94/S94,0)</x:f>
        <x:v>0.2778332050261452</x:v>
      </x:c>
      <x:c r="W94" s="82" t="n">
        <x:f>P94+Q94+R94+M94</x:f>
        <x:v>2048.8602430297465</x:v>
      </x:c>
      <x:c r="X94" s="83" t="n">
        <x:f>IFERROR(W94/O94,0)</x:f>
        <x:v>0.12123433390708559</x:v>
      </x:c>
      <x:c r="Y94" s="84" t="str">
        <x:f>IF(AND(V94&lt;Inputs!$B$12,X94&gt;Inputs!$B$13),"Priority: margin + leakage",IF(V94&lt;Inputs!$B$12,"Margin review",IF(X94&gt;Inputs!$B$13,"Leakage review","Monitor")))</x:f>
        <x:v>Priority: margin + leakage</x:v>
      </x:c>
      <x:c r="Z94" s="4"/>
    </x:row>
    <x:row r="95" ht="15" hidden="0" customHeight="1">
      <x:c r="A95" s="77" t="str">
        <x:v>T-0092</x:v>
      </x:c>
      <x:c r="B95" s="78" t="n">
        <x:v>45932</x:v>
      </x:c>
      <x:c r="C95" s="77" t="str">
        <x:v>Lakeside Clinics</x:v>
      </x:c>
      <x:c r="D95" s="77" t="str">
        <x:v>SMB</x:v>
      </x:c>
      <x:c r="E95" s="77" t="str">
        <x:v>SKU-410</x:v>
      </x:c>
      <x:c r="F95" s="77" t="str">
        <x:v>Premium Module</x:v>
      </x:c>
      <x:c r="G95" s="79" t="n">
        <x:v>39</x:v>
      </x:c>
      <x:c r="H95" s="80" t="n">
        <x:v>575</x:v>
      </x:c>
      <x:c r="I95" s="80" t="n">
        <x:v>235</x:v>
      </x:c>
      <x:c r="J95" s="81" t="n">
        <x:v>0.03617411044731451</x:v>
      </x:c>
      <x:c r="K95" s="81" t="n">
        <x:v>0.05196575021820879</x:v>
      </x:c>
      <x:c r="L95" s="81" t="n">
        <x:v>0.022187287499771644</x:v>
      </x:c>
      <x:c r="M95" s="80" t="n">
        <x:v>42.90116465920292</x:v>
      </x:c>
      <x:c r="N95" s="82" t="n">
        <x:f>H95*(1-J95)*(1-K95)</x:f>
        <x:v>525.4004736203499</x:v>
      </x:c>
      <x:c r="O95" s="82" t="n">
        <x:f>G95*H95</x:f>
        <x:v>22425</x:v>
      </x:c>
      <x:c r="P95" s="82" t="n">
        <x:f>O95*J95</x:f>
        <x:v>811.2044267810278</x:v>
      </x:c>
      <x:c r="Q95" s="82" t="n">
        <x:f>(O95-P95)*K95</x:f>
        <x:v>1123.177102025324</x:v>
      </x:c>
      <x:c r="R95" s="82" t="n">
        <x:f>O95*L95</x:f>
        <x:v>497.54992218237913</x:v>
      </x:c>
      <x:c r="S95" s="82" t="n">
        <x:f>G95*N95-R95-M95</x:f>
        <x:v>19950.167384352062</x:v>
      </x:c>
      <x:c r="T95" s="82" t="n">
        <x:f>G95*I95</x:f>
        <x:v>9165</x:v>
      </x:c>
      <x:c r="U95" s="82" t="n">
        <x:f>S95-T95</x:f>
        <x:v>10785.167384352062</x:v>
      </x:c>
      <x:c r="V95" s="83" t="n">
        <x:f>IFERROR(U95/S95,0)</x:f>
        <x:v>0.540605358169146</x:v>
      </x:c>
      <x:c r="W95" s="82" t="n">
        <x:f>P95+Q95+R95+M95</x:f>
        <x:v>2474.8326156479343</x:v>
      </x:c>
      <x:c r="X95" s="83" t="n">
        <x:f>IFERROR(W95/O95,0)</x:f>
        <x:v>0.11036042879143519</x:v>
      </x:c>
      <x:c r="Y95" s="84" t="str">
        <x:f>IF(AND(V95&lt;Inputs!$B$12,X95&gt;Inputs!$B$13),"Priority: margin + leakage",IF(V95&lt;Inputs!$B$12,"Margin review",IF(X95&gt;Inputs!$B$13,"Leakage review","Monitor")))</x:f>
        <x:v>Monitor</x:v>
      </x:c>
      <x:c r="Z95" s="4"/>
    </x:row>
    <x:row r="96" ht="15" hidden="0" customHeight="1">
      <x:c r="A96" s="77" t="str">
        <x:v>T-0093</x:v>
      </x:c>
      <x:c r="B96" s="78" t="n">
        <x:v>45926</x:v>
      </x:c>
      <x:c r="C96" s="77" t="str">
        <x:v>Lakeside Clinics</x:v>
      </x:c>
      <x:c r="D96" s="77" t="str">
        <x:v>SMB</x:v>
      </x:c>
      <x:c r="E96" s="77" t="str">
        <x:v>SKU-200</x:v>
      </x:c>
      <x:c r="F96" s="77" t="str">
        <x:v>Analytics</x:v>
      </x:c>
      <x:c r="G96" s="79" t="n">
        <x:v>29</x:v>
      </x:c>
      <x:c r="H96" s="80" t="n">
        <x:v>220</x:v>
      </x:c>
      <x:c r="I96" s="80" t="n">
        <x:v>98</x:v>
      </x:c>
      <x:c r="J96" s="81" t="n">
        <x:v>0.0534431951403661</x:v>
      </x:c>
      <x:c r="K96" s="81" t="n">
        <x:v>0.063127755191929</x:v>
      </x:c>
      <x:c r="L96" s="81" t="n">
        <x:v>0.017156072216622444</x:v>
      </x:c>
      <x:c r="M96" s="80" t="n">
        <x:v>0</x:v>
      </x:c>
      <x:c r="N96" s="82" t="n">
        <x:f>H96*(1-J96)*(1-K96)</x:f>
        <x:v>195.09661569358408</x:v>
      </x:c>
      <x:c r="O96" s="82" t="n">
        <x:f>G96*H96</x:f>
        <x:v>6380</x:v>
      </x:c>
      <x:c r="P96" s="82" t="n">
        <x:f>O96*J96</x:f>
        <x:v>340.96758499553573</x:v>
      </x:c>
      <x:c r="Q96" s="82" t="n">
        <x:f>(O96-P96)*K96</x:f>
        <x:v>381.23055989052557</x:v>
      </x:c>
      <x:c r="R96" s="82" t="n">
        <x:f>O96*L96</x:f>
        <x:v>109.45574074205119</x:v>
      </x:c>
      <x:c r="S96" s="82" t="n">
        <x:f>G96*N96-R96-M96</x:f>
        <x:v>5548.346114371887</x:v>
      </x:c>
      <x:c r="T96" s="82" t="n">
        <x:f>G96*I96</x:f>
        <x:v>2842</x:v>
      </x:c>
      <x:c r="U96" s="82" t="n">
        <x:f>S96-T96</x:f>
        <x:v>2706.346114371887</x:v>
      </x:c>
      <x:c r="V96" s="83" t="n">
        <x:f>IFERROR(U96/S96,0)</x:f>
        <x:v>0.4877752862896631</x:v>
      </x:c>
      <x:c r="W96" s="82" t="n">
        <x:f>P96+Q96+R96+M96</x:f>
        <x:v>831.6538856281124</x:v>
      </x:c>
      <x:c r="X96" s="83" t="n">
        <x:f>IFERROR(W96/O96,0)</x:f>
        <x:v>0.130353273609422</x:v>
      </x:c>
      <x:c r="Y96" s="84" t="str">
        <x:f>IF(AND(V96&lt;Inputs!$B$12,X96&gt;Inputs!$B$13),"Priority: margin + leakage",IF(V96&lt;Inputs!$B$12,"Margin review",IF(X96&gt;Inputs!$B$13,"Leakage review","Monitor")))</x:f>
        <x:v>Leakage review</x:v>
      </x:c>
      <x:c r="Z96" s="4"/>
    </x:row>
    <x:row r="97" ht="15" hidden="0" customHeight="1">
      <x:c r="A97" s="77" t="str">
        <x:v>T-0094</x:v>
      </x:c>
      <x:c r="B97" s="78" t="n">
        <x:v>46020</x:v>
      </x:c>
      <x:c r="C97" s="77" t="str">
        <x:v>Juniper Partners</x:v>
      </x:c>
      <x:c r="D97" s="77" t="str">
        <x:v>Mid-Market</x:v>
      </x:c>
      <x:c r="E97" s="77" t="str">
        <x:v>SKU-300</x:v>
      </x:c>
      <x:c r="F97" s="77" t="str">
        <x:v>Services</x:v>
      </x:c>
      <x:c r="G97" s="79" t="n">
        <x:v>17</x:v>
      </x:c>
      <x:c r="H97" s="80" t="n">
        <x:v>125</x:v>
      </x:c>
      <x:c r="I97" s="80" t="n">
        <x:v>78</x:v>
      </x:c>
      <x:c r="J97" s="81" t="n">
        <x:v>0.0895565950184203</x:v>
      </x:c>
      <x:c r="K97" s="81" t="n">
        <x:v>0.016805236333936605</x:v>
      </x:c>
      <x:c r="L97" s="81" t="n">
        <x:v>0.01520039520706449</x:v>
      </x:c>
      <x:c r="M97" s="80" t="n">
        <x:v>71.02901099911732</x:v>
      </x:c>
      <x:c r="N97" s="82" t="n">
        <x:f>H97*(1-J97)*(1-K97)</x:f>
        <x:v>111.8928985490238</x:v>
      </x:c>
      <x:c r="O97" s="82" t="n">
        <x:f>G97*H97</x:f>
        <x:v>2125</x:v>
      </x:c>
      <x:c r="P97" s="82" t="n">
        <x:f>O97*J97</x:f>
        <x:v>190.30776441414312</x:v>
      </x:c>
      <x:c r="Q97" s="82" t="n">
        <x:f>(O97-P97)*K97</x:f>
        <x:v>32.51296025245248</x:v>
      </x:c>
      <x:c r="R97" s="82" t="n">
        <x:f>O97*L97</x:f>
        <x:v>32.30083981501204</x:v>
      </x:c>
      <x:c r="S97" s="82" t="n">
        <x:f>G97*N97-R97-M97</x:f>
        <x:v>1798.849424519275</x:v>
      </x:c>
      <x:c r="T97" s="82" t="n">
        <x:f>G97*I97</x:f>
        <x:v>1326</x:v>
      </x:c>
      <x:c r="U97" s="82" t="n">
        <x:f>S97-T97</x:f>
        <x:v>472.8494245192751</x:v>
      </x:c>
      <x:c r="V97" s="83" t="n">
        <x:f>IFERROR(U97/S97,0)</x:f>
        <x:v>0.26286214847895867</x:v>
      </x:c>
      <x:c r="W97" s="82" t="n">
        <x:f>P97+Q97+R97+M97</x:f>
        <x:v>326.15057548072497</x:v>
      </x:c>
      <x:c r="X97" s="83" t="n">
        <x:f>IFERROR(W97/O97,0)</x:f>
        <x:v>0.1534826237556353</x:v>
      </x:c>
      <x:c r="Y97" s="84" t="str">
        <x:f>IF(AND(V97&lt;Inputs!$B$12,X97&gt;Inputs!$B$13),"Priority: margin + leakage",IF(V97&lt;Inputs!$B$12,"Margin review",IF(X97&gt;Inputs!$B$13,"Leakage review","Monitor")))</x:f>
        <x:v>Priority: margin + leakage</x:v>
      </x:c>
      <x:c r="Z97" s="4"/>
    </x:row>
    <x:row r="98" ht="15" hidden="0" customHeight="1">
      <x:c r="A98" s="77" t="str">
        <x:v>T-0095</x:v>
      </x:c>
      <x:c r="B98" s="78" t="n">
        <x:v>45984</x:v>
      </x:c>
      <x:c r="C98" s="77" t="str">
        <x:v>Ironwood Ops</x:v>
      </x:c>
      <x:c r="D98" s="77" t="str">
        <x:v>SMB</x:v>
      </x:c>
      <x:c r="E98" s="77" t="str">
        <x:v>SKU-200</x:v>
      </x:c>
      <x:c r="F98" s="77" t="str">
        <x:v>Analytics</x:v>
      </x:c>
      <x:c r="G98" s="79" t="n">
        <x:v>40</x:v>
      </x:c>
      <x:c r="H98" s="80" t="n">
        <x:v>220</x:v>
      </x:c>
      <x:c r="I98" s="80" t="n">
        <x:v>98</x:v>
      </x:c>
      <x:c r="J98" s="81" t="n">
        <x:v>0.056244415058195725</x:v>
      </x:c>
      <x:c r="K98" s="81" t="n">
        <x:v>0.03736167991881967</x:v>
      </x:c>
      <x:c r="L98" s="81" t="n">
        <x:v>0.013687987701774068</x:v>
      </x:c>
      <x:c r="M98" s="80" t="n">
        <x:v>328.61889324536753</x:v>
      </x:c>
      <x:c r="N98" s="82" t="n">
        <x:f>H98*(1-J98)*(1-K98)</x:f>
        <x:v>199.86896398823424</x:v>
      </x:c>
      <x:c r="O98" s="82" t="n">
        <x:f>G98*H98</x:f>
        <x:v>8800</x:v>
      </x:c>
      <x:c r="P98" s="82" t="n">
        <x:f>O98*J98</x:f>
        <x:v>494.95085251212237</x:v>
      </x:c>
      <x:c r="Q98" s="82" t="n">
        <x:f>(O98-P98)*K98</x:f>
        <x:v>310.29058795850824</x:v>
      </x:c>
      <x:c r="R98" s="82" t="n">
        <x:f>O98*L98</x:f>
        <x:v>120.4542917756118</x:v>
      </x:c>
      <x:c r="S98" s="82" t="n">
        <x:f>G98*N98-R98-M98</x:f>
        <x:v>7545.68537450839</x:v>
      </x:c>
      <x:c r="T98" s="82" t="n">
        <x:f>G98*I98</x:f>
        <x:v>3920</x:v>
      </x:c>
      <x:c r="U98" s="82" t="n">
        <x:f>S98-T98</x:f>
        <x:v>3625.68537450839</x:v>
      </x:c>
      <x:c r="V98" s="83" t="n">
        <x:f>IFERROR(U98/S98,0)</x:f>
        <x:v>0.48049782021883036</x:v>
      </x:c>
      <x:c r="W98" s="82" t="n">
        <x:f>P98+Q98+R98+M98</x:f>
        <x:v>1254.3146254916098</x:v>
      </x:c>
      <x:c r="X98" s="83" t="n">
        <x:f>IFERROR(W98/O98,0)</x:f>
        <x:v>0.14253575289677384</x:v>
      </x:c>
      <x:c r="Y98" s="84" t="str">
        <x:f>IF(AND(V98&lt;Inputs!$B$12,X98&gt;Inputs!$B$13),"Priority: margin + leakage",IF(V98&lt;Inputs!$B$12,"Margin review",IF(X98&gt;Inputs!$B$13,"Leakage review","Monitor")))</x:f>
        <x:v>Leakage review</x:v>
      </x:c>
      <x:c r="Z98" s="4"/>
    </x:row>
    <x:row r="99" ht="15" hidden="0" customHeight="1">
      <x:c r="A99" s="77" t="str">
        <x:v>T-0096</x:v>
      </x:c>
      <x:c r="B99" s="78" t="n">
        <x:v>45684</x:v>
      </x:c>
      <x:c r="C99" s="77" t="str">
        <x:v>Harbor Care</x:v>
      </x:c>
      <x:c r="D99" s="77" t="str">
        <x:v>Enterprise</x:v>
      </x:c>
      <x:c r="E99" s="77" t="str">
        <x:v>SKU-110</x:v>
      </x:c>
      <x:c r="F99" s="77" t="str">
        <x:v>Core Platform</x:v>
      </x:c>
      <x:c r="G99" s="79" t="n">
        <x:v>116</x:v>
      </x:c>
      <x:c r="H99" s="80" t="n">
        <x:v>160</x:v>
      </x:c>
      <x:c r="I99" s="80" t="n">
        <x:v>84</x:v>
      </x:c>
      <x:c r="J99" s="81" t="n">
        <x:v>0.13854447490524405</x:v>
      </x:c>
      <x:c r="K99" s="81" t="n">
        <x:v>0.036574405862472376</x:v>
      </x:c>
      <x:c r="L99" s="81" t="n">
        <x:v>0.008716645730861894</x:v>
      </x:c>
      <x:c r="M99" s="80" t="n">
        <x:v>130.9542797423545</x:v>
      </x:c>
      <x:c r="N99" s="82" t="n">
        <x:f>H99*(1-J99)*(1-K99)</x:f>
        <x:v>132.79172817399538</x:v>
      </x:c>
      <x:c r="O99" s="82" t="n">
        <x:f>G99*H99</x:f>
        <x:v>18560</x:v>
      </x:c>
      <x:c r="P99" s="82" t="n">
        <x:f>O99*J99</x:f>
        <x:v>2571.3854542413296</x:v>
      </x:c>
      <x:c r="Q99" s="82" t="n">
        <x:f>(O99-P99)*K99</x:f>
        <x:v>584.774077575207</x:v>
      </x:c>
      <x:c r="R99" s="82" t="n">
        <x:f>O99*L99</x:f>
        <x:v>161.78094476479674</x:v>
      </x:c>
      <x:c r="S99" s="82" t="n">
        <x:f>G99*N99-R99-M99</x:f>
        <x:v>15111.105243676313</x:v>
      </x:c>
      <x:c r="T99" s="82" t="n">
        <x:f>G99*I99</x:f>
        <x:v>9744</x:v>
      </x:c>
      <x:c r="U99" s="82" t="n">
        <x:f>S99-T99</x:f>
        <x:v>5367.105243676313</x:v>
      </x:c>
      <x:c r="V99" s="83" t="n">
        <x:f>IFERROR(U99/S99,0)</x:f>
        <x:v>0.35517622021210765</x:v>
      </x:c>
      <x:c r="W99" s="82" t="n">
        <x:f>P99+Q99+R99+M99</x:f>
        <x:v>3448.894756323688</x:v>
      </x:c>
      <x:c r="X99" s="83" t="n">
        <x:f>IFERROR(W99/O99,0)</x:f>
        <x:v>0.1858240709226125</x:v>
      </x:c>
      <x:c r="Y99" s="84" t="str">
        <x:f>IF(AND(V99&lt;Inputs!$B$12,X99&gt;Inputs!$B$13),"Priority: margin + leakage",IF(V99&lt;Inputs!$B$12,"Margin review",IF(X99&gt;Inputs!$B$13,"Leakage review","Monitor")))</x:f>
        <x:v>Leakage review</x:v>
      </x:c>
      <x:c r="Z99" s="4"/>
    </x:row>
    <x:row r="100" ht="15" hidden="0" customHeight="1">
      <x:c r="A100" s="77" t="str">
        <x:v>T-0097</x:v>
      </x:c>
      <x:c r="B100" s="78" t="n">
        <x:v>45685</x:v>
      </x:c>
      <x:c r="C100" s="77" t="str">
        <x:v>Evergreen Rehab</x:v>
      </x:c>
      <x:c r="D100" s="77" t="str">
        <x:v>Mid-Market</x:v>
      </x:c>
      <x:c r="E100" s="77" t="str">
        <x:v>SKU-410</x:v>
      </x:c>
      <x:c r="F100" s="77" t="str">
        <x:v>Premium Module</x:v>
      </x:c>
      <x:c r="G100" s="79" t="n">
        <x:v>19</x:v>
      </x:c>
      <x:c r="H100" s="80" t="n">
        <x:v>575</x:v>
      </x:c>
      <x:c r="I100" s="80" t="n">
        <x:v>235</x:v>
      </x:c>
      <x:c r="J100" s="81" t="n">
        <x:v>0.0905047757512882</x:v>
      </x:c>
      <x:c r="K100" s="81" t="n">
        <x:v>0.012254568366270206</x:v>
      </x:c>
      <x:c r="L100" s="81" t="n">
        <x:v>0.0476650425345798</x:v>
      </x:c>
      <x:c r="M100" s="80" t="n">
        <x:v>176.9212799778013</x:v>
      </x:c>
      <x:c r="N100" s="82" t="n">
        <x:f>H100*(1-J100)*(1-K100)</x:f>
        <x:v>516.5511078855068</x:v>
      </x:c>
      <x:c r="O100" s="82" t="n">
        <x:f>G100*H100</x:f>
        <x:v>10925</x:v>
      </x:c>
      <x:c r="P100" s="82" t="n">
        <x:f>O100*J100</x:f>
        <x:v>988.7646750828235</x:v>
      </x:c>
      <x:c r="Q100" s="82" t="n">
        <x:f>(O100-P100)*K100</x:f>
        <x:v>121.76427509254658</x:v>
      </x:c>
      <x:c r="R100" s="82" t="n">
        <x:f>O100*L100</x:f>
        <x:v>520.7405896902843</x:v>
      </x:c>
      <x:c r="S100" s="82" t="n">
        <x:f>G100*N100-R100-M100</x:f>
        <x:v>9116.809180156544</x:v>
      </x:c>
      <x:c r="T100" s="82" t="n">
        <x:f>G100*I100</x:f>
        <x:v>4465</x:v>
      </x:c>
      <x:c r="U100" s="82" t="n">
        <x:f>S100-T100</x:f>
        <x:v>4651.809180156544</x:v>
      </x:c>
      <x:c r="V100" s="83" t="n">
        <x:f>IFERROR(U100/S100,0)</x:f>
        <x:v>0.5102453159030217</x:v>
      </x:c>
      <x:c r="W100" s="82" t="n">
        <x:f>P100+Q100+R100+M100</x:f>
        <x:v>1808.1908198434555</x:v>
      </x:c>
      <x:c r="X100" s="83" t="n">
        <x:f>IFERROR(W100/O100,0)</x:f>
        <x:v>0.16550945719390897</x:v>
      </x:c>
      <x:c r="Y100" s="84" t="str">
        <x:f>IF(AND(V100&lt;Inputs!$B$12,X100&gt;Inputs!$B$13),"Priority: margin + leakage",IF(V100&lt;Inputs!$B$12,"Margin review",IF(X100&gt;Inputs!$B$13,"Leakage review","Monitor")))</x:f>
        <x:v>Leakage review</x:v>
      </x:c>
      <x:c r="Z100" s="4"/>
    </x:row>
    <x:row r="101" ht="15" hidden="0" customHeight="1">
      <x:c r="A101" s="77" t="str">
        <x:v>T-0098</x:v>
      </x:c>
      <x:c r="B101" s="78" t="n">
        <x:v>45871</x:v>
      </x:c>
      <x:c r="C101" s="77" t="str">
        <x:v>Cobalt Services</x:v>
      </x:c>
      <x:c r="D101" s="77" t="str">
        <x:v>Mid-Market</x:v>
      </x:c>
      <x:c r="E101" s="77" t="str">
        <x:v>SKU-200</x:v>
      </x:c>
      <x:c r="F101" s="77" t="str">
        <x:v>Analytics</x:v>
      </x:c>
      <x:c r="G101" s="79" t="n">
        <x:v>108</x:v>
      </x:c>
      <x:c r="H101" s="80" t="n">
        <x:v>220</x:v>
      </x:c>
      <x:c r="I101" s="80" t="n">
        <x:v>98</x:v>
      </x:c>
      <x:c r="J101" s="81" t="n">
        <x:v>0.04750401945513273</x:v>
      </x:c>
      <x:c r="K101" s="81" t="n">
        <x:v>0.026815710958315274</x:v>
      </x:c>
      <x:c r="L101" s="81" t="n">
        <x:v>0.03403203031285028</x:v>
      </x:c>
      <x:c r="M101" s="80" t="n">
        <x:v>118.27342924174702</x:v>
      </x:c>
      <x:c r="N101" s="82" t="n">
        <x:f>H101*(1-J101)*(1-K101)</x:f>
        <x:v>203.9299072011562</x:v>
      </x:c>
      <x:c r="O101" s="82" t="n">
        <x:f>G101*H101</x:f>
        <x:v>23760</x:v>
      </x:c>
      <x:c r="P101" s="82" t="n">
        <x:f>O101*J101</x:f>
        <x:v>1128.6955022539537</x:v>
      </x:c>
      <x:c r="Q101" s="82" t="n">
        <x:f>(O101-P101)*K101</x:f>
        <x:v>606.8745200211783</x:v>
      </x:c>
      <x:c r="R101" s="82" t="n">
        <x:f>O101*L101</x:f>
        <x:v>808.6010402333226</x:v>
      </x:c>
      <x:c r="S101" s="82" t="n">
        <x:f>G101*N101-R101-M101</x:f>
        <x:v>21097.5555082498</x:v>
      </x:c>
      <x:c r="T101" s="82" t="n">
        <x:f>G101*I101</x:f>
        <x:v>10584</x:v>
      </x:c>
      <x:c r="U101" s="82" t="n">
        <x:f>S101-T101</x:f>
        <x:v>10513.5555082498</x:v>
      </x:c>
      <x:c r="V101" s="83" t="n">
        <x:f>IFERROR(U101/S101,0)</x:f>
        <x:v>0.498330505832236</x:v>
      </x:c>
      <x:c r="W101" s="82" t="n">
        <x:f>P101+Q101+R101+M101</x:f>
        <x:v>2662.444491750202</x:v>
      </x:c>
      <x:c r="X101" s="83" t="n">
        <x:f>IFERROR(W101/O101,0)</x:f>
        <x:v>0.11205574460228122</x:v>
      </x:c>
      <x:c r="Y101" s="84" t="str">
        <x:f>IF(AND(V101&lt;Inputs!$B$12,X101&gt;Inputs!$B$13),"Priority: margin + leakage",IF(V101&lt;Inputs!$B$12,"Margin review",IF(X101&gt;Inputs!$B$13,"Leakage review","Monitor")))</x:f>
        <x:v>Monitor</x:v>
      </x:c>
      <x:c r="Z101" s="4"/>
    </x:row>
    <x:row r="102" ht="15" hidden="0" customHeight="1">
      <x:c r="A102" s="77" t="str">
        <x:v>T-0099</x:v>
      </x:c>
      <x:c r="B102" s="78" t="n">
        <x:v>45877</x:v>
      </x:c>
      <x:c r="C102" s="77" t="str">
        <x:v>Juniper Partners</x:v>
      </x:c>
      <x:c r="D102" s="77" t="str">
        <x:v>Mid-Market</x:v>
      </x:c>
      <x:c r="E102" s="77" t="str">
        <x:v>SKU-210</x:v>
      </x:c>
      <x:c r="F102" s="77" t="str">
        <x:v>Analytics</x:v>
      </x:c>
      <x:c r="G102" s="79" t="n">
        <x:v>104</x:v>
      </x:c>
      <x:c r="H102" s="80" t="n">
        <x:v>310</x:v>
      </x:c>
      <x:c r="I102" s="80" t="n">
        <x:v>142</x:v>
      </x:c>
      <x:c r="J102" s="81" t="n">
        <x:v>0.037083220618670414</x:v>
      </x:c>
      <x:c r="K102" s="81" t="n">
        <x:v>0.031132865262011315</x:v>
      </x:c>
      <x:c r="L102" s="81" t="n">
        <x:v>0</x:v>
      </x:c>
      <x:c r="M102" s="80" t="n">
        <x:v>182.8712991365486</x:v>
      </x:c>
      <x:c r="N102" s="82" t="n">
        <x:f>H102*(1-J102)*(1-K102)</x:f>
        <x:v>289.2109105193994</x:v>
      </x:c>
      <x:c r="O102" s="82" t="n">
        <x:f>G102*H102</x:f>
        <x:v>32240</x:v>
      </x:c>
      <x:c r="P102" s="82" t="n">
        <x:f>O102*J102</x:f>
        <x:v>1195.5630327459342</x:v>
      </x:c>
      <x:c r="Q102" s="82" t="n">
        <x:f>(O102-P102)*K102</x:f>
        <x:v>966.502273236524</x:v>
      </x:c>
      <x:c r="R102" s="82" t="n">
        <x:f>O102*L102</x:f>
        <x:v>0</x:v>
      </x:c>
      <x:c r="S102" s="82" t="n">
        <x:f>G102*N102-R102-M102</x:f>
        <x:v>29895.06339488099</x:v>
      </x:c>
      <x:c r="T102" s="82" t="n">
        <x:f>G102*I102</x:f>
        <x:v>14768</x:v>
      </x:c>
      <x:c r="U102" s="82" t="n">
        <x:f>S102-T102</x:f>
        <x:v>15127.063394880988</x:v>
      </x:c>
      <x:c r="V102" s="83" t="n">
        <x:f>IFERROR(U102/S102,0)</x:f>
        <x:v>0.5060053961106915</x:v>
      </x:c>
      <x:c r="W102" s="82" t="n">
        <x:f>P102+Q102+R102+M102</x:f>
        <x:v>2344.936605119007</x:v>
      </x:c>
      <x:c r="X102" s="83" t="n">
        <x:f>IFERROR(W102/O102,0)</x:f>
        <x:v>0.072733765667463</x:v>
      </x:c>
      <x:c r="Y102" s="84" t="str">
        <x:f>IF(AND(V102&lt;Inputs!$B$12,X102&gt;Inputs!$B$13),"Priority: margin + leakage",IF(V102&lt;Inputs!$B$12,"Margin review",IF(X102&gt;Inputs!$B$13,"Leakage review","Monitor")))</x:f>
        <x:v>Monitor</x:v>
      </x:c>
      <x:c r="Z102" s="4"/>
    </x:row>
    <x:row r="103" ht="15" hidden="0" customHeight="1">
      <x:c r="A103" s="77" t="str">
        <x:v>T-0100</x:v>
      </x:c>
      <x:c r="B103" s="78" t="n">
        <x:v>45793</x:v>
      </x:c>
      <x:c r="C103" s="77" t="str">
        <x:v>Evergreen Rehab</x:v>
      </x:c>
      <x:c r="D103" s="77" t="str">
        <x:v>Mid-Market</x:v>
      </x:c>
      <x:c r="E103" s="77" t="str">
        <x:v>SKU-100</x:v>
      </x:c>
      <x:c r="F103" s="77" t="str">
        <x:v>Core Platform</x:v>
      </x:c>
      <x:c r="G103" s="79" t="n">
        <x:v>83</x:v>
      </x:c>
      <x:c r="H103" s="80" t="n">
        <x:v>105</x:v>
      </x:c>
      <x:c r="I103" s="80" t="n">
        <x:v>58</x:v>
      </x:c>
      <x:c r="J103" s="81" t="n">
        <x:v>0.09050149264920365</x:v>
      </x:c>
      <x:c r="K103" s="81" t="n">
        <x:v>0.0321651317303776</x:v>
      </x:c>
      <x:c r="L103" s="81" t="n">
        <x:v>0.02701685721195364</x:v>
      </x:c>
      <x:c r="M103" s="80" t="n">
        <x:v>0</x:v>
      </x:c>
      <x:c r="N103" s="82" t="n">
        <x:f>H103*(1-J103)*(1-K103)</x:f>
        <x:v>92.42565864559401</x:v>
      </x:c>
      <x:c r="O103" s="82" t="n">
        <x:f>G103*H103</x:f>
        <x:v>8715</x:v>
      </x:c>
      <x:c r="P103" s="82" t="n">
        <x:f>O103*J103</x:f>
        <x:v>788.7205084378098</x:v>
      </x:c>
      <x:c r="Q103" s="82" t="n">
        <x:f>(O103-P103)*K103</x:f>
        <x:v>254.9498239778882</x:v>
      </x:c>
      <x:c r="R103" s="82" t="n">
        <x:f>O103*L103</x:f>
        <x:v>235.45191060217599</x:v>
      </x:c>
      <x:c r="S103" s="82" t="n">
        <x:f>G103*N103-R103-M103</x:f>
        <x:v>7435.877756982127</x:v>
      </x:c>
      <x:c r="T103" s="82" t="n">
        <x:f>G103*I103</x:f>
        <x:v>4814</x:v>
      </x:c>
      <x:c r="U103" s="82" t="n">
        <x:f>S103-T103</x:f>
        <x:v>2621.877756982127</x:v>
      </x:c>
      <x:c r="V103" s="83" t="n">
        <x:f>IFERROR(U103/S103,0)</x:f>
        <x:v>0.3525982866676689</x:v>
      </x:c>
      <x:c r="W103" s="82" t="n">
        <x:f>P103+Q103+R103+M103</x:f>
        <x:v>1279.122243017874</x:v>
      </x:c>
      <x:c r="X103" s="83" t="n">
        <x:f>IFERROR(W103/O103,0)</x:f>
        <x:v>0.14677248915867747</x:v>
      </x:c>
      <x:c r="Y103" s="84" t="str">
        <x:f>IF(AND(V103&lt;Inputs!$B$12,X103&gt;Inputs!$B$13),"Priority: margin + leakage",IF(V103&lt;Inputs!$B$12,"Margin review",IF(X103&gt;Inputs!$B$13,"Leakage review","Monitor")))</x:f>
        <x:v>Leakage review</x:v>
      </x:c>
      <x:c r="Z103" s="4"/>
    </x:row>
    <x:row r="104" ht="15" hidden="0" customHeight="1">
      <x:c r="A104" s="77" t="str">
        <x:v>T-0101</x:v>
      </x:c>
      <x:c r="B104" s="78" t="n">
        <x:v>46010</x:v>
      </x:c>
      <x:c r="C104" s="77" t="str">
        <x:v>Keystone Health</x:v>
      </x:c>
      <x:c r="D104" s="77" t="str">
        <x:v>Enterprise</x:v>
      </x:c>
      <x:c r="E104" s="77" t="str">
        <x:v>SKU-110</x:v>
      </x:c>
      <x:c r="F104" s="77" t="str">
        <x:v>Core Platform</x:v>
      </x:c>
      <x:c r="G104" s="79" t="n">
        <x:v>25</x:v>
      </x:c>
      <x:c r="H104" s="80" t="n">
        <x:v>160</x:v>
      </x:c>
      <x:c r="I104" s="80" t="n">
        <x:v>84</x:v>
      </x:c>
      <x:c r="J104" s="81" t="n">
        <x:v>0.11282246345172862</x:v>
      </x:c>
      <x:c r="K104" s="81" t="n">
        <x:v>0.06661671209076594</x:v>
      </x:c>
      <x:c r="L104" s="81" t="n">
        <x:v>0.03522117282295838</x:v>
      </x:c>
      <x:c r="M104" s="80" t="n">
        <x:v>196.78012886362538</x:v>
      </x:c>
      <x:c r="N104" s="82" t="n">
        <x:f>H104*(1-J104)*(1-K104)</x:f>
        <x:v>132.49226976362243</x:v>
      </x:c>
      <x:c r="O104" s="82" t="n">
        <x:f>G104*H104</x:f>
        <x:v>4000</x:v>
      </x:c>
      <x:c r="P104" s="82" t="n">
        <x:f>O104*J104</x:f>
        <x:v>451.2898538069145</x:v>
      </x:c>
      <x:c r="Q104" s="82" t="n">
        <x:f>(O104-P104)*K104</x:f>
        <x:v>236.40340210252472</x:v>
      </x:c>
      <x:c r="R104" s="82" t="n">
        <x:f>O104*L104</x:f>
        <x:v>140.88469129183352</x:v>
      </x:c>
      <x:c r="S104" s="82" t="n">
        <x:f>G104*N104-R104-M104</x:f>
        <x:v>2974.6419239351017</x:v>
      </x:c>
      <x:c r="T104" s="82" t="n">
        <x:f>G104*I104</x:f>
        <x:v>2100</x:v>
      </x:c>
      <x:c r="U104" s="82" t="n">
        <x:f>S104-T104</x:f>
        <x:v>874.6419239351017</x:v>
      </x:c>
      <x:c r="V104" s="83" t="n">
        <x:f>IFERROR(U104/S104,0)</x:f>
        <x:v>0.29403267562976226</x:v>
      </x:c>
      <x:c r="W104" s="82" t="n">
        <x:f>P104+Q104+R104+M104</x:f>
        <x:v>1025.3580760648981</x:v>
      </x:c>
      <x:c r="X104" s="83" t="n">
        <x:f>IFERROR(W104/O104,0)</x:f>
        <x:v>0.25633951901622454</x:v>
      </x:c>
      <x:c r="Y104" s="84" t="str">
        <x:f>IF(AND(V104&lt;Inputs!$B$12,X104&gt;Inputs!$B$13),"Priority: margin + leakage",IF(V104&lt;Inputs!$B$12,"Margin review",IF(X104&gt;Inputs!$B$13,"Leakage review","Monitor")))</x:f>
        <x:v>Priority: margin + leakage</x:v>
      </x:c>
      <x:c r="Z104" s="4"/>
    </x:row>
    <x:row r="105" ht="15" hidden="0" customHeight="1">
      <x:c r="A105" s="77" t="str">
        <x:v>T-0102</x:v>
      </x:c>
      <x:c r="B105" s="78" t="n">
        <x:v>45694</x:v>
      </x:c>
      <x:c r="C105" s="77" t="str">
        <x:v>Juniper Partners</x:v>
      </x:c>
      <x:c r="D105" s="77" t="str">
        <x:v>Mid-Market</x:v>
      </x:c>
      <x:c r="E105" s="77" t="str">
        <x:v>SKU-410</x:v>
      </x:c>
      <x:c r="F105" s="77" t="str">
        <x:v>Premium Module</x:v>
      </x:c>
      <x:c r="G105" s="79" t="n">
        <x:v>42</x:v>
      </x:c>
      <x:c r="H105" s="80" t="n">
        <x:v>575</x:v>
      </x:c>
      <x:c r="I105" s="80" t="n">
        <x:v>235</x:v>
      </x:c>
      <x:c r="J105" s="81" t="n">
        <x:v>0.10324963397156878</x:v>
      </x:c>
      <x:c r="K105" s="81" t="n">
        <x:v>0.039197222349094854</x:v>
      </x:c>
      <x:c r="L105" s="81" t="n">
        <x:v>0.017719017909498924</x:v>
      </x:c>
      <x:c r="M105" s="80" t="n">
        <x:v>294.58598959374336</x:v>
      </x:c>
      <x:c r="N105" s="82" t="n">
        <x:f>H105*(1-J105)*(1-K105)</x:f>
        <x:v>495.4201394602601</x:v>
      </x:c>
      <x:c r="O105" s="82" t="n">
        <x:f>G105*H105</x:f>
        <x:v>24150</x:v>
      </x:c>
      <x:c r="P105" s="82" t="n">
        <x:f>O105*J105</x:f>
        <x:v>2493.478660413386</x:v>
      </x:c>
      <x:c r="Q105" s="82" t="n">
        <x:f>(O105-P105)*K105</x:f>
        <x:v>848.8754822556941</x:v>
      </x:c>
      <x:c r="R105" s="82" t="n">
        <x:f>O105*L105</x:f>
        <x:v>427.914282514399</x:v>
      </x:c>
      <x:c r="S105" s="82" t="n">
        <x:f>G105*N105-R105-M105</x:f>
        <x:v>20085.145585222785</x:v>
      </x:c>
      <x:c r="T105" s="82" t="n">
        <x:f>G105*I105</x:f>
        <x:v>9870</x:v>
      </x:c>
      <x:c r="U105" s="82" t="n">
        <x:f>S105-T105</x:f>
        <x:v>10215.145585222785</x:v>
      </x:c>
      <x:c r="V105" s="83" t="n">
        <x:f>IFERROR(U105/S105,0)</x:f>
        <x:v>0.5085920608281953</x:v>
      </x:c>
      <x:c r="W105" s="82" t="n">
        <x:f>P105+Q105+R105+M105</x:f>
        <x:v>4064.8544147772222</x:v>
      </x:c>
      <x:c r="X105" s="83" t="n">
        <x:f>IFERROR(W105/O105,0)</x:f>
        <x:v>0.16831695299284563</x:v>
      </x:c>
      <x:c r="Y105" s="84" t="str">
        <x:f>IF(AND(V105&lt;Inputs!$B$12,X105&gt;Inputs!$B$13),"Priority: margin + leakage",IF(V105&lt;Inputs!$B$12,"Margin review",IF(X105&gt;Inputs!$B$13,"Leakage review","Monitor")))</x:f>
        <x:v>Leakage review</x:v>
      </x:c>
      <x:c r="Z105" s="4"/>
    </x:row>
    <x:row r="106" ht="15" hidden="0" customHeight="1">
      <x:c r="A106" s="77" t="str">
        <x:v>T-0103</x:v>
      </x:c>
      <x:c r="B106" s="78" t="n">
        <x:v>45875</x:v>
      </x:c>
      <x:c r="C106" s="77" t="str">
        <x:v>Keystone Health</x:v>
      </x:c>
      <x:c r="D106" s="77" t="str">
        <x:v>Enterprise</x:v>
      </x:c>
      <x:c r="E106" s="77" t="str">
        <x:v>SKU-210</x:v>
      </x:c>
      <x:c r="F106" s="77" t="str">
        <x:v>Analytics</x:v>
      </x:c>
      <x:c r="G106" s="79" t="n">
        <x:v>38</x:v>
      </x:c>
      <x:c r="H106" s="80" t="n">
        <x:v>310</x:v>
      </x:c>
      <x:c r="I106" s="80" t="n">
        <x:v>142</x:v>
      </x:c>
      <x:c r="J106" s="81" t="n">
        <x:v>0.12154278991883645</x:v>
      </x:c>
      <x:c r="K106" s="81" t="n">
        <x:v>0.0009668927679450448</x:v>
      </x:c>
      <x:c r="L106" s="81" t="n">
        <x:v>0.002796828502973591</x:v>
      </x:c>
      <x:c r="M106" s="80" t="n">
        <x:v>0</x:v>
      </x:c>
      <x:c r="N106" s="82" t="n">
        <x:f>H106*(1-J106)*(1-K106)</x:f>
        <x:v>272.05842920891394</x:v>
      </x:c>
      <x:c r="O106" s="82" t="n">
        <x:f>G106*H106</x:f>
        <x:v>11780</x:v>
      </x:c>
      <x:c r="P106" s="82" t="n">
        <x:f>O106*J106</x:f>
        <x:v>1431.7740652438933</x:v>
      </x:c>
      <x:c r="Q106" s="82" t="n">
        <x:f>(O106-P106)*K106</x:f>
        <x:v>10.005624817377031</x:v>
      </x:c>
      <x:c r="R106" s="82" t="n">
        <x:f>O106*L106</x:f>
        <x:v>32.946639765028905</x:v>
      </x:c>
      <x:c r="S106" s="82" t="n">
        <x:f>G106*N106-R106-M106</x:f>
        <x:v>10305.273670173701</x:v>
      </x:c>
      <x:c r="T106" s="82" t="n">
        <x:f>G106*I106</x:f>
        <x:v>5396</x:v>
      </x:c>
      <x:c r="U106" s="82" t="n">
        <x:f>S106-T106</x:f>
        <x:v>4909.273670173701</x:v>
      </x:c>
      <x:c r="V106" s="83" t="n">
        <x:f>IFERROR(U106/S106,0)</x:f>
        <x:v>0.47638459950680306</x:v>
      </x:c>
      <x:c r="W106" s="82" t="n">
        <x:f>P106+Q106+R106+M106</x:f>
        <x:v>1474.7263298262994</x:v>
      </x:c>
      <x:c r="X106" s="83" t="n">
        <x:f>IFERROR(W106/O106,0)</x:f>
        <x:v>0.1251889923451867</x:v>
      </x:c>
      <x:c r="Y106" s="84" t="str">
        <x:f>IF(AND(V106&lt;Inputs!$B$12,X106&gt;Inputs!$B$13),"Priority: margin + leakage",IF(V106&lt;Inputs!$B$12,"Margin review",IF(X106&gt;Inputs!$B$13,"Leakage review","Monitor")))</x:f>
        <x:v>Leakage review</x:v>
      </x:c>
      <x:c r="Z106" s="4"/>
    </x:row>
    <x:row r="107" ht="15" hidden="0" customHeight="1">
      <x:c r="A107" s="77" t="str">
        <x:v>T-0104</x:v>
      </x:c>
      <x:c r="B107" s="78" t="n">
        <x:v>45815</x:v>
      </x:c>
      <x:c r="C107" s="77" t="str">
        <x:v>Boreal Clinics</x:v>
      </x:c>
      <x:c r="D107" s="77" t="str">
        <x:v>Enterprise</x:v>
      </x:c>
      <x:c r="E107" s="77" t="str">
        <x:v>SKU-210</x:v>
      </x:c>
      <x:c r="F107" s="77" t="str">
        <x:v>Analytics</x:v>
      </x:c>
      <x:c r="G107" s="79" t="n">
        <x:v>87</x:v>
      </x:c>
      <x:c r="H107" s="80" t="n">
        <x:v>310</x:v>
      </x:c>
      <x:c r="I107" s="80" t="n">
        <x:v>142</x:v>
      </x:c>
      <x:c r="J107" s="81" t="n">
        <x:v>0.1263069437679174</x:v>
      </x:c>
      <x:c r="K107" s="81" t="n">
        <x:v>0.050819621660497014</x:v>
      </x:c>
      <x:c r="L107" s="81" t="n">
        <x:v>0.028954909122752195</x:v>
      </x:c>
      <x:c r="M107" s="80" t="n">
        <x:v>144.59902527127875</x:v>
      </x:c>
      <x:c r="N107" s="82" t="n">
        <x:f>H107*(1-J107)*(1-K107)</x:f>
        <x:v>257.0806147567591</x:v>
      </x:c>
      <x:c r="O107" s="82" t="n">
        <x:f>G107*H107</x:f>
        <x:v>26970</x:v>
      </x:c>
      <x:c r="P107" s="82" t="n">
        <x:f>O107*J107</x:f>
        <x:v>3406.4982734207324</x:v>
      </x:c>
      <x:c r="Q107" s="82" t="n">
        <x:f>(O107-P107)*K107</x:f>
        <x:v>1197.4882427412265</x:v>
      </x:c>
      <x:c r="R107" s="82" t="n">
        <x:f>O107*L107</x:f>
        <x:v>780.9138990406267</x:v>
      </x:c>
      <x:c r="S107" s="82" t="n">
        <x:f>G107*N107-R107-M107</x:f>
        <x:v>21440.500559526132</x:v>
      </x:c>
      <x:c r="T107" s="82" t="n">
        <x:f>G107*I107</x:f>
        <x:v>12354</x:v>
      </x:c>
      <x:c r="U107" s="82" t="n">
        <x:f>S107-T107</x:f>
        <x:v>9086.500559526132</x:v>
      </x:c>
      <x:c r="V107" s="83" t="n">
        <x:f>IFERROR(U107/S107,0)</x:f>
        <x:v>0.42380076595221794</x:v>
      </x:c>
      <x:c r="W107" s="82" t="n">
        <x:f>P107+Q107+R107+M107</x:f>
        <x:v>5529.4994404738645</x:v>
      </x:c>
      <x:c r="X107" s="83" t="n">
        <x:f>IFERROR(W107/O107,0)</x:f>
        <x:v>0.20502408010655782</x:v>
      </x:c>
      <x:c r="Y107" s="84" t="str">
        <x:f>IF(AND(V107&lt;Inputs!$B$12,X107&gt;Inputs!$B$13),"Priority: margin + leakage",IF(V107&lt;Inputs!$B$12,"Margin review",IF(X107&gt;Inputs!$B$13,"Leakage review","Monitor")))</x:f>
        <x:v>Leakage review</x:v>
      </x:c>
      <x:c r="Z107" s="4"/>
    </x:row>
    <x:row r="108" ht="15" hidden="0" customHeight="1">
      <x:c r="A108" s="77" t="str">
        <x:v>T-0105</x:v>
      </x:c>
      <x:c r="B108" s="78" t="n">
        <x:v>45914</x:v>
      </x:c>
      <x:c r="C108" s="77" t="str">
        <x:v>Juniper Partners</x:v>
      </x:c>
      <x:c r="D108" s="77" t="str">
        <x:v>Mid-Market</x:v>
      </x:c>
      <x:c r="E108" s="77" t="str">
        <x:v>SKU-300</x:v>
      </x:c>
      <x:c r="F108" s="77" t="str">
        <x:v>Services</x:v>
      </x:c>
      <x:c r="G108" s="79" t="n">
        <x:v>61</x:v>
      </x:c>
      <x:c r="H108" s="80" t="n">
        <x:v>125</x:v>
      </x:c>
      <x:c r="I108" s="80" t="n">
        <x:v>78</x:v>
      </x:c>
      <x:c r="J108" s="81" t="n">
        <x:v>0.11296177809918728</x:v>
      </x:c>
      <x:c r="K108" s="81" t="n">
        <x:v>0.0618962081899224</x:v>
      </x:c>
      <x:c r="L108" s="81" t="n">
        <x:v>0.011630652202847706</x:v>
      </x:c>
      <x:c r="M108" s="80" t="n">
        <x:v>0</x:v>
      </x:c>
      <x:c r="N108" s="82" t="n">
        <x:f>H108*(1-J108)*(1-K108)</x:f>
        <x:v>104.01673993070268</x:v>
      </x:c>
      <x:c r="O108" s="82" t="n">
        <x:f>G108*H108</x:f>
        <x:v>7625</x:v>
      </x:c>
      <x:c r="P108" s="82" t="n">
        <x:f>O108*J108</x:f>
        <x:v>861.3335580063031</x:v>
      </x:c>
      <x:c r="Q108" s="82" t="n">
        <x:f>(O108-P108)*K108</x:f>
        <x:v>418.64530622083356</x:v>
      </x:c>
      <x:c r="R108" s="82" t="n">
        <x:f>O108*L108</x:f>
        <x:v>88.68372304671375</x:v>
      </x:c>
      <x:c r="S108" s="82" t="n">
        <x:f>G108*N108-R108-M108</x:f>
        <x:v>6256.33741272615</x:v>
      </x:c>
      <x:c r="T108" s="82" t="n">
        <x:f>G108*I108</x:f>
        <x:v>4758</x:v>
      </x:c>
      <x:c r="U108" s="82" t="n">
        <x:f>S108-T108</x:f>
        <x:v>1498.3374127261504</x:v>
      </x:c>
      <x:c r="V108" s="83" t="n">
        <x:f>IFERROR(U108/S108,0)</x:f>
        <x:v>0.23949114535900032</x:v>
      </x:c>
      <x:c r="W108" s="82" t="n">
        <x:f>P108+Q108+R108+M108</x:f>
        <x:v>1368.6625872738505</x:v>
      </x:c>
      <x:c r="X108" s="83" t="n">
        <x:f>IFERROR(W108/O108,0)</x:f>
        <x:v>0.1794967327572263</x:v>
      </x:c>
      <x:c r="Y108" s="84" t="str">
        <x:f>IF(AND(V108&lt;Inputs!$B$12,X108&gt;Inputs!$B$13),"Priority: margin + leakage",IF(V108&lt;Inputs!$B$12,"Margin review",IF(X108&gt;Inputs!$B$13,"Leakage review","Monitor")))</x:f>
        <x:v>Priority: margin + leakage</x:v>
      </x:c>
      <x:c r="Z108" s="4"/>
    </x:row>
    <x:row r="109" ht="15" hidden="0" customHeight="1">
      <x:c r="A109" s="77" t="str">
        <x:v>T-0106</x:v>
      </x:c>
      <x:c r="B109" s="78" t="n">
        <x:v>45786</x:v>
      </x:c>
      <x:c r="C109" s="77" t="str">
        <x:v>Ironwood Ops</x:v>
      </x:c>
      <x:c r="D109" s="77" t="str">
        <x:v>SMB</x:v>
      </x:c>
      <x:c r="E109" s="77" t="str">
        <x:v>SKU-410</x:v>
      </x:c>
      <x:c r="F109" s="77" t="str">
        <x:v>Premium Module</x:v>
      </x:c>
      <x:c r="G109" s="79" t="n">
        <x:v>61</x:v>
      </x:c>
      <x:c r="H109" s="80" t="n">
        <x:v>575</x:v>
      </x:c>
      <x:c r="I109" s="80" t="n">
        <x:v>235</x:v>
      </x:c>
      <x:c r="J109" s="81" t="n">
        <x:v>0.05373471094792938</x:v>
      </x:c>
      <x:c r="K109" s="81" t="n">
        <x:v>0.03845255352298566</x:v>
      </x:c>
      <x:c r="L109" s="81" t="n">
        <x:v>0.010547736463521763</x:v>
      </x:c>
      <x:c r="M109" s="80" t="n">
        <x:v>152.88521088090206</x:v>
      </x:c>
      <x:c r="N109" s="82" t="n">
        <x:f>H109*(1-J109)*(1-K109)</x:f>
        <x:v>523.1804091172651</x:v>
      </x:c>
      <x:c r="O109" s="82" t="n">
        <x:f>G109*H109</x:f>
        <x:v>35075</x:v>
      </x:c>
      <x:c r="P109" s="82" t="n">
        <x:f>O109*J109</x:f>
        <x:v>1884.744986498623</x:v>
      </x:c>
      <x:c r="Q109" s="82" t="n">
        <x:f>(O109-P109)*K109</x:f>
        <x:v>1276.2500573482048</x:v>
      </x:c>
      <x:c r="R109" s="82" t="n">
        <x:f>O109*L109</x:f>
        <x:v>369.9618564580258</x:v>
      </x:c>
      <x:c r="S109" s="82" t="n">
        <x:f>G109*N109-R109-M109</x:f>
        <x:v>31391.157888814243</x:v>
      </x:c>
      <x:c r="T109" s="82" t="n">
        <x:f>G109*I109</x:f>
        <x:v>14335</x:v>
      </x:c>
      <x:c r="U109" s="82" t="n">
        <x:f>S109-T109</x:f>
        <x:v>17056.157888814243</x:v>
      </x:c>
      <x:c r="V109" s="83" t="n">
        <x:f>IFERROR(U109/S109,0)</x:f>
        <x:v>0.5433427447699195</x:v>
      </x:c>
      <x:c r="W109" s="82" t="n">
        <x:f>P109+Q109+R109+M109</x:f>
        <x:v>3683.8421111857556</x:v>
      </x:c>
      <x:c r="X109" s="83" t="n">
        <x:f>IFERROR(W109/O109,0)</x:f>
        <x:v>0.1050275726638847</x:v>
      </x:c>
      <x:c r="Y109" s="84" t="str">
        <x:f>IF(AND(V109&lt;Inputs!$B$12,X109&gt;Inputs!$B$13),"Priority: margin + leakage",IF(V109&lt;Inputs!$B$12,"Margin review",IF(X109&gt;Inputs!$B$13,"Leakage review","Monitor")))</x:f>
        <x:v>Monitor</x:v>
      </x:c>
      <x:c r="Z109" s="4"/>
    </x:row>
    <x:row r="110" ht="15" hidden="0" customHeight="1">
      <x:c r="A110" s="77" t="str">
        <x:v>T-0107</x:v>
      </x:c>
      <x:c r="B110" s="78" t="n">
        <x:v>46002</x:v>
      </x:c>
      <x:c r="C110" s="77" t="str">
        <x:v>Acme Health</x:v>
      </x:c>
      <x:c r="D110" s="77" t="str">
        <x:v>Enterprise</x:v>
      </x:c>
      <x:c r="E110" s="77" t="str">
        <x:v>SKU-110</x:v>
      </x:c>
      <x:c r="F110" s="77" t="str">
        <x:v>Core Platform</x:v>
      </x:c>
      <x:c r="G110" s="79" t="n">
        <x:v>34</x:v>
      </x:c>
      <x:c r="H110" s="80" t="n">
        <x:v>160</x:v>
      </x:c>
      <x:c r="I110" s="80" t="n">
        <x:v>84</x:v>
      </x:c>
      <x:c r="J110" s="81" t="n">
        <x:v>0.17465188177736515</x:v>
      </x:c>
      <x:c r="K110" s="81" t="n">
        <x:v>0.023732300134316806</x:v>
      </x:c>
      <x:c r="L110" s="81" t="n">
        <x:v>0</x:v>
      </x:c>
      <x:c r="M110" s="80" t="n">
        <x:v>19.47678865170498</x:v>
      </x:c>
      <x:c r="N110" s="82" t="n">
        <x:f>H110*(1-J110)*(1-K110)</x:f>
        <x:v>128.92171343450906</x:v>
      </x:c>
      <x:c r="O110" s="82" t="n">
        <x:f>G110*H110</x:f>
        <x:v>5440</x:v>
      </x:c>
      <x:c r="P110" s="82" t="n">
        <x:f>O110*J110</x:f>
        <x:v>950.1062368688664</x:v>
      </x:c>
      <x:c r="Q110" s="82" t="n">
        <x:f>(O110-P110)*K110</x:f>
        <x:v>106.5555063578252</x:v>
      </x:c>
      <x:c r="R110" s="82" t="n">
        <x:f>O110*L110</x:f>
        <x:v>0</x:v>
      </x:c>
      <x:c r="S110" s="82" t="n">
        <x:f>G110*N110-R110-M110</x:f>
        <x:v>4363.861468121603</x:v>
      </x:c>
      <x:c r="T110" s="82" t="n">
        <x:f>G110*I110</x:f>
        <x:v>2856</x:v>
      </x:c>
      <x:c r="U110" s="82" t="n">
        <x:f>S110-T110</x:f>
        <x:v>1507.8614681216031</x:v>
      </x:c>
      <x:c r="V110" s="83" t="n">
        <x:f>IFERROR(U110/S110,0)</x:f>
        <x:v>0.34553376158630733</x:v>
      </x:c>
      <x:c r="W110" s="82" t="n">
        <x:f>P110+Q110+R110+M110</x:f>
        <x:v>1076.1385318783966</x:v>
      </x:c>
      <x:c r="X110" s="83" t="n">
        <x:f>IFERROR(W110/O110,0)</x:f>
        <x:v>0.19781958306588174</x:v>
      </x:c>
      <x:c r="Y110" s="84" t="str">
        <x:f>IF(AND(V110&lt;Inputs!$B$12,X110&gt;Inputs!$B$13),"Priority: margin + leakage",IF(V110&lt;Inputs!$B$12,"Margin review",IF(X110&gt;Inputs!$B$13,"Leakage review","Monitor")))</x:f>
        <x:v>Leakage review</x:v>
      </x:c>
      <x:c r="Z110" s="4"/>
    </x:row>
    <x:row r="111" ht="15" hidden="0" customHeight="1">
      <x:c r="A111" s="77" t="str">
        <x:v>T-0108</x:v>
      </x:c>
      <x:c r="B111" s="78" t="n">
        <x:v>45750</x:v>
      </x:c>
      <x:c r="C111" s="77" t="str">
        <x:v>Evergreen Rehab</x:v>
      </x:c>
      <x:c r="D111" s="77" t="str">
        <x:v>Mid-Market</x:v>
      </x:c>
      <x:c r="E111" s="77" t="str">
        <x:v>SKU-100</x:v>
      </x:c>
      <x:c r="F111" s="77" t="str">
        <x:v>Core Platform</x:v>
      </x:c>
      <x:c r="G111" s="79" t="n">
        <x:v>102</x:v>
      </x:c>
      <x:c r="H111" s="80" t="n">
        <x:v>105</x:v>
      </x:c>
      <x:c r="I111" s="80" t="n">
        <x:v>58</x:v>
      </x:c>
      <x:c r="J111" s="81" t="n">
        <x:v>0.07655419488345104</x:v>
      </x:c>
      <x:c r="K111" s="81" t="n">
        <x:v>0.006830030584979788</x:v>
      </x:c>
      <x:c r="L111" s="81" t="n">
        <x:v>0.0017558644549964565</x:v>
      </x:c>
      <x:c r="M111" s="80" t="n">
        <x:v>0</x:v>
      </x:c>
      <x:c r="N111" s="82" t="n">
        <x:f>H111*(1-J111)*(1-K111)</x:f>
        <x:v>96.29955741252333</x:v>
      </x:c>
      <x:c r="O111" s="82" t="n">
        <x:f>G111*H111</x:f>
        <x:v>10710</x:v>
      </x:c>
      <x:c r="P111" s="82" t="n">
        <x:f>O111*J111</x:f>
        <x:v>819.8954272017606</x:v>
      </x:c>
      <x:c r="Q111" s="82" t="n">
        <x:f>(O111-P111)*K111</x:f>
        <x:v>67.54971672086043</x:v>
      </x:c>
      <x:c r="R111" s="82" t="n">
        <x:f>O111*L111</x:f>
        <x:v>18.80530831301205</x:v>
      </x:c>
      <x:c r="S111" s="82" t="n">
        <x:f>G111*N111-R111-M111</x:f>
        <x:v>9803.749547764366</x:v>
      </x:c>
      <x:c r="T111" s="82" t="n">
        <x:f>G111*I111</x:f>
        <x:v>5916</x:v>
      </x:c>
      <x:c r="U111" s="82" t="n">
        <x:f>S111-T111</x:f>
        <x:v>3887.749547764366</x:v>
      </x:c>
      <x:c r="V111" s="83" t="n">
        <x:f>IFERROR(U111/S111,0)</x:f>
        <x:v>0.39655741191908794</x:v>
      </x:c>
      <x:c r="W111" s="82" t="n">
        <x:f>P111+Q111+R111+M111</x:f>
        <x:v>906.2504522356331</x:v>
      </x:c>
      <x:c r="X111" s="83" t="n">
        <x:f>IFERROR(W111/O111,0)</x:f>
        <x:v>0.08461722243096481</x:v>
      </x:c>
      <x:c r="Y111" s="84" t="str">
        <x:f>IF(AND(V111&lt;Inputs!$B$12,X111&gt;Inputs!$B$13),"Priority: margin + leakage",IF(V111&lt;Inputs!$B$12,"Margin review",IF(X111&gt;Inputs!$B$13,"Leakage review","Monitor")))</x:f>
        <x:v>Monitor</x:v>
      </x:c>
      <x:c r="Z111" s="4"/>
    </x:row>
    <x:row r="112" ht="15" hidden="0" customHeight="1">
      <x:c r="A112" s="77" t="str">
        <x:v>T-0109</x:v>
      </x:c>
      <x:c r="B112" s="78" t="n">
        <x:v>45822</x:v>
      </x:c>
      <x:c r="C112" s="77" t="str">
        <x:v>Juniper Partners</x:v>
      </x:c>
      <x:c r="D112" s="77" t="str">
        <x:v>Mid-Market</x:v>
      </x:c>
      <x:c r="E112" s="77" t="str">
        <x:v>SKU-400</x:v>
      </x:c>
      <x:c r="F112" s="77" t="str">
        <x:v>Premium Module</x:v>
      </x:c>
      <x:c r="G112" s="79" t="n">
        <x:v>86</x:v>
      </x:c>
      <x:c r="H112" s="80" t="n">
        <x:v>420</x:v>
      </x:c>
      <x:c r="I112" s="80" t="n">
        <x:v>180</x:v>
      </x:c>
      <x:c r="J112" s="81" t="n">
        <x:v>0.11124555381933127</x:v>
      </x:c>
      <x:c r="K112" s="81" t="n">
        <x:v>0</x:v>
      </x:c>
      <x:c r="L112" s="81" t="n">
        <x:v>0.006884781991793241</x:v>
      </x:c>
      <x:c r="M112" s="80" t="n">
        <x:v>137.272182216625</x:v>
      </x:c>
      <x:c r="N112" s="82" t="n">
        <x:f>H112*(1-J112)*(1-K112)</x:f>
        <x:v>373.27686739588086</x:v>
      </x:c>
      <x:c r="O112" s="82" t="n">
        <x:f>G112*H112</x:f>
        <x:v>36120</x:v>
      </x:c>
      <x:c r="P112" s="82" t="n">
        <x:f>O112*J112</x:f>
        <x:v>4018.1894039542453</x:v>
      </x:c>
      <x:c r="Q112" s="82" t="n">
        <x:f>(O112-P112)*K112</x:f>
        <x:v>0</x:v>
      </x:c>
      <x:c r="R112" s="82" t="n">
        <x:f>O112*L112</x:f>
        <x:v>248.67832554357184</x:v>
      </x:c>
      <x:c r="S112" s="82" t="n">
        <x:f>G112*N112-R112-M112</x:f>
        <x:v>31715.860088285557</x:v>
      </x:c>
      <x:c r="T112" s="82" t="n">
        <x:f>G112*I112</x:f>
        <x:v>15480</x:v>
      </x:c>
      <x:c r="U112" s="82" t="n">
        <x:f>S112-T112</x:f>
        <x:v>16235.860088285557</x:v>
      </x:c>
      <x:c r="V112" s="83" t="n">
        <x:f>IFERROR(U112/S112,0)</x:f>
        <x:v>0.5119161215584492</x:v>
      </x:c>
      <x:c r="W112" s="82" t="n">
        <x:f>P112+Q112+R112+M112</x:f>
        <x:v>4404.139911714442</x:v>
      </x:c>
      <x:c r="X112" s="83" t="n">
        <x:f>IFERROR(W112/O112,0)</x:f>
        <x:v>0.12193078382376639</x:v>
      </x:c>
      <x:c r="Y112" s="84" t="str">
        <x:f>IF(AND(V112&lt;Inputs!$B$12,X112&gt;Inputs!$B$13),"Priority: margin + leakage",IF(V112&lt;Inputs!$B$12,"Margin review",IF(X112&gt;Inputs!$B$13,"Leakage review","Monitor")))</x:f>
        <x:v>Leakage review</x:v>
      </x:c>
      <x:c r="Z112" s="4"/>
    </x:row>
    <x:row r="113" ht="15" hidden="0" customHeight="1">
      <x:c r="A113" s="77" t="str">
        <x:v>T-0110</x:v>
      </x:c>
      <x:c r="B113" s="78" t="n">
        <x:v>45863</x:v>
      </x:c>
      <x:c r="C113" s="77" t="str">
        <x:v>Keystone Health</x:v>
      </x:c>
      <x:c r="D113" s="77" t="str">
        <x:v>Enterprise</x:v>
      </x:c>
      <x:c r="E113" s="77" t="str">
        <x:v>SKU-110</x:v>
      </x:c>
      <x:c r="F113" s="77" t="str">
        <x:v>Core Platform</x:v>
      </x:c>
      <x:c r="G113" s="79" t="n">
        <x:v>114</x:v>
      </x:c>
      <x:c r="H113" s="80" t="n">
        <x:v>160</x:v>
      </x:c>
      <x:c r="I113" s="80" t="n">
        <x:v>84</x:v>
      </x:c>
      <x:c r="J113" s="81" t="n">
        <x:v>0.12915809320105504</x:v>
      </x:c>
      <x:c r="K113" s="81" t="n">
        <x:v>0.05681214473560444</x:v>
      </x:c>
      <x:c r="L113" s="81" t="n">
        <x:v>0</x:v>
      </x:c>
      <x:c r="M113" s="80" t="n">
        <x:v>123.77635748082757</x:v>
      </x:c>
      <x:c r="N113" s="82" t="n">
        <x:f>H113*(1-J113)*(1-K113)</x:f>
        <x:v>131.41880165568855</x:v>
      </x:c>
      <x:c r="O113" s="82" t="n">
        <x:f>G113*H113</x:f>
        <x:v>18240</x:v>
      </x:c>
      <x:c r="P113" s="82" t="n">
        <x:f>O113*J113</x:f>
        <x:v>2355.843619987244</x:v>
      </x:c>
      <x:c r="Q113" s="82" t="n">
        <x:f>(O113-P113)*K113</x:f>
        <x:v>902.4129912642593</x:v>
      </x:c>
      <x:c r="R113" s="82" t="n">
        <x:f>O113*L113</x:f>
        <x:v>0</x:v>
      </x:c>
      <x:c r="S113" s="82" t="n">
        <x:f>G113*N113-R113-M113</x:f>
        <x:v>14857.967031267668</x:v>
      </x:c>
      <x:c r="T113" s="82" t="n">
        <x:f>G113*I113</x:f>
        <x:v>9576</x:v>
      </x:c>
      <x:c r="U113" s="82" t="n">
        <x:f>S113-T113</x:f>
        <x:v>5281.967031267668</x:v>
      </x:c>
      <x:c r="V113" s="83" t="n">
        <x:f>IFERROR(U113/S113,0)</x:f>
        <x:v>0.35549729112684775</x:v>
      </x:c>
      <x:c r="W113" s="82" t="n">
        <x:f>P113+Q113+R113+M113</x:f>
        <x:v>3382.032968732331</x:v>
      </x:c>
      <x:c r="X113" s="83" t="n">
        <x:f>IFERROR(W113/O113,0)</x:f>
        <x:v>0.18541847416295673</x:v>
      </x:c>
      <x:c r="Y113" s="84" t="str">
        <x:f>IF(AND(V113&lt;Inputs!$B$12,X113&gt;Inputs!$B$13),"Priority: margin + leakage",IF(V113&lt;Inputs!$B$12,"Margin review",IF(X113&gt;Inputs!$B$13,"Leakage review","Monitor")))</x:f>
        <x:v>Leakage review</x:v>
      </x:c>
      <x:c r="Z113" s="4"/>
    </x:row>
    <x:row r="114" ht="15" hidden="0" customHeight="1">
      <x:c r="A114" s="77" t="str">
        <x:v>T-0111</x:v>
      </x:c>
      <x:c r="B114" s="78" t="n">
        <x:v>45921</x:v>
      </x:c>
      <x:c r="C114" s="77" t="str">
        <x:v>Ironwood Ops</x:v>
      </x:c>
      <x:c r="D114" s="77" t="str">
        <x:v>SMB</x:v>
      </x:c>
      <x:c r="E114" s="77" t="str">
        <x:v>SKU-100</x:v>
      </x:c>
      <x:c r="F114" s="77" t="str">
        <x:v>Core Platform</x:v>
      </x:c>
      <x:c r="G114" s="79" t="n">
        <x:v>63</x:v>
      </x:c>
      <x:c r="H114" s="80" t="n">
        <x:v>105</x:v>
      </x:c>
      <x:c r="I114" s="80" t="n">
        <x:v>58</x:v>
      </x:c>
      <x:c r="J114" s="81" t="n">
        <x:v>0.06771277579065808</x:v>
      </x:c>
      <x:c r="K114" s="81" t="n">
        <x:v>0.04502037970733421</x:v>
      </x:c>
      <x:c r="L114" s="81" t="n">
        <x:v>0.04811710723543734</x:v>
      </x:c>
      <x:c r="M114" s="80" t="n">
        <x:v>223.09800482595878</x:v>
      </x:c>
      <x:c r="N114" s="82" t="n">
        <x:f>H114*(1-J114)*(1-K114)</x:f>
        <x:v>93.48310643480978</x:v>
      </x:c>
      <x:c r="O114" s="82" t="n">
        <x:f>G114*H114</x:f>
        <x:v>6615</x:v>
      </x:c>
      <x:c r="P114" s="82" t="n">
        <x:f>O114*J114</x:f>
        <x:v>447.9200118552032</x:v>
      </x:c>
      <x:c r="Q114" s="82" t="n">
        <x:f>(O114-P114)*K114</x:f>
        <x:v>277.6442827517809</x:v>
      </x:c>
      <x:c r="R114" s="82" t="n">
        <x:f>O114*L114</x:f>
        <x:v>318.294664362418</x:v>
      </x:c>
      <x:c r="S114" s="82" t="n">
        <x:f>G114*N114-R114-M114</x:f>
        <x:v>5348.043036204639</x:v>
      </x:c>
      <x:c r="T114" s="82" t="n">
        <x:f>G114*I114</x:f>
        <x:v>3654</x:v>
      </x:c>
      <x:c r="U114" s="82" t="n">
        <x:f>S114-T114</x:f>
        <x:v>1694.043036204639</x:v>
      </x:c>
      <x:c r="V114" s="83" t="n">
        <x:f>IFERROR(U114/S114,0)</x:f>
        <x:v>0.3167594248468979</x:v>
      </x:c>
      <x:c r="W114" s="82" t="n">
        <x:f>P114+Q114+R114+M114</x:f>
        <x:v>1266.9569637953607</x:v>
      </x:c>
      <x:c r="X114" s="83" t="n">
        <x:f>IFERROR(W114/O114,0)</x:f>
        <x:v>0.19152788568335008</x:v>
      </x:c>
      <x:c r="Y114" s="84" t="str">
        <x:f>IF(AND(V114&lt;Inputs!$B$12,X114&gt;Inputs!$B$13),"Priority: margin + leakage",IF(V114&lt;Inputs!$B$12,"Margin review",IF(X114&gt;Inputs!$B$13,"Leakage review","Monitor")))</x:f>
        <x:v>Leakage review</x:v>
      </x:c>
      <x:c r="Z114" s="4"/>
    </x:row>
    <x:row r="115" ht="15" hidden="0" customHeight="1">
      <x:c r="A115" s="77" t="str">
        <x:v>T-0112</x:v>
      </x:c>
      <x:c r="B115" s="78" t="n">
        <x:v>45884</x:v>
      </x:c>
      <x:c r="C115" s="77" t="str">
        <x:v>Acme Health</x:v>
      </x:c>
      <x:c r="D115" s="77" t="str">
        <x:v>Enterprise</x:v>
      </x:c>
      <x:c r="E115" s="77" t="str">
        <x:v>SKU-410</x:v>
      </x:c>
      <x:c r="F115" s="77" t="str">
        <x:v>Premium Module</x:v>
      </x:c>
      <x:c r="G115" s="79" t="n">
        <x:v>57</x:v>
      </x:c>
      <x:c r="H115" s="80" t="n">
        <x:v>575</x:v>
      </x:c>
      <x:c r="I115" s="80" t="n">
        <x:v>235</x:v>
      </x:c>
      <x:c r="J115" s="81" t="n">
        <x:v>0.1498813513521997</x:v>
      </x:c>
      <x:c r="K115" s="81" t="n">
        <x:v>0.045095200249469655</x:v>
      </x:c>
      <x:c r="L115" s="81" t="n">
        <x:v>0.009825933783133501</x:v>
      </x:c>
      <x:c r="M115" s="80" t="n">
        <x:v>46.35268417715105</x:v>
      </x:c>
      <x:c r="N115" s="82" t="n">
        <x:f>H115*(1-J115)*(1-K115)</x:f>
        <x:v>466.77486732195104</x:v>
      </x:c>
      <x:c r="O115" s="82" t="n">
        <x:f>G115*H115</x:f>
        <x:v>32775</x:v>
      </x:c>
      <x:c r="P115" s="82" t="n">
        <x:f>O115*J115</x:f>
        <x:v>4912.361290568346</x:v>
      </x:c>
      <x:c r="Q115" s="82" t="n">
        <x:f>(O115-P115)*K115</x:f>
        <x:v>1256.471272080445</x:v>
      </x:c>
      <x:c r="R115" s="82" t="n">
        <x:f>O115*L115</x:f>
        <x:v>322.0449797422005</x:v>
      </x:c>
      <x:c r="S115" s="82" t="n">
        <x:f>G115*N115-R115-M115</x:f>
        <x:v>26237.769773431857</x:v>
      </x:c>
      <x:c r="T115" s="82" t="n">
        <x:f>G115*I115</x:f>
        <x:v>13395</x:v>
      </x:c>
      <x:c r="U115" s="82" t="n">
        <x:f>S115-T115</x:f>
        <x:v>12842.769773431857</x:v>
      </x:c>
      <x:c r="V115" s="83" t="n">
        <x:f>IFERROR(U115/S115,0)</x:f>
        <x:v>0.4894764259436538</x:v>
      </x:c>
      <x:c r="W115" s="82" t="n">
        <x:f>P115+Q115+R115+M115</x:f>
        <x:v>6537.230226568143</x:v>
      </x:c>
      <x:c r="X115" s="83" t="n">
        <x:f>IFERROR(W115/O115,0)</x:f>
        <x:v>0.19945782537202572</x:v>
      </x:c>
      <x:c r="Y115" s="84" t="str">
        <x:f>IF(AND(V115&lt;Inputs!$B$12,X115&gt;Inputs!$B$13),"Priority: margin + leakage",IF(V115&lt;Inputs!$B$12,"Margin review",IF(X115&gt;Inputs!$B$13,"Leakage review","Monitor")))</x:f>
        <x:v>Leakage review</x:v>
      </x:c>
      <x:c r="Z115" s="4"/>
    </x:row>
    <x:row r="116" ht="15" hidden="0" customHeight="1">
      <x:c r="A116" s="77" t="str">
        <x:v>T-0113</x:v>
      </x:c>
      <x:c r="B116" s="78" t="n">
        <x:v>45720</x:v>
      </x:c>
      <x:c r="C116" s="77" t="str">
        <x:v>Acme Health</x:v>
      </x:c>
      <x:c r="D116" s="77" t="str">
        <x:v>Enterprise</x:v>
      </x:c>
      <x:c r="E116" s="77" t="str">
        <x:v>SKU-210</x:v>
      </x:c>
      <x:c r="F116" s="77" t="str">
        <x:v>Analytics</x:v>
      </x:c>
      <x:c r="G116" s="79" t="n">
        <x:v>39</x:v>
      </x:c>
      <x:c r="H116" s="80" t="n">
        <x:v>310</x:v>
      </x:c>
      <x:c r="I116" s="80" t="n">
        <x:v>142</x:v>
      </x:c>
      <x:c r="J116" s="81" t="n">
        <x:v>0.033586745690110706</x:v>
      </x:c>
      <x:c r="K116" s="81" t="n">
        <x:v>0.01756099529590548</x:v>
      </x:c>
      <x:c r="L116" s="81" t="n">
        <x:v>0</x:v>
      </x:c>
      <x:c r="M116" s="80" t="n">
        <x:v>172.81689665416616</x:v>
      </x:c>
      <x:c r="N116" s="82" t="n">
        <x:f>H116*(1-J116)*(1-K116)</x:f>
        <x:v>294.32704346608637</x:v>
      </x:c>
      <x:c r="O116" s="82" t="n">
        <x:f>G116*H116</x:f>
        <x:v>12090</x:v>
      </x:c>
      <x:c r="P116" s="82" t="n">
        <x:f>O116*J116</x:f>
        <x:v>406.06375539343844</x:v>
      </x:c>
      <x:c r="Q116" s="82" t="n">
        <x:f>(O116-P116)*K116</x:f>
        <x:v>205.18154942919534</x:v>
      </x:c>
      <x:c r="R116" s="82" t="n">
        <x:f>O116*L116</x:f>
        <x:v>0</x:v>
      </x:c>
      <x:c r="S116" s="82" t="n">
        <x:f>G116*N116-R116-M116</x:f>
        <x:v>11305.937798523202</x:v>
      </x:c>
      <x:c r="T116" s="82" t="n">
        <x:f>G116*I116</x:f>
        <x:v>5538</x:v>
      </x:c>
      <x:c r="U116" s="82" t="n">
        <x:f>S116-T116</x:f>
        <x:v>5767.937798523202</x:v>
      </x:c>
      <x:c r="V116" s="83" t="n">
        <x:f>IFERROR(U116/S116,0)</x:f>
        <x:v>0.510168895434452</x:v>
      </x:c>
      <x:c r="W116" s="82" t="n">
        <x:f>P116+Q116+R116+M116</x:f>
        <x:v>784.0622014767999</x:v>
      </x:c>
      <x:c r="X116" s="83" t="n">
        <x:f>IFERROR(W116/O116,0)</x:f>
        <x:v>0.06485212584588916</x:v>
      </x:c>
      <x:c r="Y116" s="84" t="str">
        <x:f>IF(AND(V116&lt;Inputs!$B$12,X116&gt;Inputs!$B$13),"Priority: margin + leakage",IF(V116&lt;Inputs!$B$12,"Margin review",IF(X116&gt;Inputs!$B$13,"Leakage review","Monitor")))</x:f>
        <x:v>Monitor</x:v>
      </x:c>
      <x:c r="Z116" s="4"/>
    </x:row>
    <x:row r="117" ht="15" hidden="0" customHeight="1">
      <x:c r="A117" s="77" t="str">
        <x:v>T-0114</x:v>
      </x:c>
      <x:c r="B117" s="78" t="n">
        <x:v>45716</x:v>
      </x:c>
      <x:c r="C117" s="77" t="str">
        <x:v>Acme Health</x:v>
      </x:c>
      <x:c r="D117" s="77" t="str">
        <x:v>Enterprise</x:v>
      </x:c>
      <x:c r="E117" s="77" t="str">
        <x:v>SKU-210</x:v>
      </x:c>
      <x:c r="F117" s="77" t="str">
        <x:v>Analytics</x:v>
      </x:c>
      <x:c r="G117" s="79" t="n">
        <x:v>95</x:v>
      </x:c>
      <x:c r="H117" s="80" t="n">
        <x:v>310</x:v>
      </x:c>
      <x:c r="I117" s="80" t="n">
        <x:v>142</x:v>
      </x:c>
      <x:c r="J117" s="81" t="n">
        <x:v>0.13410736997633427</x:v>
      </x:c>
      <x:c r="K117" s="81" t="n">
        <x:v>0.06153214030182158</x:v>
      </x:c>
      <x:c r="L117" s="81" t="n">
        <x:v>0.01746270544192564</x:v>
      </x:c>
      <x:c r="M117" s="80" t="n">
        <x:v>107.16276555555812</x:v>
      </x:c>
      <x:c r="N117" s="82" t="n">
        <x:f>H117*(1-J117)*(1-K117)</x:f>
        <x:v>251.90984500028824</x:v>
      </x:c>
      <x:c r="O117" s="82" t="n">
        <x:f>G117*H117</x:f>
        <x:v>29450</x:v>
      </x:c>
      <x:c r="P117" s="82" t="n">
        <x:f>O117*J117</x:f>
        <x:v>3949.462045803044</x:v>
      </x:c>
      <x:c r="Q117" s="82" t="n">
        <x:f>(O117-P117)*K117</x:f>
        <x:v>1569.1026791695733</x:v>
      </x:c>
      <x:c r="R117" s="82" t="n">
        <x:f>O117*L117</x:f>
        <x:v>514.2766752647101</x:v>
      </x:c>
      <x:c r="S117" s="82" t="n">
        <x:f>G117*N117-R117-M117</x:f>
        <x:v>23309.995834207115</x:v>
      </x:c>
      <x:c r="T117" s="82" t="n">
        <x:f>G117*I117</x:f>
        <x:v>13490</x:v>
      </x:c>
      <x:c r="U117" s="82" t="n">
        <x:f>S117-T117</x:f>
        <x:v>9819.995834207115</x:v>
      </x:c>
      <x:c r="V117" s="83" t="n">
        <x:f>IFERROR(U117/S117,0)</x:f>
        <x:v>0.42127831785351066</x:v>
      </x:c>
      <x:c r="W117" s="82" t="n">
        <x:f>P117+Q117+R117+M117</x:f>
        <x:v>6140.004165792886</x:v>
      </x:c>
      <x:c r="X117" s="83" t="n">
        <x:f>IFERROR(W117/O117,0)</x:f>
        <x:v>0.20848910579941887</x:v>
      </x:c>
      <x:c r="Y117" s="84" t="str">
        <x:f>IF(AND(V117&lt;Inputs!$B$12,X117&gt;Inputs!$B$13),"Priority: margin + leakage",IF(V117&lt;Inputs!$B$12,"Margin review",IF(X117&gt;Inputs!$B$13,"Leakage review","Monitor")))</x:f>
        <x:v>Leakage review</x:v>
      </x:c>
      <x:c r="Z117" s="4"/>
    </x:row>
    <x:row r="118" ht="15" hidden="0" customHeight="1">
      <x:c r="A118" s="77" t="str">
        <x:v>T-0115</x:v>
      </x:c>
      <x:c r="B118" s="78" t="n">
        <x:v>45797</x:v>
      </x:c>
      <x:c r="C118" s="77" t="str">
        <x:v>Harbor Care</x:v>
      </x:c>
      <x:c r="D118" s="77" t="str">
        <x:v>Enterprise</x:v>
      </x:c>
      <x:c r="E118" s="77" t="str">
        <x:v>SKU-110</x:v>
      </x:c>
      <x:c r="F118" s="77" t="str">
        <x:v>Core Platform</x:v>
      </x:c>
      <x:c r="G118" s="79" t="n">
        <x:v>87</x:v>
      </x:c>
      <x:c r="H118" s="80" t="n">
        <x:v>160</x:v>
      </x:c>
      <x:c r="I118" s="80" t="n">
        <x:v>84</x:v>
      </x:c>
      <x:c r="J118" s="81" t="n">
        <x:v>0.130289582674545</x:v>
      </x:c>
      <x:c r="K118" s="81" t="n">
        <x:v>0.009458953569535467</x:v>
      </x:c>
      <x:c r="L118" s="81" t="n">
        <x:v>0.020528749497936007</x:v>
      </x:c>
      <x:c r="M118" s="80" t="n">
        <x:v>15.02754431533613</x:v>
      </x:c>
      <x:c r="N118" s="82" t="n">
        <x:f>H118*(1-J118)*(1-K118)</x:f>
        <x:v>137.83741869904517</x:v>
      </x:c>
      <x:c r="O118" s="82" t="n">
        <x:f>G118*H118</x:f>
        <x:v>13920</x:v>
      </x:c>
      <x:c r="P118" s="82" t="n">
        <x:f>O118*J118</x:f>
        <x:v>1813.6309908296662</x:v>
      </x:c>
      <x:c r="Q118" s="82" t="n">
        <x:f>(O118-P118)*K118</x:f>
        <x:v>114.51358235340528</x:v>
      </x:c>
      <x:c r="R118" s="82" t="n">
        <x:f>O118*L118</x:f>
        <x:v>285.7601930112692</x:v>
      </x:c>
      <x:c r="S118" s="82" t="n">
        <x:f>G118*N118-R118-M118</x:f>
        <x:v>11691.067689490324</x:v>
      </x:c>
      <x:c r="T118" s="82" t="n">
        <x:f>G118*I118</x:f>
        <x:v>7308</x:v>
      </x:c>
      <x:c r="U118" s="82" t="n">
        <x:f>S118-T118</x:f>
        <x:v>4383.0676894903245</x:v>
      </x:c>
      <x:c r="V118" s="83" t="n">
        <x:f>IFERROR(U118/S118,0)</x:f>
        <x:v>0.37490739134377604</x:v>
      </x:c>
      <x:c r="W118" s="82" t="n">
        <x:f>P118+Q118+R118+M118</x:f>
        <x:v>2228.932310509677</x:v>
      </x:c>
      <x:c r="X118" s="83" t="n">
        <x:f>IFERROR(W118/O118,0)</x:f>
        <x:v>0.16012444759408598</x:v>
      </x:c>
      <x:c r="Y118" s="84" t="str">
        <x:f>IF(AND(V118&lt;Inputs!$B$12,X118&gt;Inputs!$B$13),"Priority: margin + leakage",IF(V118&lt;Inputs!$B$12,"Margin review",IF(X118&gt;Inputs!$B$13,"Leakage review","Monitor")))</x:f>
        <x:v>Leakage review</x:v>
      </x:c>
      <x:c r="Z118" s="4"/>
    </x:row>
    <x:row r="119" ht="15" hidden="0" customHeight="1">
      <x:c r="A119" s="77" t="str">
        <x:v>T-0116</x:v>
      </x:c>
      <x:c r="B119" s="78" t="n">
        <x:v>45918</x:v>
      </x:c>
      <x:c r="C119" s="77" t="str">
        <x:v>Granite Medical</x:v>
      </x:c>
      <x:c r="D119" s="77" t="str">
        <x:v>Mid-Market</x:v>
      </x:c>
      <x:c r="E119" s="77" t="str">
        <x:v>SKU-410</x:v>
      </x:c>
      <x:c r="F119" s="77" t="str">
        <x:v>Premium Module</x:v>
      </x:c>
      <x:c r="G119" s="79" t="n">
        <x:v>65</x:v>
      </x:c>
      <x:c r="H119" s="80" t="n">
        <x:v>575</x:v>
      </x:c>
      <x:c r="I119" s="80" t="n">
        <x:v>235</x:v>
      </x:c>
      <x:c r="J119" s="81" t="n">
        <x:v>0.07674485427805929</x:v>
      </x:c>
      <x:c r="K119" s="81" t="n">
        <x:v>0.06662436318475626</x:v>
      </x:c>
      <x:c r="L119" s="81" t="n">
        <x:v>0</x:v>
      </x:c>
      <x:c r="M119" s="80" t="n">
        <x:v>255.74279283539803</x:v>
      </x:c>
      <x:c r="N119" s="82" t="n">
        <x:f>H119*(1-J119)*(1-K119)</x:f>
        <x:v>495.50271925917104</x:v>
      </x:c>
      <x:c r="O119" s="82" t="n">
        <x:f>G119*H119</x:f>
        <x:v>37375</x:v>
      </x:c>
      <x:c r="P119" s="82" t="n">
        <x:f>O119*J119</x:f>
        <x:v>2868.338928642466</x:v>
      </x:c>
      <x:c r="Q119" s="82" t="n">
        <x:f>(O119-P119)*K119</x:f>
        <x:v>2298.984319511415</x:v>
      </x:c>
      <x:c r="R119" s="82" t="n">
        <x:f>O119*L119</x:f>
        <x:v>0</x:v>
      </x:c>
      <x:c r="S119" s="82" t="n">
        <x:f>G119*N119-R119-M119</x:f>
        <x:v>31951.93395901072</x:v>
      </x:c>
      <x:c r="T119" s="82" t="n">
        <x:f>G119*I119</x:f>
        <x:v>15275</x:v>
      </x:c>
      <x:c r="U119" s="82" t="n">
        <x:f>S119-T119</x:f>
        <x:v>16676.93395901072</x:v>
      </x:c>
      <x:c r="V119" s="83" t="n">
        <x:f>IFERROR(U119/S119,0)</x:f>
        <x:v>0.5219381706410819</x:v>
      </x:c>
      <x:c r="W119" s="82" t="n">
        <x:f>P119+Q119+R119+M119</x:f>
        <x:v>5423.066040989279</x:v>
      </x:c>
      <x:c r="X119" s="83" t="n">
        <x:f>IFERROR(W119/O119,0)</x:f>
        <x:v>0.14509875694954594</x:v>
      </x:c>
      <x:c r="Y119" s="84" t="str">
        <x:f>IF(AND(V119&lt;Inputs!$B$12,X119&gt;Inputs!$B$13),"Priority: margin + leakage",IF(V119&lt;Inputs!$B$12,"Margin review",IF(X119&gt;Inputs!$B$13,"Leakage review","Monitor")))</x:f>
        <x:v>Leakage review</x:v>
      </x:c>
      <x:c r="Z119" s="4"/>
    </x:row>
    <x:row r="120" ht="15" hidden="0" customHeight="1">
      <x:c r="A120" s="77" t="str">
        <x:v>T-0117</x:v>
      </x:c>
      <x:c r="B120" s="78" t="n">
        <x:v>45917</x:v>
      </x:c>
      <x:c r="C120" s="77" t="str">
        <x:v>Lakeside Clinics</x:v>
      </x:c>
      <x:c r="D120" s="77" t="str">
        <x:v>SMB</x:v>
      </x:c>
      <x:c r="E120" s="77" t="str">
        <x:v>SKU-200</x:v>
      </x:c>
      <x:c r="F120" s="77" t="str">
        <x:v>Analytics</x:v>
      </x:c>
      <x:c r="G120" s="79" t="n">
        <x:v>115</x:v>
      </x:c>
      <x:c r="H120" s="80" t="n">
        <x:v>220</x:v>
      </x:c>
      <x:c r="I120" s="80" t="n">
        <x:v>98</x:v>
      </x:c>
      <x:c r="J120" s="81" t="n">
        <x:v>0.09954119346811258</x:v>
      </x:c>
      <x:c r="K120" s="81" t="n">
        <x:v>0.053275490097290164</x:v>
      </x:c>
      <x:c r="L120" s="81" t="n">
        <x:v>0.03500695218132573</x:v>
      </x:c>
      <x:c r="M120" s="80" t="n">
        <x:v>55.00145410772505</x:v>
      </x:c>
      <x:c r="N120" s="82" t="n">
        <x:f>H120*(1-J120)*(1-K120)</x:f>
        <x:v>187.54701290632562</x:v>
      </x:c>
      <x:c r="O120" s="82" t="n">
        <x:f>G120*H120</x:f>
        <x:v>25300</x:v>
      </x:c>
      <x:c r="P120" s="82" t="n">
        <x:f>O120*J120</x:f>
        <x:v>2518.392194743248</x:v>
      </x:c>
      <x:c r="Q120" s="82" t="n">
        <x:f>(O120-P120)*K120</x:f>
        <x:v>1213.7013210293044</x:v>
      </x:c>
      <x:c r="R120" s="82" t="n">
        <x:f>O120*L120</x:f>
        <x:v>885.6758901875411</x:v>
      </x:c>
      <x:c r="S120" s="82" t="n">
        <x:f>G120*N120-R120-M120</x:f>
        <x:v>20627.22913993218</x:v>
      </x:c>
      <x:c r="T120" s="82" t="n">
        <x:f>G120*I120</x:f>
        <x:v>11270</x:v>
      </x:c>
      <x:c r="U120" s="82" t="n">
        <x:f>S120-T120</x:f>
        <x:v>9357.22913993218</x:v>
      </x:c>
      <x:c r="V120" s="83" t="n">
        <x:f>IFERROR(U120/S120,0)</x:f>
        <x:v>0.4536348084589584</x:v>
      </x:c>
      <x:c r="W120" s="82" t="n">
        <x:f>P120+Q120+R120+M120</x:f>
        <x:v>4672.770860067819</x:v>
      </x:c>
      <x:c r="X120" s="83" t="n">
        <x:f>IFERROR(W120/O120,0)</x:f>
        <x:v>0.1846945003979375</x:v>
      </x:c>
      <x:c r="Y120" s="84" t="str">
        <x:f>IF(AND(V120&lt;Inputs!$B$12,X120&gt;Inputs!$B$13),"Priority: margin + leakage",IF(V120&lt;Inputs!$B$12,"Margin review",IF(X120&gt;Inputs!$B$13,"Leakage review","Monitor")))</x:f>
        <x:v>Leakage review</x:v>
      </x:c>
      <x:c r="Z120" s="4"/>
    </x:row>
    <x:row r="121" ht="15" hidden="0" customHeight="1">
      <x:c r="A121" s="77" t="str">
        <x:v>T-0118</x:v>
      </x:c>
      <x:c r="B121" s="78" t="n">
        <x:v>45734</x:v>
      </x:c>
      <x:c r="C121" s="77" t="str">
        <x:v>Evergreen Rehab</x:v>
      </x:c>
      <x:c r="D121" s="77" t="str">
        <x:v>Mid-Market</x:v>
      </x:c>
      <x:c r="E121" s="77" t="str">
        <x:v>SKU-100</x:v>
      </x:c>
      <x:c r="F121" s="77" t="str">
        <x:v>Core Platform</x:v>
      </x:c>
      <x:c r="G121" s="79" t="n">
        <x:v>41</x:v>
      </x:c>
      <x:c r="H121" s="80" t="n">
        <x:v>105</x:v>
      </x:c>
      <x:c r="I121" s="80" t="n">
        <x:v>58</x:v>
      </x:c>
      <x:c r="J121" s="81" t="n">
        <x:v>0.06499817148199752</x:v>
      </x:c>
      <x:c r="K121" s="81" t="n">
        <x:v>0</x:v>
      </x:c>
      <x:c r="L121" s="81" t="n">
        <x:v>0.0018262758039066483</x:v>
      </x:c>
      <x:c r="M121" s="80" t="n">
        <x:v>56.37330364099342</x:v>
      </x:c>
      <x:c r="N121" s="82" t="n">
        <x:f>H121*(1-J121)*(1-K121)</x:f>
        <x:v>98.17519199439026</x:v>
      </x:c>
      <x:c r="O121" s="82" t="n">
        <x:f>G121*H121</x:f>
        <x:v>4305</x:v>
      </x:c>
      <x:c r="P121" s="82" t="n">
        <x:f>O121*J121</x:f>
        <x:v>279.8171282299993</x:v>
      </x:c>
      <x:c r="Q121" s="82" t="n">
        <x:f>(O121-P121)*K121</x:f>
        <x:v>0</x:v>
      </x:c>
      <x:c r="R121" s="82" t="n">
        <x:f>O121*L121</x:f>
        <x:v>7.862117335818121</x:v>
      </x:c>
      <x:c r="S121" s="82" t="n">
        <x:f>G121*N121-R121-M121</x:f>
        <x:v>3960.9474507931886</x:v>
      </x:c>
      <x:c r="T121" s="82" t="n">
        <x:f>G121*I121</x:f>
        <x:v>2378</x:v>
      </x:c>
      <x:c r="U121" s="82" t="n">
        <x:f>S121-T121</x:f>
        <x:v>1582.9474507931886</x:v>
      </x:c>
      <x:c r="V121" s="83" t="n">
        <x:f>IFERROR(U121/S121,0)</x:f>
        <x:v>0.3996385891148846</x:v>
      </x:c>
      <x:c r="W121" s="82" t="n">
        <x:f>P121+Q121+R121+M121</x:f>
        <x:v>344.05254920681085</x:v>
      </x:c>
      <x:c r="X121" s="83" t="n">
        <x:f>IFERROR(W121/O121,0)</x:f>
        <x:v>0.0799192913372383</x:v>
      </x:c>
      <x:c r="Y121" s="84" t="str">
        <x:f>IF(AND(V121&lt;Inputs!$B$12,X121&gt;Inputs!$B$13),"Priority: margin + leakage",IF(V121&lt;Inputs!$B$12,"Margin review",IF(X121&gt;Inputs!$B$13,"Leakage review","Monitor")))</x:f>
        <x:v>Monitor</x:v>
      </x:c>
      <x:c r="Z121" s="4"/>
    </x:row>
    <x:row r="122" ht="15" hidden="0" customHeight="1">
      <x:c r="A122" s="77" t="str">
        <x:v>T-0119</x:v>
      </x:c>
      <x:c r="B122" s="78" t="n">
        <x:v>45754</x:v>
      </x:c>
      <x:c r="C122" s="77" t="str">
        <x:v>Harbor Care</x:v>
      </x:c>
      <x:c r="D122" s="77" t="str">
        <x:v>Enterprise</x:v>
      </x:c>
      <x:c r="E122" s="77" t="str">
        <x:v>SKU-410</x:v>
      </x:c>
      <x:c r="F122" s="77" t="str">
        <x:v>Premium Module</x:v>
      </x:c>
      <x:c r="G122" s="79" t="n">
        <x:v>49</x:v>
      </x:c>
      <x:c r="H122" s="80" t="n">
        <x:v>575</x:v>
      </x:c>
      <x:c r="I122" s="80" t="n">
        <x:v>235</x:v>
      </x:c>
      <x:c r="J122" s="81" t="n">
        <x:v>0.08059932228957953</x:v>
      </x:c>
      <x:c r="K122" s="81" t="n">
        <x:v>0.0718500643084769</x:v>
      </x:c>
      <x:c r="L122" s="81" t="n">
        <x:v>0</x:v>
      </x:c>
      <x:c r="M122" s="80" t="n">
        <x:v>265.84055922476</x:v>
      </x:c>
      <x:c r="N122" s="82" t="n">
        <x:f>H122*(1-J122)*(1-K122)</x:f>
        <x:v>490.6714659377099</x:v>
      </x:c>
      <x:c r="O122" s="82" t="n">
        <x:f>G122*H122</x:f>
        <x:v>28175</x:v>
      </x:c>
      <x:c r="P122" s="82" t="n">
        <x:f>O122*J122</x:f>
        <x:v>2270.8859055089033</x:v>
      </x:c>
      <x:c r="Q122" s="82" t="n">
        <x:f>(O122-P122)*K122</x:f>
        <x:v>1861.2122635433082</x:v>
      </x:c>
      <x:c r="R122" s="82" t="n">
        <x:f>O122*L122</x:f>
        <x:v>0</x:v>
      </x:c>
      <x:c r="S122" s="82" t="n">
        <x:f>G122*N122-R122-M122</x:f>
        <x:v>23777.061271723025</x:v>
      </x:c>
      <x:c r="T122" s="82" t="n">
        <x:f>G122*I122</x:f>
        <x:v>11515</x:v>
      </x:c>
      <x:c r="U122" s="82" t="n">
        <x:f>S122-T122</x:f>
        <x:v>12262.061271723025</x:v>
      </x:c>
      <x:c r="V122" s="83" t="n">
        <x:f>IFERROR(U122/S122,0)</x:f>
        <x:v>0.5157097057366687</x:v>
      </x:c>
      <x:c r="W122" s="82" t="n">
        <x:f>P122+Q122+R122+M122</x:f>
        <x:v>4397.938728276971</x:v>
      </x:c>
      <x:c r="X122" s="83" t="n">
        <x:f>IFERROR(W122/O122,0)</x:f>
        <x:v>0.15609365495215516</x:v>
      </x:c>
      <x:c r="Y122" s="84" t="str">
        <x:f>IF(AND(V122&lt;Inputs!$B$12,X122&gt;Inputs!$B$13),"Priority: margin + leakage",IF(V122&lt;Inputs!$B$12,"Margin review",IF(X122&gt;Inputs!$B$13,"Leakage review","Monitor")))</x:f>
        <x:v>Leakage review</x:v>
      </x:c>
      <x:c r="Z122" s="4"/>
    </x:row>
    <x:row r="123" ht="15" hidden="0" customHeight="1">
      <x:c r="A123" s="77" t="str">
        <x:v>T-0120</x:v>
      </x:c>
      <x:c r="B123" s="78" t="n">
        <x:v>45900</x:v>
      </x:c>
      <x:c r="C123" s="77" t="str">
        <x:v>Lakeside Clinics</x:v>
      </x:c>
      <x:c r="D123" s="77" t="str">
        <x:v>SMB</x:v>
      </x:c>
      <x:c r="E123" s="77" t="str">
        <x:v>SKU-210</x:v>
      </x:c>
      <x:c r="F123" s="77" t="str">
        <x:v>Analytics</x:v>
      </x:c>
      <x:c r="G123" s="79" t="n">
        <x:v>78</x:v>
      </x:c>
      <x:c r="H123" s="80" t="n">
        <x:v>310</x:v>
      </x:c>
      <x:c r="I123" s="80" t="n">
        <x:v>142</x:v>
      </x:c>
      <x:c r="J123" s="81" t="n">
        <x:v>0</x:v>
      </x:c>
      <x:c r="K123" s="81" t="n">
        <x:v>0.06801736517169454</x:v>
      </x:c>
      <x:c r="L123" s="81" t="n">
        <x:v>0.011657902108923184</x:v>
      </x:c>
      <x:c r="M123" s="80" t="n">
        <x:v>161.8814352520592</x:v>
      </x:c>
      <x:c r="N123" s="82" t="n">
        <x:f>H123*(1-J123)*(1-K123)</x:f>
        <x:v>288.9146167967747</x:v>
      </x:c>
      <x:c r="O123" s="82" t="n">
        <x:f>G123*H123</x:f>
        <x:v>24180</x:v>
      </x:c>
      <x:c r="P123" s="82" t="n">
        <x:f>O123*J123</x:f>
        <x:v>0</x:v>
      </x:c>
      <x:c r="Q123" s="82" t="n">
        <x:f>(O123-P123)*K123</x:f>
        <x:v>1644.659889851574</x:v>
      </x:c>
      <x:c r="R123" s="82" t="n">
        <x:f>O123*L123</x:f>
        <x:v>281.8880729937626</x:v>
      </x:c>
      <x:c r="S123" s="82" t="n">
        <x:f>G123*N123-R123-M123</x:f>
        <x:v>22091.570601902604</x:v>
      </x:c>
      <x:c r="T123" s="82" t="n">
        <x:f>G123*I123</x:f>
        <x:v>11076</x:v>
      </x:c>
      <x:c r="U123" s="82" t="n">
        <x:f>S123-T123</x:f>
        <x:v>11015.570601902604</x:v>
      </x:c>
      <x:c r="V123" s="83" t="n">
        <x:f>IFERROR(U123/S123,0)</x:f>
        <x:v>0.4986322973774397</x:v>
      </x:c>
      <x:c r="W123" s="82" t="n">
        <x:f>P123+Q123+R123+M123</x:f>
        <x:v>2088.4293980973957</x:v>
      </x:c>
      <x:c r="X123" s="83" t="n">
        <x:f>IFERROR(W123/O123,0)</x:f>
        <x:v>0.08637011571949528</x:v>
      </x:c>
      <x:c r="Y123" s="84" t="str">
        <x:f>IF(AND(V123&lt;Inputs!$B$12,X123&gt;Inputs!$B$13),"Priority: margin + leakage",IF(V123&lt;Inputs!$B$12,"Margin review",IF(X123&gt;Inputs!$B$13,"Leakage review","Monitor")))</x:f>
        <x:v>Monitor</x:v>
      </x:c>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pageMargins left="0.7" right="0.7" top="0.75" bottom="0.75" header="0.3" footer="0.3"/>
  <x:tableParts count="1">
    <x:tablePart xmlns:r="http://schemas.openxmlformats.org/officeDocument/2006/relationships" r:id="Rb1b13ba79c7d4f95"/>
  </x:tableParts>
</x:worksheet>
</file>

<file path=xl/worksheets/sheet5.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62" hidden="0" customWidth="1"/>
  </x:cols>
  <x:sheetData>
    <x:row r="1" ht="28.799999237060547" hidden="0" customHeight="1">
      <x:c r="A1" s="9" t="str">
        <x:v>Pricing Waterfall</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38" t="str">
        <x:v>Waterfall Step</x:v>
      </x:c>
      <x:c r="B3" s="38" t="str">
        <x:v>Amount ($)</x:v>
      </x:c>
      <x:c r="C3" s="38" t="str">
        <x:v>% of Gross Revenue</x:v>
      </x:c>
      <x:c r="D3" s="38" t="str">
        <x:v>Formula / Interpretation</x:v>
      </x:c>
      <x:c r="E3" s="4"/>
      <x:c r="F3" s="4"/>
      <x:c r="G3" s="4"/>
      <x:c r="H3" s="4"/>
      <x:c r="I3" s="4"/>
      <x:c r="J3" s="4"/>
      <x:c r="K3" s="4"/>
      <x:c r="L3" s="4"/>
      <x:c r="M3" s="4"/>
      <x:c r="N3" s="4"/>
      <x:c r="O3" s="4"/>
      <x:c r="P3" s="4"/>
      <x:c r="Q3" s="4"/>
      <x:c r="R3" s="4"/>
      <x:c r="S3" s="4"/>
      <x:c r="T3" s="4"/>
      <x:c r="U3" s="4"/>
      <x:c r="V3" s="4"/>
      <x:c r="W3" s="4"/>
      <x:c r="X3" s="4"/>
      <x:c r="Y3" s="4"/>
      <x:c r="Z3" s="4"/>
    </x:row>
    <x:row r="4" ht="15" hidden="0" customHeight="1">
      <x:c r="A4" s="36" t="str">
        <x:v>Gross List Revenue</x:v>
      </x:c>
      <x:c r="B4" s="94" t="n">
        <x:f>SUM(Customer_SKU_Data!O4:O123)</x:f>
        <x:v>2168795</x:v>
      </x:c>
      <x:c r="C4" s="96" t="n">
        <x:f>B4/$B$4</x:f>
        <x:v>1</x:v>
      </x:c>
      <x:c r="D4" s="36" t="str">
        <x:v>List price × units before discounts and leakage</x:v>
      </x:c>
      <x:c r="E4" s="4"/>
      <x:c r="F4" s="4"/>
      <x:c r="G4" s="4"/>
      <x:c r="H4" s="4"/>
      <x:c r="I4" s="4"/>
      <x:c r="J4" s="4"/>
      <x:c r="K4" s="4"/>
      <x:c r="L4" s="4"/>
      <x:c r="M4" s="4"/>
      <x:c r="N4" s="4"/>
      <x:c r="O4" s="4"/>
      <x:c r="P4" s="4"/>
      <x:c r="Q4" s="4"/>
      <x:c r="R4" s="4"/>
      <x:c r="S4" s="4"/>
      <x:c r="T4" s="4"/>
      <x:c r="U4" s="4"/>
      <x:c r="V4" s="4"/>
      <x:c r="W4" s="4"/>
      <x:c r="X4" s="4"/>
      <x:c r="Y4" s="4"/>
      <x:c r="Z4" s="4"/>
    </x:row>
    <x:row r="5" ht="15" hidden="0" customHeight="1">
      <x:c r="A5" s="36" t="str">
        <x:v>Contract Discounts</x:v>
      </x:c>
      <x:c r="B5" s="94" t="n">
        <x:f>-SUM(Customer_SKU_Data!P4:P123)</x:f>
        <x:v>-188064.8905487378</x:v>
      </x:c>
      <x:c r="C5" s="96" t="n">
        <x:f>B5/$B$4</x:f>
        <x:v>-0.08671400042361671</x:v>
      </x:c>
      <x:c r="D5" s="36" t="str">
        <x:v>Discounts embedded in contract terms</x:v>
      </x:c>
      <x:c r="E5" s="4"/>
      <x:c r="F5" s="4"/>
      <x:c r="G5" s="4"/>
      <x:c r="H5" s="4"/>
      <x:c r="I5" s="4"/>
      <x:c r="J5" s="4"/>
      <x:c r="K5" s="4"/>
      <x:c r="L5" s="4"/>
      <x:c r="M5" s="4"/>
      <x:c r="N5" s="4"/>
      <x:c r="O5" s="4"/>
      <x:c r="P5" s="4"/>
      <x:c r="Q5" s="4"/>
      <x:c r="R5" s="4"/>
      <x:c r="S5" s="4"/>
      <x:c r="T5" s="4"/>
      <x:c r="U5" s="4"/>
      <x:c r="V5" s="4"/>
      <x:c r="W5" s="4"/>
      <x:c r="X5" s="4"/>
      <x:c r="Y5" s="4"/>
      <x:c r="Z5" s="4"/>
    </x:row>
    <x:row r="6" ht="15" hidden="0" customHeight="1">
      <x:c r="A6" s="36" t="str">
        <x:v>Promo Discounts</x:v>
      </x:c>
      <x:c r="B6" s="94" t="n">
        <x:f>-SUM(Customer_SKU_Data!Q4:Q123)</x:f>
        <x:v>-74462.76709884065</x:v>
      </x:c>
      <x:c r="C6" s="96" t="n">
        <x:f>B6/$B$4</x:f>
        <x:v>-0.03433370470645711</x:v>
      </x:c>
      <x:c r="D6" s="36" t="str">
        <x:v>Temporary or discretionary promotional discounts</x:v>
      </x:c>
      <x:c r="E6" s="4"/>
      <x:c r="F6" s="4"/>
      <x:c r="G6" s="4"/>
      <x:c r="H6" s="4"/>
      <x:c r="I6" s="4"/>
      <x:c r="J6" s="4"/>
      <x:c r="K6" s="4"/>
      <x:c r="L6" s="4"/>
      <x:c r="M6" s="4"/>
      <x:c r="N6" s="4"/>
      <x:c r="O6" s="4"/>
      <x:c r="P6" s="4"/>
      <x:c r="Q6" s="4"/>
      <x:c r="R6" s="4"/>
      <x:c r="S6" s="4"/>
      <x:c r="T6" s="4"/>
      <x:c r="U6" s="4"/>
      <x:c r="V6" s="4"/>
      <x:c r="W6" s="4"/>
      <x:c r="X6" s="4"/>
      <x:c r="Y6" s="4"/>
      <x:c r="Z6" s="4"/>
    </x:row>
    <x:row r="7" ht="15" hidden="0" customHeight="1">
      <x:c r="A7" s="36" t="str">
        <x:v>Rebates</x:v>
      </x:c>
      <x:c r="B7" s="94" t="n">
        <x:f>-SUM(Customer_SKU_Data!R4:R123)</x:f>
        <x:v>-52033.69683579913</x:v>
      </x:c>
      <x:c r="C7" s="96" t="n">
        <x:f>B7/$B$4</x:f>
        <x:v>-0.023991984874457535</x:v>
      </x:c>
      <x:c r="D7" s="36" t="str">
        <x:v>Customer rebates and credits</x:v>
      </x:c>
      <x:c r="E7" s="4"/>
      <x:c r="F7" s="4"/>
      <x:c r="G7" s="4"/>
      <x:c r="H7" s="4"/>
      <x:c r="I7" s="4"/>
      <x:c r="J7" s="4"/>
      <x:c r="K7" s="4"/>
      <x:c r="L7" s="4"/>
      <x:c r="M7" s="4"/>
      <x:c r="N7" s="4"/>
      <x:c r="O7" s="4"/>
      <x:c r="P7" s="4"/>
      <x:c r="Q7" s="4"/>
      <x:c r="R7" s="4"/>
      <x:c r="S7" s="4"/>
      <x:c r="T7" s="4"/>
      <x:c r="U7" s="4"/>
      <x:c r="V7" s="4"/>
      <x:c r="W7" s="4"/>
      <x:c r="X7" s="4"/>
      <x:c r="Y7" s="4"/>
      <x:c r="Z7" s="4"/>
    </x:row>
    <x:row r="8" ht="15" hidden="0" customHeight="1">
      <x:c r="A8" s="36" t="str">
        <x:v>Freight Absorption</x:v>
      </x:c>
      <x:c r="B8" s="94" t="n">
        <x:f>-SUM(Customer_SKU_Data!M4:M123)</x:f>
        <x:v>-12297.450239824904</x:v>
      </x:c>
      <x:c r="C8" s="96" t="n">
        <x:f>B8/$B$4</x:f>
        <x:v>-0.005670176406633593</x:v>
      </x:c>
      <x:c r="D8" s="36" t="str">
        <x:v>Freight / shipping cost absorbed by seller</x:v>
      </x:c>
      <x:c r="E8" s="4"/>
      <x:c r="F8" s="4"/>
      <x:c r="G8" s="4"/>
      <x:c r="H8" s="4"/>
      <x:c r="I8" s="4"/>
      <x:c r="J8" s="4"/>
      <x:c r="K8" s="4"/>
      <x:c r="L8" s="4"/>
      <x:c r="M8" s="4"/>
      <x:c r="N8" s="4"/>
      <x:c r="O8" s="4"/>
      <x:c r="P8" s="4"/>
      <x:c r="Q8" s="4"/>
      <x:c r="R8" s="4"/>
      <x:c r="S8" s="4"/>
      <x:c r="T8" s="4"/>
      <x:c r="U8" s="4"/>
      <x:c r="V8" s="4"/>
      <x:c r="W8" s="4"/>
      <x:c r="X8" s="4"/>
      <x:c r="Y8" s="4"/>
      <x:c r="Z8" s="4"/>
    </x:row>
    <x:row r="9" ht="15" hidden="0" customHeight="1">
      <x:c r="A9" s="101" t="str">
        <x:v>Pocket Revenue</x:v>
      </x:c>
      <x:c r="B9" s="102" t="n">
        <x:f>SUM(B4:B8)</x:f>
        <x:v>1841936.1952767977</x:v>
      </x:c>
      <x:c r="C9" s="103" t="n">
        <x:f>B9/$B$4</x:f>
        <x:v>0.8492901335888352</x:v>
      </x:c>
      <x:c r="D9" s="101" t="str">
        <x:v>Revenue retained after visible leakage</x:v>
      </x:c>
      <x:c r="E9" s="4"/>
      <x:c r="F9" s="4"/>
      <x:c r="G9" s="4"/>
      <x:c r="H9" s="4"/>
      <x:c r="I9" s="4"/>
      <x:c r="J9" s="4"/>
      <x:c r="K9" s="4"/>
      <x:c r="L9" s="4"/>
      <x:c r="M9" s="4"/>
      <x:c r="N9" s="4"/>
      <x:c r="O9" s="4"/>
      <x:c r="P9" s="4"/>
      <x:c r="Q9" s="4"/>
      <x:c r="R9" s="4"/>
      <x:c r="S9" s="4"/>
      <x:c r="T9" s="4"/>
      <x:c r="U9" s="4"/>
      <x:c r="V9" s="4"/>
      <x:c r="W9" s="4"/>
      <x:c r="X9" s="4"/>
      <x:c r="Y9" s="4"/>
      <x:c r="Z9" s="4"/>
    </x:row>
    <x:row r="10" ht="15" hidden="0" customHeight="1">
      <x:c r="A10" s="36" t="str">
        <x:v>Standard Cost</x:v>
      </x:c>
      <x:c r="B10" s="94" t="n">
        <x:f>-SUM(Customer_SKU_Data!T4:T123)</x:f>
        <x:v>-1025129</x:v>
      </x:c>
      <x:c r="C10" s="96" t="n">
        <x:f>B10/$B$4</x:f>
        <x:v>-0.4726721520475656</x:v>
      </x:c>
      <x:c r="D10" s="36" t="str">
        <x:v>Cost at transaction-level standard cost</x:v>
      </x:c>
      <x:c r="E10" s="4"/>
      <x:c r="F10" s="4"/>
      <x:c r="G10" s="4"/>
      <x:c r="H10" s="4"/>
      <x:c r="I10" s="4"/>
      <x:c r="J10" s="4"/>
      <x:c r="K10" s="4"/>
      <x:c r="L10" s="4"/>
      <x:c r="M10" s="4"/>
      <x:c r="N10" s="4"/>
      <x:c r="O10" s="4"/>
      <x:c r="P10" s="4"/>
      <x:c r="Q10" s="4"/>
      <x:c r="R10" s="4"/>
      <x:c r="S10" s="4"/>
      <x:c r="T10" s="4"/>
      <x:c r="U10" s="4"/>
      <x:c r="V10" s="4"/>
      <x:c r="W10" s="4"/>
      <x:c r="X10" s="4"/>
      <x:c r="Y10" s="4"/>
      <x:c r="Z10" s="4"/>
    </x:row>
    <x:row r="11" ht="15" hidden="0" customHeight="1">
      <x:c r="A11" s="101" t="str">
        <x:v>Pocket Gross Margin</x:v>
      </x:c>
      <x:c r="B11" s="102" t="n">
        <x:f>B9+B10</x:f>
        <x:v>816807.1952767977</x:v>
      </x:c>
      <x:c r="C11" s="103" t="n">
        <x:f>B11/$B$4</x:f>
        <x:v>0.3766179815412696</x:v>
      </x:c>
      <x:c r="D11" s="101" t="str">
        <x:v>Gross margin after pricing leakage and cost</x:v>
      </x:c>
      <x:c r="E11" s="4"/>
      <x:c r="F11" s="4"/>
      <x:c r="G11" s="4"/>
      <x:c r="H11" s="4"/>
      <x:c r="I11" s="4"/>
      <x:c r="J11" s="4"/>
      <x:c r="K11" s="4"/>
      <x:c r="L11" s="4"/>
      <x:c r="M11" s="4"/>
      <x:c r="N11" s="4"/>
      <x:c r="O11" s="4"/>
      <x:c r="P11" s="4"/>
      <x:c r="Q11" s="4"/>
      <x:c r="R11" s="4"/>
      <x:c r="S11" s="4"/>
      <x:c r="T11" s="4"/>
      <x:c r="U11" s="4"/>
      <x:c r="V11" s="4"/>
      <x:c r="W11" s="4"/>
      <x:c r="X11" s="4"/>
      <x:c r="Y11" s="4"/>
      <x:c r="Z11" s="4"/>
    </x:row>
    <x:row r="12" ht="15" hidden="0" customHeight="1">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ht="15" hidden="0" customHeight="1">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ht="15" hidden="0" customHeight="1">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ht="15" hidden="0" customHeight="1">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ht="15" hidden="0" customHeight="1">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ht="15" hidden="0" customHeight="1">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5" hidden="0" customHeight="1">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5" hidden="0" customHeight="1">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5" hidden="0" customHeight="1">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 hidden="0"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 hidden="0"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 hidden="0"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 hidden="0"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 hidden="0"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 hidden="0"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 hidden="0"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 hidden="0"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 hidden="0"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 hidden="0"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 hidden="0"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 hidden="0"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 hidden="0"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 hidden="0"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 hidden="0"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 hidden="0"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 hidden="0"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 hidden="0"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 hidden="0"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 hidden="0"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 hidden="0"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 hidden="0"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 hidden="0"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 hidden="0"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 hidden="0"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 hidden="0"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 hidden="0"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 hidden="0"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 hidden="0"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 hidden="0"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pageMargins left="0.7" right="0.7" top="0.75" bottom="0.75" header="0.3" footer="0.3"/>
  <x:tableParts count="1">
    <x:tablePart xmlns:r="http://schemas.openxmlformats.org/officeDocument/2006/relationships" r:id="R15a6362809734b22"/>
  </x:tableParts>
</x:worksheet>
</file>

<file path=xl/worksheets/sheet6.xml><?xml version="1.0" encoding="utf-8"?>
<x:worksheet xmlns:x="http://schemas.openxmlformats.org/spreadsheetml/2006/main">
  <x:sheetFormatPr defaultRowHeight="15"/>
  <x:cols>
    <x:col min="1" max="1" width="22" hidden="0" customWidth="1"/>
    <x:col min="2" max="2" width="14" hidden="0" customWidth="1"/>
    <x:col min="3" max="3" width="12" hidden="0" customWidth="1"/>
    <x:col min="4" max="4" width="12" hidden="0" customWidth="1"/>
    <x:col min="5" max="5" width="16" hidden="0" customWidth="1"/>
    <x:col min="6" max="6" width="16" hidden="0" customWidth="1"/>
    <x:col min="7" max="7" width="16" hidden="0" customWidth="1"/>
    <x:col min="8" max="8" width="15" hidden="0" customWidth="1"/>
    <x:col min="9" max="9" width="16" hidden="0" customWidth="1"/>
    <x:col min="10" max="10" width="15" hidden="0" customWidth="1"/>
    <x:col min="11" max="11" width="19" hidden="0" customWidth="1"/>
    <x:col min="12" max="12" width="24" hidden="0" customWidth="1"/>
  </x:cols>
  <x:sheetData>
    <x:row r="1" ht="28.799999237060547" hidden="0" customHeight="1">
      <x:c r="A1" s="9" t="str">
        <x:v>Customer Margin &amp; Leakage Segmentation</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52" t="str">
        <x:v>Customer</x:v>
      </x:c>
      <x:c r="B3" s="52" t="str">
        <x:v>Segment</x:v>
      </x:c>
      <x:c r="C3" s="52" t="str">
        <x:v>Transactions</x:v>
      </x:c>
      <x:c r="D3" s="52" t="str">
        <x:v>Units</x:v>
      </x:c>
      <x:c r="E3" s="52" t="str">
        <x:v>Gross Revenue ($)</x:v>
      </x:c>
      <x:c r="F3" s="52" t="str">
        <x:v>Net Revenue ($)</x:v>
      </x:c>
      <x:c r="G3" s="52" t="str">
        <x:v>Gross Margin ($)</x:v>
      </x:c>
      <x:c r="H3" s="52" t="str">
        <x:v>Pocket Margin %</x:v>
      </x:c>
      <x:c r="I3" s="52" t="str">
        <x:v>Total Leakage ($)</x:v>
      </x:c>
      <x:c r="J3" s="52" t="str">
        <x:v>Leakage Rate %</x:v>
      </x:c>
      <x:c r="K3" s="52" t="str">
        <x:v>Avg Contract Discount %</x:v>
      </x:c>
      <x:c r="L3" s="52" t="str">
        <x:v>Suggested Action</x:v>
      </x:c>
      <x:c r="M3" s="4"/>
      <x:c r="N3" s="4"/>
      <x:c r="O3" s="4"/>
      <x:c r="P3" s="4"/>
      <x:c r="Q3" s="4"/>
      <x:c r="R3" s="4"/>
      <x:c r="S3" s="4"/>
      <x:c r="T3" s="4"/>
      <x:c r="U3" s="4"/>
      <x:c r="V3" s="4"/>
      <x:c r="W3" s="4"/>
      <x:c r="X3" s="4"/>
      <x:c r="Y3" s="4"/>
      <x:c r="Z3" s="4"/>
    </x:row>
    <x:row r="4" ht="15" hidden="0" customHeight="1">
      <x:c r="A4" s="16" t="str">
        <x:v>Acme Health</x:v>
      </x:c>
      <x:c r="B4" s="16" t="str">
        <x:v>Enterprise</x:v>
      </x:c>
      <x:c r="C4" s="110" t="n">
        <x:f>COUNTIF(Customer_SKU_Data!$C$4:$C$123,A4)</x:f>
        <x:v>7</x:v>
      </x:c>
      <x:c r="D4" s="110" t="n">
        <x:f>SUMIF(Customer_SKU_Data!$C$4:$C$123,A4,Customer_SKU_Data!$G$4:$G$123)</x:f>
        <x:v>468</x:v>
      </x:c>
      <x:c r="E4" s="112" t="n">
        <x:f>SUMIF(Customer_SKU_Data!$C$4:$C$123,A4,Customer_SKU_Data!$O$4:$O$123)</x:f>
        <x:v>169175</x:v>
      </x:c>
      <x:c r="F4" s="112" t="n">
        <x:f>SUMIF(Customer_SKU_Data!$C$4:$C$123,A4,Customer_SKU_Data!$S$4:$S$123)</x:f>
        <x:v>139013.69337635188</x:v>
      </x:c>
      <x:c r="G4" s="112" t="n">
        <x:f>SUMIF(Customer_SKU_Data!$C$4:$C$123,A4,Customer_SKU_Data!$U$4:$U$123)</x:f>
        <x:v>61179.693376351875</x:v>
      </x:c>
      <x:c r="H4" s="114" t="n">
        <x:f>IFERROR(G4/F4,0)</x:f>
        <x:v>0.4400983233408528</x:v>
      </x:c>
      <x:c r="I4" s="112" t="n">
        <x:f>SUMIF(Customer_SKU_Data!$C$4:$C$123,A4,Customer_SKU_Data!$W$4:$W$123)</x:f>
        <x:v>30161.30662364813</x:v>
      </x:c>
      <x:c r="J4" s="114" t="n">
        <x:f>IFERROR(I4/E4,0)</x:f>
        <x:v>0.17828465567399515</x:v>
      </x:c>
      <x:c r="K4" s="114" t="n">
        <x:f>IFERROR(SUMIF(Customer_SKU_Data!$C$4:$C$123,A4,Customer_SKU_Data!$P$4:$P$123)/E4,0)</x:f>
        <x:v>0.11060337945368057</x:v>
      </x:c>
      <x:c r="L4" s="16" t="str">
        <x:f>IF(AND(H4&lt;Inputs!$B$12,J4&gt;Inputs!$B$13),"Priority pricing review",IF(H4&lt;Inputs!$B$12,"Fix margin",IF(J4&gt;Inputs!$B$13,"Reduce leakage","Monitor")))</x:f>
        <x:v>Reduce leakage</x:v>
      </x:c>
      <x:c r="M4" s="4"/>
      <x:c r="N4" s="4"/>
      <x:c r="O4" s="4"/>
      <x:c r="P4" s="4"/>
      <x:c r="Q4" s="4"/>
      <x:c r="R4" s="4"/>
      <x:c r="S4" s="4"/>
      <x:c r="T4" s="4"/>
      <x:c r="U4" s="4"/>
      <x:c r="V4" s="4"/>
      <x:c r="W4" s="4"/>
      <x:c r="X4" s="4"/>
      <x:c r="Y4" s="4"/>
      <x:c r="Z4" s="4"/>
    </x:row>
    <x:row r="5" ht="15" hidden="0" customHeight="1">
      <x:c r="A5" s="16" t="str">
        <x:v>Boreal Clinics</x:v>
      </x:c>
      <x:c r="B5" s="16" t="str">
        <x:v>Enterprise</x:v>
      </x:c>
      <x:c r="C5" s="110" t="n">
        <x:f>COUNTIF(Customer_SKU_Data!$C$4:$C$123,A5)</x:f>
        <x:v>12</x:v>
      </x:c>
      <x:c r="D5" s="110" t="n">
        <x:f>SUMIF(Customer_SKU_Data!$C$4:$C$123,A5,Customer_SKU_Data!$G$4:$G$123)</x:f>
        <x:v>908</x:v>
      </x:c>
      <x:c r="E5" s="112" t="n">
        <x:f>SUMIF(Customer_SKU_Data!$C$4:$C$123,A5,Customer_SKU_Data!$O$4:$O$123)</x:f>
        <x:v>219825</x:v>
      </x:c>
      <x:c r="F5" s="112" t="n">
        <x:f>SUMIF(Customer_SKU_Data!$C$4:$C$123,A5,Customer_SKU_Data!$S$4:$S$123)</x:f>
        <x:v>182246.5507218645</x:v>
      </x:c>
      <x:c r="G5" s="112" t="n">
        <x:f>SUMIF(Customer_SKU_Data!$C$4:$C$123,A5,Customer_SKU_Data!$U$4:$U$123)</x:f>
        <x:v>72933.55072186448</x:v>
      </x:c>
      <x:c r="H5" s="114" t="n">
        <x:f>IFERROR(G5/F5,0)</x:f>
        <x:v>0.40019166581194715</x:v>
      </x:c>
      <x:c r="I5" s="112" t="n">
        <x:f>SUMIF(Customer_SKU_Data!$C$4:$C$123,A5,Customer_SKU_Data!$W$4:$W$123)</x:f>
        <x:v>37578.44927813551</x:v>
      </x:c>
      <x:c r="J5" s="114" t="n">
        <x:f>IFERROR(I5/E5,0)</x:f>
        <x:v>0.1709471137410918</x:v>
      </x:c>
      <x:c r="K5" s="114" t="n">
        <x:f>IFERROR(SUMIF(Customer_SKU_Data!$C$4:$C$123,A5,Customer_SKU_Data!$P$4:$P$123)/E5,0)</x:f>
        <x:v>0.10818641157340636</x:v>
      </x:c>
      <x:c r="L5" s="16" t="str">
        <x:f>IF(AND(H5&lt;Inputs!$B$12,J5&gt;Inputs!$B$13),"Priority pricing review",IF(H5&lt;Inputs!$B$12,"Fix margin",IF(J5&gt;Inputs!$B$13,"Reduce leakage","Monitor")))</x:f>
        <x:v>Reduce leakage</x:v>
      </x:c>
      <x:c r="M5" s="4"/>
      <x:c r="N5" s="4"/>
      <x:c r="O5" s="4"/>
      <x:c r="P5" s="4"/>
      <x:c r="Q5" s="4"/>
      <x:c r="R5" s="4"/>
      <x:c r="S5" s="4"/>
      <x:c r="T5" s="4"/>
      <x:c r="U5" s="4"/>
      <x:c r="V5" s="4"/>
      <x:c r="W5" s="4"/>
      <x:c r="X5" s="4"/>
      <x:c r="Y5" s="4"/>
      <x:c r="Z5" s="4"/>
    </x:row>
    <x:row r="6" ht="15" hidden="0" customHeight="1">
      <x:c r="A6" s="16" t="str">
        <x:v>Cobalt Services</x:v>
      </x:c>
      <x:c r="B6" s="16" t="str">
        <x:v>Mid-Market</x:v>
      </x:c>
      <x:c r="C6" s="110" t="n">
        <x:f>COUNTIF(Customer_SKU_Data!$C$4:$C$123,A6)</x:f>
        <x:v>9</x:v>
      </x:c>
      <x:c r="D6" s="110" t="n">
        <x:f>SUMIF(Customer_SKU_Data!$C$4:$C$123,A6,Customer_SKU_Data!$G$4:$G$123)</x:f>
        <x:v>690</x:v>
      </x:c>
      <x:c r="E6" s="112" t="n">
        <x:f>SUMIF(Customer_SKU_Data!$C$4:$C$123,A6,Customer_SKU_Data!$O$4:$O$123)</x:f>
        <x:v>193075</x:v>
      </x:c>
      <x:c r="F6" s="112" t="n">
        <x:f>SUMIF(Customer_SKU_Data!$C$4:$C$123,A6,Customer_SKU_Data!$S$4:$S$123)</x:f>
        <x:v>162236.40209608455</x:v>
      </x:c>
      <x:c r="G6" s="112" t="n">
        <x:f>SUMIF(Customer_SKU_Data!$C$4:$C$123,A6,Customer_SKU_Data!$U$4:$U$123)</x:f>
        <x:v>70523.40209608455</x:v>
      </x:c>
      <x:c r="H6" s="114" t="n">
        <x:f>IFERROR(G6/F6,0)</x:f>
        <x:v>0.43469530379696814</x:v>
      </x:c>
      <x:c r="I6" s="112" t="n">
        <x:f>SUMIF(Customer_SKU_Data!$C$4:$C$123,A6,Customer_SKU_Data!$W$4:$W$123)</x:f>
        <x:v>30838.597903915444</x:v>
      </x:c>
      <x:c r="J6" s="114" t="n">
        <x:f>IFERROR(I6/E6,0)</x:f>
        <x:v>0.15972341268375215</x:v>
      </x:c>
      <x:c r="K6" s="114" t="n">
        <x:f>IFERROR(SUMIF(Customer_SKU_Data!$C$4:$C$123,A6,Customer_SKU_Data!$P$4:$P$123)/E6,0)</x:f>
        <x:v>0.0900583880155926</x:v>
      </x:c>
      <x:c r="L6" s="16" t="str">
        <x:f>IF(AND(H6&lt;Inputs!$B$12,J6&gt;Inputs!$B$13),"Priority pricing review",IF(H6&lt;Inputs!$B$12,"Fix margin",IF(J6&gt;Inputs!$B$13,"Reduce leakage","Monitor")))</x:f>
        <x:v>Reduce leakage</x:v>
      </x:c>
      <x:c r="M6" s="4"/>
      <x:c r="N6" s="4"/>
      <x:c r="O6" s="4"/>
      <x:c r="P6" s="4"/>
      <x:c r="Q6" s="4"/>
      <x:c r="R6" s="4"/>
      <x:c r="S6" s="4"/>
      <x:c r="T6" s="4"/>
      <x:c r="U6" s="4"/>
      <x:c r="V6" s="4"/>
      <x:c r="W6" s="4"/>
      <x:c r="X6" s="4"/>
      <x:c r="Y6" s="4"/>
      <x:c r="Z6" s="4"/>
    </x:row>
    <x:row r="7" ht="15" hidden="0" customHeight="1">
      <x:c r="A7" s="16" t="str">
        <x:v>Delta Dental Group</x:v>
      </x:c>
      <x:c r="B7" s="16" t="str">
        <x:v>Enterprise</x:v>
      </x:c>
      <x:c r="C7" s="110" t="n">
        <x:f>COUNTIF(Customer_SKU_Data!$C$4:$C$123,A7)</x:f>
        <x:v>5</x:v>
      </x:c>
      <x:c r="D7" s="110" t="n">
        <x:f>SUMIF(Customer_SKU_Data!$C$4:$C$123,A7,Customer_SKU_Data!$G$4:$G$123)</x:f>
        <x:v>389</x:v>
      </x:c>
      <x:c r="E7" s="112" t="n">
        <x:f>SUMIF(Customer_SKU_Data!$C$4:$C$123,A7,Customer_SKU_Data!$O$4:$O$123)</x:f>
        <x:v>93000</x:v>
      </x:c>
      <x:c r="F7" s="112" t="n">
        <x:f>SUMIF(Customer_SKU_Data!$C$4:$C$123,A7,Customer_SKU_Data!$S$4:$S$123)</x:f>
        <x:v>75029.64371824739</x:v>
      </x:c>
      <x:c r="G7" s="112" t="n">
        <x:f>SUMIF(Customer_SKU_Data!$C$4:$C$123,A7,Customer_SKU_Data!$U$4:$U$123)</x:f>
        <x:v>32307.64371824739</x:v>
      </x:c>
      <x:c r="H7" s="114" t="n">
        <x:f>IFERROR(G7/F7,0)</x:f>
        <x:v>0.43059838907898335</x:v>
      </x:c>
      <x:c r="I7" s="112" t="n">
        <x:f>SUMIF(Customer_SKU_Data!$C$4:$C$123,A7,Customer_SKU_Data!$W$4:$W$123)</x:f>
        <x:v>17970.356281752618</x:v>
      </x:c>
      <x:c r="J7" s="114" t="n">
        <x:f>IFERROR(I7/E7,0)</x:f>
        <x:v>0.1932296374382002</x:v>
      </x:c>
      <x:c r="K7" s="114" t="n">
        <x:f>IFERROR(SUMIF(Customer_SKU_Data!$C$4:$C$123,A7,Customer_SKU_Data!$P$4:$P$123)/E7,0)</x:f>
        <x:v>0.12974795514995105</x:v>
      </x:c>
      <x:c r="L7" s="16" t="str">
        <x:f>IF(AND(H7&lt;Inputs!$B$12,J7&gt;Inputs!$B$13),"Priority pricing review",IF(H7&lt;Inputs!$B$12,"Fix margin",IF(J7&gt;Inputs!$B$13,"Reduce leakage","Monitor")))</x:f>
        <x:v>Reduce leakage</x:v>
      </x:c>
      <x:c r="M7" s="4"/>
      <x:c r="N7" s="4"/>
      <x:c r="O7" s="4"/>
      <x:c r="P7" s="4"/>
      <x:c r="Q7" s="4"/>
      <x:c r="R7" s="4"/>
      <x:c r="S7" s="4"/>
      <x:c r="T7" s="4"/>
      <x:c r="U7" s="4"/>
      <x:c r="V7" s="4"/>
      <x:c r="W7" s="4"/>
      <x:c r="X7" s="4"/>
      <x:c r="Y7" s="4"/>
      <x:c r="Z7" s="4"/>
    </x:row>
    <x:row r="8" ht="15" hidden="0" customHeight="1">
      <x:c r="A8" s="16" t="str">
        <x:v>Evergreen Rehab</x:v>
      </x:c>
      <x:c r="B8" s="16" t="str">
        <x:v>Mid-Market</x:v>
      </x:c>
      <x:c r="C8" s="110" t="n">
        <x:f>COUNTIF(Customer_SKU_Data!$C$4:$C$123,A8)</x:f>
        <x:v>11</x:v>
      </x:c>
      <x:c r="D8" s="110" t="n">
        <x:f>SUMIF(Customer_SKU_Data!$C$4:$C$123,A8,Customer_SKU_Data!$G$4:$G$123)</x:f>
        <x:v>807</x:v>
      </x:c>
      <x:c r="E8" s="112" t="n">
        <x:f>SUMIF(Customer_SKU_Data!$C$4:$C$123,A8,Customer_SKU_Data!$O$4:$O$123)</x:f>
        <x:v>171175</x:v>
      </x:c>
      <x:c r="F8" s="112" t="n">
        <x:f>SUMIF(Customer_SKU_Data!$C$4:$C$123,A8,Customer_SKU_Data!$S$4:$S$123)</x:f>
        <x:v>145921.451056762</x:v>
      </x:c>
      <x:c r="G8" s="112" t="n">
        <x:f>SUMIF(Customer_SKU_Data!$C$4:$C$123,A8,Customer_SKU_Data!$U$4:$U$123)</x:f>
        <x:v>58745.45105676199</x:v>
      </x:c>
      <x:c r="H8" s="114" t="n">
        <x:f>IFERROR(G8/F8,0)</x:f>
        <x:v>0.40258269521943413</x:v>
      </x:c>
      <x:c r="I8" s="112" t="n">
        <x:f>SUMIF(Customer_SKU_Data!$C$4:$C$123,A8,Customer_SKU_Data!$W$4:$W$123)</x:f>
        <x:v>25253.548943238013</x:v>
      </x:c>
      <x:c r="J8" s="114" t="n">
        <x:f>IFERROR(I8/E8,0)</x:f>
        <x:v>0.1475305911683249</x:v>
      </x:c>
      <x:c r="K8" s="114" t="n">
        <x:f>IFERROR(SUMIF(Customer_SKU_Data!$C$4:$C$123,A8,Customer_SKU_Data!$P$4:$P$123)/E8,0)</x:f>
        <x:v>0.08591658830230475</x:v>
      </x:c>
      <x:c r="L8" s="16" t="str">
        <x:f>IF(AND(H8&lt;Inputs!$B$12,J8&gt;Inputs!$B$13),"Priority pricing review",IF(H8&lt;Inputs!$B$12,"Fix margin",IF(J8&gt;Inputs!$B$13,"Reduce leakage","Monitor")))</x:f>
        <x:v>Reduce leakage</x:v>
      </x:c>
      <x:c r="M8" s="4"/>
      <x:c r="N8" s="4"/>
      <x:c r="O8" s="4"/>
      <x:c r="P8" s="4"/>
      <x:c r="Q8" s="4"/>
      <x:c r="R8" s="4"/>
      <x:c r="S8" s="4"/>
      <x:c r="T8" s="4"/>
      <x:c r="U8" s="4"/>
      <x:c r="V8" s="4"/>
      <x:c r="W8" s="4"/>
      <x:c r="X8" s="4"/>
      <x:c r="Y8" s="4"/>
      <x:c r="Z8" s="4"/>
    </x:row>
    <x:row r="9" ht="15" hidden="0" customHeight="1">
      <x:c r="A9" s="16" t="str">
        <x:v>Fulton Labs</x:v>
      </x:c>
      <x:c r="B9" s="16" t="str">
        <x:v>SMB</x:v>
      </x:c>
      <x:c r="C9" s="110" t="n">
        <x:f>COUNTIF(Customer_SKU_Data!$C$4:$C$123,A9)</x:f>
        <x:v>10</x:v>
      </x:c>
      <x:c r="D9" s="110" t="n">
        <x:f>SUMIF(Customer_SKU_Data!$C$4:$C$123,A9,Customer_SKU_Data!$G$4:$G$123)</x:f>
        <x:v>673</x:v>
      </x:c>
      <x:c r="E9" s="112" t="n">
        <x:f>SUMIF(Customer_SKU_Data!$C$4:$C$123,A9,Customer_SKU_Data!$O$4:$O$123)</x:f>
        <x:v>157940</x:v>
      </x:c>
      <x:c r="F9" s="112" t="n">
        <x:f>SUMIF(Customer_SKU_Data!$C$4:$C$123,A9,Customer_SKU_Data!$S$4:$S$123)</x:f>
        <x:v>143895.2247622517</x:v>
      </x:c>
      <x:c r="G9" s="112" t="n">
        <x:f>SUMIF(Customer_SKU_Data!$C$4:$C$123,A9,Customer_SKU_Data!$U$4:$U$123)</x:f>
        <x:v>66549.2247622517</x:v>
      </x:c>
      <x:c r="H9" s="114" t="n">
        <x:f>IFERROR(G9/F9,0)</x:f>
        <x:v>0.46248390015864993</x:v>
      </x:c>
      <x:c r="I9" s="112" t="n">
        <x:f>SUMIF(Customer_SKU_Data!$C$4:$C$123,A9,Customer_SKU_Data!$W$4:$W$123)</x:f>
        <x:v>14044.775237748288</x:v>
      </x:c>
      <x:c r="J9" s="114" t="n">
        <x:f>IFERROR(I9/E9,0)</x:f>
        <x:v>0.08892475141033486</x:v>
      </x:c>
      <x:c r="K9" s="114" t="n">
        <x:f>IFERROR(SUMIF(Customer_SKU_Data!$C$4:$C$123,A9,Customer_SKU_Data!$P$4:$P$123)/E9,0)</x:f>
        <x:v>0.02383726190399715</x:v>
      </x:c>
      <x:c r="L9" s="16" t="str">
        <x:f>IF(AND(H9&lt;Inputs!$B$12,J9&gt;Inputs!$B$13),"Priority pricing review",IF(H9&lt;Inputs!$B$12,"Fix margin",IF(J9&gt;Inputs!$B$13,"Reduce leakage","Monitor")))</x:f>
        <x:v>Monitor</x:v>
      </x:c>
      <x:c r="M9" s="4"/>
      <x:c r="N9" s="4"/>
      <x:c r="O9" s="4"/>
      <x:c r="P9" s="4"/>
      <x:c r="Q9" s="4"/>
      <x:c r="R9" s="4"/>
      <x:c r="S9" s="4"/>
      <x:c r="T9" s="4"/>
      <x:c r="U9" s="4"/>
      <x:c r="V9" s="4"/>
      <x:c r="W9" s="4"/>
      <x:c r="X9" s="4"/>
      <x:c r="Y9" s="4"/>
      <x:c r="Z9" s="4"/>
    </x:row>
    <x:row r="10" ht="15" hidden="0" customHeight="1">
      <x:c r="A10" s="16" t="str">
        <x:v>Granite Medical</x:v>
      </x:c>
      <x:c r="B10" s="16" t="str">
        <x:v>Mid-Market</x:v>
      </x:c>
      <x:c r="C10" s="110" t="n">
        <x:f>COUNTIF(Customer_SKU_Data!$C$4:$C$123,A10)</x:f>
        <x:v>10</x:v>
      </x:c>
      <x:c r="D10" s="110" t="n">
        <x:f>SUMIF(Customer_SKU_Data!$C$4:$C$123,A10,Customer_SKU_Data!$G$4:$G$123)</x:f>
        <x:v>667</x:v>
      </x:c>
      <x:c r="E10" s="112" t="n">
        <x:f>SUMIF(Customer_SKU_Data!$C$4:$C$123,A10,Customer_SKU_Data!$O$4:$O$123)</x:f>
        <x:v>146595</x:v>
      </x:c>
      <x:c r="F10" s="112" t="n">
        <x:f>SUMIF(Customer_SKU_Data!$C$4:$C$123,A10,Customer_SKU_Data!$S$4:$S$123)</x:f>
        <x:v>127421.46492189364</x:v>
      </x:c>
      <x:c r="G10" s="112" t="n">
        <x:f>SUMIF(Customer_SKU_Data!$C$4:$C$123,A10,Customer_SKU_Data!$U$4:$U$123)</x:f>
        <x:v>57040.46492189363</x:v>
      </x:c>
      <x:c r="H10" s="114" t="n">
        <x:f>IFERROR(G10/F10,0)</x:f>
        <x:v>0.4476519317750592</x:v>
      </x:c>
      <x:c r="I10" s="112" t="n">
        <x:f>SUMIF(Customer_SKU_Data!$C$4:$C$123,A10,Customer_SKU_Data!$W$4:$W$123)</x:f>
        <x:v>19173.535078106368</x:v>
      </x:c>
      <x:c r="J10" s="114" t="n">
        <x:f>IFERROR(I10/E10,0)</x:f>
        <x:v>0.13079255825987496</x:v>
      </x:c>
      <x:c r="K10" s="114" t="n">
        <x:f>IFERROR(SUMIF(Customer_SKU_Data!$C$4:$C$123,A10,Customer_SKU_Data!$P$4:$P$123)/E10,0)</x:f>
        <x:v>0.07185165426556357</x:v>
      </x:c>
      <x:c r="L10" s="16" t="str">
        <x:f>IF(AND(H10&lt;Inputs!$B$12,J10&gt;Inputs!$B$13),"Priority pricing review",IF(H10&lt;Inputs!$B$12,"Fix margin",IF(J10&gt;Inputs!$B$13,"Reduce leakage","Monitor")))</x:f>
        <x:v>Reduce leakage</x:v>
      </x:c>
      <x:c r="M10" s="4"/>
      <x:c r="N10" s="4"/>
      <x:c r="O10" s="4"/>
      <x:c r="P10" s="4"/>
      <x:c r="Q10" s="4"/>
      <x:c r="R10" s="4"/>
      <x:c r="S10" s="4"/>
      <x:c r="T10" s="4"/>
      <x:c r="U10" s="4"/>
      <x:c r="V10" s="4"/>
      <x:c r="W10" s="4"/>
      <x:c r="X10" s="4"/>
      <x:c r="Y10" s="4"/>
      <x:c r="Z10" s="4"/>
    </x:row>
    <x:row r="11" ht="15" hidden="0" customHeight="1">
      <x:c r="A11" s="16" t="str">
        <x:v>Harbor Care</x:v>
      </x:c>
      <x:c r="B11" s="16" t="str">
        <x:v>Enterprise</x:v>
      </x:c>
      <x:c r="C11" s="110" t="n">
        <x:f>COUNTIF(Customer_SKU_Data!$C$4:$C$123,A11)</x:f>
        <x:v>9</x:v>
      </x:c>
      <x:c r="D11" s="110" t="n">
        <x:f>SUMIF(Customer_SKU_Data!$C$4:$C$123,A11,Customer_SKU_Data!$G$4:$G$123)</x:f>
        <x:v>782</x:v>
      </x:c>
      <x:c r="E11" s="112" t="n">
        <x:f>SUMIF(Customer_SKU_Data!$C$4:$C$123,A11,Customer_SKU_Data!$O$4:$O$123)</x:f>
        <x:v>267430</x:v>
      </x:c>
      <x:c r="F11" s="112" t="n">
        <x:f>SUMIF(Customer_SKU_Data!$C$4:$C$123,A11,Customer_SKU_Data!$S$4:$S$123)</x:f>
        <x:v>217953.6584124916</x:v>
      </x:c>
      <x:c r="G11" s="112" t="n">
        <x:f>SUMIF(Customer_SKU_Data!$C$4:$C$123,A11,Customer_SKU_Data!$U$4:$U$123)</x:f>
        <x:v>101141.6584124916</x:v>
      </x:c>
      <x:c r="H11" s="114" t="n">
        <x:f>IFERROR(G11/F11,0)</x:f>
        <x:v>0.4640512077162493</x:v>
      </x:c>
      <x:c r="I11" s="112" t="n">
        <x:f>SUMIF(Customer_SKU_Data!$C$4:$C$123,A11,Customer_SKU_Data!$W$4:$W$123)</x:f>
        <x:v>49476.34158750842</x:v>
      </x:c>
      <x:c r="J11" s="114" t="n">
        <x:f>IFERROR(I11/E11,0)</x:f>
        <x:v>0.18500669927647764</x:v>
      </x:c>
      <x:c r="K11" s="114" t="n">
        <x:f>IFERROR(SUMIF(Customer_SKU_Data!$C$4:$C$123,A11,Customer_SKU_Data!$P$4:$P$123)/E11,0)</x:f>
        <x:v>0.12061899751758554</x:v>
      </x:c>
      <x:c r="L11" s="16" t="str">
        <x:f>IF(AND(H11&lt;Inputs!$B$12,J11&gt;Inputs!$B$13),"Priority pricing review",IF(H11&lt;Inputs!$B$12,"Fix margin",IF(J11&gt;Inputs!$B$13,"Reduce leakage","Monitor")))</x:f>
        <x:v>Reduce leakage</x:v>
      </x:c>
      <x:c r="M11" s="4"/>
      <x:c r="N11" s="4"/>
      <x:c r="O11" s="4"/>
      <x:c r="P11" s="4"/>
      <x:c r="Q11" s="4"/>
      <x:c r="R11" s="4"/>
      <x:c r="S11" s="4"/>
      <x:c r="T11" s="4"/>
      <x:c r="U11" s="4"/>
      <x:c r="V11" s="4"/>
      <x:c r="W11" s="4"/>
      <x:c r="X11" s="4"/>
      <x:c r="Y11" s="4"/>
      <x:c r="Z11" s="4"/>
    </x:row>
    <x:row r="12" ht="15" hidden="0" customHeight="1">
      <x:c r="A12" s="16" t="str">
        <x:v>Ironwood Ops</x:v>
      </x:c>
      <x:c r="B12" s="16" t="str">
        <x:v>SMB</x:v>
      </x:c>
      <x:c r="C12" s="110" t="n">
        <x:f>COUNTIF(Customer_SKU_Data!$C$4:$C$123,A12)</x:f>
        <x:v>11</x:v>
      </x:c>
      <x:c r="D12" s="110" t="n">
        <x:f>SUMIF(Customer_SKU_Data!$C$4:$C$123,A12,Customer_SKU_Data!$G$4:$G$123)</x:f>
        <x:v>763</x:v>
      </x:c>
      <x:c r="E12" s="112" t="n">
        <x:f>SUMIF(Customer_SKU_Data!$C$4:$C$123,A12,Customer_SKU_Data!$O$4:$O$123)</x:f>
        <x:v>175590</x:v>
      </x:c>
      <x:c r="F12" s="112" t="n">
        <x:f>SUMIF(Customer_SKU_Data!$C$4:$C$123,A12,Customer_SKU_Data!$S$4:$S$123)</x:f>
        <x:v>156072.06631070576</x:v>
      </x:c>
      <x:c r="G12" s="112" t="n">
        <x:f>SUMIF(Customer_SKU_Data!$C$4:$C$123,A12,Customer_SKU_Data!$U$4:$U$123)</x:f>
        <x:v>72895.06631070576</x:v>
      </x:c>
      <x:c r="H12" s="114" t="n">
        <x:f>IFERROR(G12/F12,0)</x:f>
        <x:v>0.46706030126869363</x:v>
      </x:c>
      <x:c r="I12" s="112" t="n">
        <x:f>SUMIF(Customer_SKU_Data!$C$4:$C$123,A12,Customer_SKU_Data!$W$4:$W$123)</x:f>
        <x:v>19517.933689294245</x:v>
      </x:c>
      <x:c r="J12" s="114" t="n">
        <x:f>IFERROR(I12/E12,0)</x:f>
        <x:v>0.11115629414712823</x:v>
      </x:c>
      <x:c r="K12" s="114" t="n">
        <x:f>IFERROR(SUMIF(Customer_SKU_Data!$C$4:$C$123,A12,Customer_SKU_Data!$P$4:$P$123)/E12,0)</x:f>
        <x:v>0.04506179916003687</x:v>
      </x:c>
      <x:c r="L12" s="16" t="str">
        <x:f>IF(AND(H12&lt;Inputs!$B$12,J12&gt;Inputs!$B$13),"Priority pricing review",IF(H12&lt;Inputs!$B$12,"Fix margin",IF(J12&gt;Inputs!$B$13,"Reduce leakage","Monitor")))</x:f>
        <x:v>Monitor</x:v>
      </x:c>
      <x:c r="M12" s="4"/>
      <x:c r="N12" s="4"/>
      <x:c r="O12" s="4"/>
      <x:c r="P12" s="4"/>
      <x:c r="Q12" s="4"/>
      <x:c r="R12" s="4"/>
      <x:c r="S12" s="4"/>
      <x:c r="T12" s="4"/>
      <x:c r="U12" s="4"/>
      <x:c r="V12" s="4"/>
      <x:c r="W12" s="4"/>
      <x:c r="X12" s="4"/>
      <x:c r="Y12" s="4"/>
      <x:c r="Z12" s="4"/>
    </x:row>
    <x:row r="13" ht="15" hidden="0" customHeight="1">
      <x:c r="A13" s="16" t="str">
        <x:v>Juniper Partners</x:v>
      </x:c>
      <x:c r="B13" s="16" t="str">
        <x:v>Mid-Market</x:v>
      </x:c>
      <x:c r="C13" s="110" t="n">
        <x:f>COUNTIF(Customer_SKU_Data!$C$4:$C$123,A13)</x:f>
        <x:v>15</x:v>
      </x:c>
      <x:c r="D13" s="110" t="n">
        <x:f>SUMIF(Customer_SKU_Data!$C$4:$C$123,A13,Customer_SKU_Data!$G$4:$G$123)</x:f>
        <x:v>871</x:v>
      </x:c>
      <x:c r="E13" s="112" t="n">
        <x:f>SUMIF(Customer_SKU_Data!$C$4:$C$123,A13,Customer_SKU_Data!$O$4:$O$123)</x:f>
        <x:v>299775</x:v>
      </x:c>
      <x:c r="F13" s="112" t="n">
        <x:f>SUMIF(Customer_SKU_Data!$C$4:$C$123,A13,Customer_SKU_Data!$S$4:$S$123)</x:f>
        <x:v>258855.01060728048</x:v>
      </x:c>
      <x:c r="G13" s="112" t="n">
        <x:f>SUMIF(Customer_SKU_Data!$C$4:$C$123,A13,Customer_SKU_Data!$U$4:$U$123)</x:f>
        <x:v>122816.01060728046</x:v>
      </x:c>
      <x:c r="H13" s="114" t="n">
        <x:f>IFERROR(G13/F13,0)</x:f>
        <x:v>0.47445869531036294</x:v>
      </x:c>
      <x:c r="I13" s="112" t="n">
        <x:f>SUMIF(Customer_SKU_Data!$C$4:$C$123,A13,Customer_SKU_Data!$W$4:$W$123)</x:f>
        <x:v>40919.989392719544</x:v>
      </x:c>
      <x:c r="J13" s="114" t="n">
        <x:f>IFERROR(I13/E13,0)</x:f>
        <x:v>0.13650234139844733</x:v>
      </x:c>
      <x:c r="K13" s="114" t="n">
        <x:f>IFERROR(SUMIF(Customer_SKU_Data!$C$4:$C$123,A13,Customer_SKU_Data!$P$4:$P$123)/E13,0)</x:f>
        <x:v>0.08884297323303263</x:v>
      </x:c>
      <x:c r="L13" s="16" t="str">
        <x:f>IF(AND(H13&lt;Inputs!$B$12,J13&gt;Inputs!$B$13),"Priority pricing review",IF(H13&lt;Inputs!$B$12,"Fix margin",IF(J13&gt;Inputs!$B$13,"Reduce leakage","Monitor")))</x:f>
        <x:v>Reduce leakage</x:v>
      </x:c>
      <x:c r="M13" s="4"/>
      <x:c r="N13" s="4"/>
      <x:c r="O13" s="4"/>
      <x:c r="P13" s="4"/>
      <x:c r="Q13" s="4"/>
      <x:c r="R13" s="4"/>
      <x:c r="S13" s="4"/>
      <x:c r="T13" s="4"/>
      <x:c r="U13" s="4"/>
      <x:c r="V13" s="4"/>
      <x:c r="W13" s="4"/>
      <x:c r="X13" s="4"/>
      <x:c r="Y13" s="4"/>
      <x:c r="Z13" s="4"/>
    </x:row>
    <x:row r="14" ht="15" hidden="0" customHeight="1">
      <x:c r="A14" s="16" t="str">
        <x:v>Keystone Health</x:v>
      </x:c>
      <x:c r="B14" s="16" t="str">
        <x:v>Enterprise</x:v>
      </x:c>
      <x:c r="C14" s="110" t="n">
        <x:f>COUNTIF(Customer_SKU_Data!$C$4:$C$123,A14)</x:f>
        <x:v>11</x:v>
      </x:c>
      <x:c r="D14" s="110" t="n">
        <x:f>SUMIF(Customer_SKU_Data!$C$4:$C$123,A14,Customer_SKU_Data!$G$4:$G$123)</x:f>
        <x:v>611</x:v>
      </x:c>
      <x:c r="E14" s="112" t="n">
        <x:f>SUMIF(Customer_SKU_Data!$C$4:$C$123,A14,Customer_SKU_Data!$O$4:$O$123)</x:f>
        <x:v>129260</x:v>
      </x:c>
      <x:c r="F14" s="112" t="n">
        <x:f>SUMIF(Customer_SKU_Data!$C$4:$C$123,A14,Customer_SKU_Data!$S$4:$S$123)</x:f>
        <x:v>104736.60013326979</x:v>
      </x:c>
      <x:c r="G14" s="112" t="n">
        <x:f>SUMIF(Customer_SKU_Data!$C$4:$C$123,A14,Customer_SKU_Data!$U$4:$U$123)</x:f>
        <x:v>38003.60013326979</x:v>
      </x:c>
      <x:c r="H14" s="114" t="n">
        <x:f>IFERROR(G14/F14,0)</x:f>
        <x:v>0.3628492817688654</x:v>
      </x:c>
      <x:c r="I14" s="112" t="n">
        <x:f>SUMIF(Customer_SKU_Data!$C$4:$C$123,A14,Customer_SKU_Data!$W$4:$W$123)</x:f>
        <x:v>24523.399866730204</x:v>
      </x:c>
      <x:c r="J14" s="114" t="n">
        <x:f>IFERROR(I14/E14,0)</x:f>
        <x:v>0.1897214905363624</x:v>
      </x:c>
      <x:c r="K14" s="114" t="n">
        <x:f>IFERROR(SUMIF(Customer_SKU_Data!$C$4:$C$123,A14,Customer_SKU_Data!$P$4:$P$123)/E14,0)</x:f>
        <x:v>0.11659650447586653</x:v>
      </x:c>
      <x:c r="L14" s="16" t="str">
        <x:f>IF(AND(H14&lt;Inputs!$B$12,J14&gt;Inputs!$B$13),"Priority pricing review",IF(H14&lt;Inputs!$B$12,"Fix margin",IF(J14&gt;Inputs!$B$13,"Reduce leakage","Monitor")))</x:f>
        <x:v>Reduce leakage</x:v>
      </x:c>
      <x:c r="M14" s="4"/>
      <x:c r="N14" s="4"/>
      <x:c r="O14" s="4"/>
      <x:c r="P14" s="4"/>
      <x:c r="Q14" s="4"/>
      <x:c r="R14" s="4"/>
      <x:c r="S14" s="4"/>
      <x:c r="T14" s="4"/>
      <x:c r="U14" s="4"/>
      <x:c r="V14" s="4"/>
      <x:c r="W14" s="4"/>
      <x:c r="X14" s="4"/>
      <x:c r="Y14" s="4"/>
      <x:c r="Z14" s="4"/>
    </x:row>
    <x:row r="15" ht="15" hidden="0" customHeight="1">
      <x:c r="A15" s="16" t="str">
        <x:v>Lakeside Clinics</x:v>
      </x:c>
      <x:c r="B15" s="16" t="str">
        <x:v>SMB</x:v>
      </x:c>
      <x:c r="C15" s="110" t="n">
        <x:f>COUNTIF(Customer_SKU_Data!$C$4:$C$123,A15)</x:f>
        <x:v>10</x:v>
      </x:c>
      <x:c r="D15" s="110" t="n">
        <x:f>SUMIF(Customer_SKU_Data!$C$4:$C$123,A15,Customer_SKU_Data!$G$4:$G$123)</x:f>
        <x:v>497</x:v>
      </x:c>
      <x:c r="E15" s="112" t="n">
        <x:f>SUMIF(Customer_SKU_Data!$C$4:$C$123,A15,Customer_SKU_Data!$O$4:$O$123)</x:f>
        <x:v>145955</x:v>
      </x:c>
      <x:c r="F15" s="112" t="n">
        <x:f>SUMIF(Customer_SKU_Data!$C$4:$C$123,A15,Customer_SKU_Data!$S$4:$S$123)</x:f>
        <x:v>128554.42915959426</x:v>
      </x:c>
      <x:c r="G15" s="112" t="n">
        <x:f>SUMIF(Customer_SKU_Data!$C$4:$C$123,A15,Customer_SKU_Data!$U$4:$U$123)</x:f>
        <x:v>62671.42915959427</x:v>
      </x:c>
      <x:c r="H15" s="114" t="n">
        <x:f>IFERROR(G15/F15,0)</x:f>
        <x:v>0.48750890629984167</x:v>
      </x:c>
      <x:c r="I15" s="112" t="n">
        <x:f>SUMIF(Customer_SKU_Data!$C$4:$C$123,A15,Customer_SKU_Data!$W$4:$W$123)</x:f>
        <x:v>17400.57084040573</x:v>
      </x:c>
      <x:c r="J15" s="114" t="n">
        <x:f>IFERROR(I15/E15,0)</x:f>
        <x:v>0.11921873755887588</x:v>
      </x:c>
      <x:c r="K15" s="114" t="n">
        <x:f>IFERROR(SUMIF(Customer_SKU_Data!$C$4:$C$123,A15,Customer_SKU_Data!$P$4:$P$123)/E15,0)</x:f>
        <x:v>0.03589102199674621</x:v>
      </x:c>
      <x:c r="L15" s="16" t="str">
        <x:f>IF(AND(H15&lt;Inputs!$B$12,J15&gt;Inputs!$B$13),"Priority pricing review",IF(H15&lt;Inputs!$B$12,"Fix margin",IF(J15&gt;Inputs!$B$13,"Reduce leakage","Monitor")))</x:f>
        <x:v>Monitor</x:v>
      </x:c>
      <x:c r="M15" s="4"/>
      <x:c r="N15" s="4"/>
      <x:c r="O15" s="4"/>
      <x:c r="P15" s="4"/>
      <x:c r="Q15" s="4"/>
      <x:c r="R15" s="4"/>
      <x:c r="S15" s="4"/>
      <x:c r="T15" s="4"/>
      <x:c r="U15" s="4"/>
      <x:c r="V15" s="4"/>
      <x:c r="W15" s="4"/>
      <x:c r="X15" s="4"/>
      <x:c r="Y15" s="4"/>
      <x:c r="Z15" s="4"/>
    </x:row>
    <x:row r="16" ht="15" hidden="0" customHeight="1">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ht="15" hidden="0" customHeight="1">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5" hidden="0" customHeight="1">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5" hidden="0" customHeight="1">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5" hidden="0" customHeight="1">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 hidden="0"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 hidden="0"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 hidden="0"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 hidden="0"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 hidden="0"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 hidden="0"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 hidden="0"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 hidden="0"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 hidden="0"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 hidden="0"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 hidden="0"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 hidden="0"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 hidden="0"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 hidden="0"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 hidden="0"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 hidden="0"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 hidden="0"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 hidden="0"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 hidden="0"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 hidden="0"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 hidden="0"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 hidden="0"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 hidden="0"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 hidden="0"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 hidden="0"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 hidden="0"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 hidden="0"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 hidden="0"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 hidden="0"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 hidden="0"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conditionalFormatting sqref="H4:H15">
    <x:cfRule type="colorScale" priority="1">
      <x:colorScale>
        <x:cfvo type="min"/>
        <x:cfvo type="percentile" val="50"/>
        <x:cfvo type="max"/>
        <x:color rgb="F4CCCC"/>
        <x:color rgb="FFF2CC"/>
        <x:color rgb="D9EAD3"/>
      </x:colorScale>
    </x:cfRule>
  </x:conditionalFormatting>
  <x:conditionalFormatting sqref="J4:J15">
    <x:cfRule type="colorScale" priority="2">
      <x:colorScale>
        <x:cfvo type="min"/>
        <x:cfvo type="percentile" val="50"/>
        <x:cfvo type="max"/>
        <x:color rgb="D9EAD3"/>
        <x:color rgb="FFF2CC"/>
        <x:color rgb="F4CCCC"/>
      </x:colorScale>
    </x:cfRule>
  </x:conditionalFormatting>
  <x:pageMargins left="0.7" right="0.7" top="0.75" bottom="0.75" header="0.3" footer="0.3"/>
  <x:tableParts count="1">
    <x:tablePart xmlns:r="http://schemas.openxmlformats.org/officeDocument/2006/relationships" r:id="Ra5ffae97f1c2403b"/>
  </x:tableParts>
</x:worksheet>
</file>

<file path=xl/worksheets/sheet7.xml><?xml version="1.0" encoding="utf-8"?>
<x:worksheet xmlns:x="http://schemas.openxmlformats.org/spreadsheetml/2006/main">
  <x:sheetFormatPr defaultRowHeight="15"/>
  <x:cols>
    <x:col min="1" max="1" width="18" hidden="0" customWidth="1"/>
    <x:col min="2" max="2" width="16" hidden="0" customWidth="1"/>
    <x:col min="3" max="3" width="18" hidden="0" customWidth="1"/>
    <x:col min="4" max="4" width="19" hidden="0" customWidth="1"/>
    <x:col min="5" max="5" width="18" hidden="0" customWidth="1"/>
    <x:col min="6" max="6" width="18" hidden="0" customWidth="1"/>
    <x:col min="7" max="7" width="22" hidden="0" customWidth="1"/>
    <x:col min="8" max="8" width="24" hidden="0" customWidth="1"/>
  </x:cols>
  <x:sheetData>
    <x:row r="1" ht="28.799999237060547" hidden="0" customHeight="1">
      <x:c r="A1" s="9" t="str">
        <x:v>Pricing Upside Scenarios</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52" t="str">
        <x:v>Scenario</x:v>
      </x:c>
      <x:c r="B3" s="52" t="str">
        <x:v>Price Increase</x:v>
      </x:c>
      <x:c r="C3" s="52" t="str">
        <x:v>Volume Retention</x:v>
      </x:c>
      <x:c r="D3" s="52" t="str">
        <x:v>Discount Recapture</x:v>
      </x:c>
      <x:c r="E3" s="52" t="str">
        <x:v>Rebate Reduction</x:v>
      </x:c>
      <x:c r="F3" s="52" t="str">
        <x:v>Freight Recovery</x:v>
      </x:c>
      <x:c r="G3" s="52" t="str">
        <x:v>Incremental EBITDA ($)</x:v>
      </x:c>
      <x:c r="H3" s="52" t="str">
        <x:v>Enterprise Value Impact ($)</x:v>
      </x:c>
      <x:c r="I3" s="4"/>
      <x:c r="J3" s="4"/>
      <x:c r="K3" s="4"/>
      <x:c r="L3" s="4"/>
      <x:c r="M3" s="4"/>
      <x:c r="N3" s="4"/>
      <x:c r="O3" s="4"/>
      <x:c r="P3" s="4"/>
      <x:c r="Q3" s="4"/>
      <x:c r="R3" s="4"/>
      <x:c r="S3" s="4"/>
      <x:c r="T3" s="4"/>
      <x:c r="U3" s="4"/>
      <x:c r="V3" s="4"/>
      <x:c r="W3" s="4"/>
      <x:c r="X3" s="4"/>
      <x:c r="Y3" s="4"/>
      <x:c r="Z3" s="4"/>
    </x:row>
    <x:row r="4" ht="15" hidden="0" customHeight="1">
      <x:c r="A4" s="16" t="str">
        <x:v>Conservative</x:v>
      </x:c>
      <x:c r="B4" s="152" t="n">
        <x:v>0.01</x:v>
      </x:c>
      <x:c r="C4" s="152" t="n">
        <x:v>0.995</x:v>
      </x:c>
      <x:c r="D4" s="152" t="n">
        <x:v>0.1</x:v>
      </x:c>
      <x:c r="E4" s="152" t="n">
        <x:v>0.05</x:v>
      </x:c>
      <x:c r="F4" s="152" t="n">
        <x:v>0.15</x:v>
      </x:c>
      <x:c r="G4" s="112" t="n">
        <x:f>((SUM(Customer_SKU_Data!S4:S123)*B4*C4)+(SUM(Customer_SKU_Data!P4:Q123)*D4*C4)+(SUM(Customer_SKU_Data!R4:R123)*E4*C4)+(SUM(Customer_SKU_Data!M4:M123)*F4))*Inputs!$B$10</x:f>
        <x:v>43993.85492924365</x:v>
      </x:c>
      <x:c r="H4" s="112" t="n">
        <x:f>G4*Inputs!$B$11</x:f>
        <x:v>527926.2591509238</x:v>
      </x:c>
      <x:c r="I4" s="4"/>
      <x:c r="J4" s="4"/>
      <x:c r="K4" s="4"/>
      <x:c r="L4" s="4"/>
      <x:c r="M4" s="4"/>
      <x:c r="N4" s="4"/>
      <x:c r="O4" s="4"/>
      <x:c r="P4" s="4"/>
      <x:c r="Q4" s="4"/>
      <x:c r="R4" s="4"/>
      <x:c r="S4" s="4"/>
      <x:c r="T4" s="4"/>
      <x:c r="U4" s="4"/>
      <x:c r="V4" s="4"/>
      <x:c r="W4" s="4"/>
      <x:c r="X4" s="4"/>
      <x:c r="Y4" s="4"/>
      <x:c r="Z4" s="4"/>
    </x:row>
    <x:row r="5" ht="15" hidden="0" customHeight="1">
      <x:c r="A5" s="16" t="str">
        <x:v>Base Case</x:v>
      </x:c>
      <x:c r="B5" s="152" t="n">
        <x:v>0.025</x:v>
      </x:c>
      <x:c r="C5" s="152" t="n">
        <x:v>0.985</x:v>
      </x:c>
      <x:c r="D5" s="152" t="n">
        <x:v>0.2</x:v>
      </x:c>
      <x:c r="E5" s="152" t="n">
        <x:v>0.15</x:v>
      </x:c>
      <x:c r="F5" s="152" t="n">
        <x:v>0.35</x:v>
      </x:c>
      <x:c r="G5" s="112" t="n">
        <x:f>((SUM(Customer_SKU_Data!S5:S124)*B5*C5)+(SUM(Customer_SKU_Data!P5:Q124)*D5*C5)+(SUM(Customer_SKU_Data!R5:R124)*E5*C5)+(SUM(Customer_SKU_Data!M5:M124)*F5))*Inputs!$B$10</x:f>
        <x:v>98059.25703450988</x:v>
      </x:c>
      <x:c r="H5" s="112" t="n">
        <x:f>G5*Inputs!$B$11</x:f>
        <x:v>1176711.0844141184</x:v>
      </x:c>
      <x:c r="I5" s="4"/>
      <x:c r="J5" s="4"/>
      <x:c r="K5" s="4"/>
      <x:c r="L5" s="4"/>
      <x:c r="M5" s="4"/>
      <x:c r="N5" s="4"/>
      <x:c r="O5" s="4"/>
      <x:c r="P5" s="4"/>
      <x:c r="Q5" s="4"/>
      <x:c r="R5" s="4"/>
      <x:c r="S5" s="4"/>
      <x:c r="T5" s="4"/>
      <x:c r="U5" s="4"/>
      <x:c r="V5" s="4"/>
      <x:c r="W5" s="4"/>
      <x:c r="X5" s="4"/>
      <x:c r="Y5" s="4"/>
      <x:c r="Z5" s="4"/>
    </x:row>
    <x:row r="6" ht="15" hidden="0" customHeight="1">
      <x:c r="A6" s="16" t="str">
        <x:v>Upside</x:v>
      </x:c>
      <x:c r="B6" s="152" t="n">
        <x:v>0.04</x:v>
      </x:c>
      <x:c r="C6" s="152" t="n">
        <x:v>0.97</x:v>
      </x:c>
      <x:c r="D6" s="152" t="n">
        <x:v>0.3</x:v>
      </x:c>
      <x:c r="E6" s="152" t="n">
        <x:v>0.2</x:v>
      </x:c>
      <x:c r="F6" s="152" t="n">
        <x:v>0.45</x:v>
      </x:c>
      <x:c r="G6" s="112" t="n">
        <x:f>((SUM(Customer_SKU_Data!S6:S125)*B6*C6)+(SUM(Customer_SKU_Data!P6:Q125)*D6*C6)+(SUM(Customer_SKU_Data!R6:R125)*E6*C6)+(SUM(Customer_SKU_Data!M6:M125)*F6))*Inputs!$B$10</x:f>
        <x:v>146669.06608712976</x:v>
      </x:c>
      <x:c r="H6" s="112" t="n">
        <x:f>G6*Inputs!$B$11</x:f>
        <x:v>1760028.793045557</x:v>
      </x:c>
      <x:c r="I6" s="4"/>
      <x:c r="J6" s="4"/>
      <x:c r="K6" s="4"/>
      <x:c r="L6" s="4"/>
      <x:c r="M6" s="4"/>
      <x:c r="N6" s="4"/>
      <x:c r="O6" s="4"/>
      <x:c r="P6" s="4"/>
      <x:c r="Q6" s="4"/>
      <x:c r="R6" s="4"/>
      <x:c r="S6" s="4"/>
      <x:c r="T6" s="4"/>
      <x:c r="U6" s="4"/>
      <x:c r="V6" s="4"/>
      <x:c r="W6" s="4"/>
      <x:c r="X6" s="4"/>
      <x:c r="Y6" s="4"/>
      <x:c r="Z6" s="4"/>
    </x:row>
    <x:row r="7" ht="15" hidden="0" customHeight="1">
      <x:c r="A7" s="16" t="str">
        <x:v>Aggressive</x:v>
      </x:c>
      <x:c r="B7" s="152" t="n">
        <x:v>0.06</x:v>
      </x:c>
      <x:c r="C7" s="152" t="n">
        <x:v>0.95</x:v>
      </x:c>
      <x:c r="D7" s="152" t="n">
        <x:v>0.4</x:v>
      </x:c>
      <x:c r="E7" s="152" t="n">
        <x:v>0.3</x:v>
      </x:c>
      <x:c r="F7" s="152" t="n">
        <x:v>0.6</x:v>
      </x:c>
      <x:c r="G7" s="112" t="n">
        <x:f>((SUM(Customer_SKU_Data!S7:S126)*B7*C7)+(SUM(Customer_SKU_Data!P7:Q126)*D7*C7)+(SUM(Customer_SKU_Data!R7:R126)*E7*C7)+(SUM(Customer_SKU_Data!M7:M126)*F7))*Inputs!$B$10</x:f>
        <x:v>202535.04097231384</x:v>
      </x:c>
      <x:c r="H7" s="112" t="n">
        <x:f>G7*Inputs!$B$11</x:f>
        <x:v>2430420.491667766</x:v>
      </x:c>
      <x:c r="I7" s="4"/>
      <x:c r="J7" s="4"/>
      <x:c r="K7" s="4"/>
      <x:c r="L7" s="4"/>
      <x:c r="M7" s="4"/>
      <x:c r="N7" s="4"/>
      <x:c r="O7" s="4"/>
      <x:c r="P7" s="4"/>
      <x:c r="Q7" s="4"/>
      <x:c r="R7" s="4"/>
      <x:c r="S7" s="4"/>
      <x:c r="T7" s="4"/>
      <x:c r="U7" s="4"/>
      <x:c r="V7" s="4"/>
      <x:c r="W7" s="4"/>
      <x:c r="X7" s="4"/>
      <x:c r="Y7" s="4"/>
      <x:c r="Z7" s="4"/>
    </x:row>
    <x:row r="8" ht="15" hidden="0" customHeight="1">
      <x:c r="A8" s="4"/>
      <x:c r="B8" s="4"/>
      <x:c r="C8" s="4"/>
      <x:c r="D8" s="4"/>
      <x:c r="E8" s="4"/>
      <x:c r="F8" s="4"/>
      <x:c r="G8" s="4"/>
      <x:c r="H8" s="4"/>
      <x:c r="I8" s="4"/>
      <x:c r="J8" s="4"/>
      <x:c r="K8" s="4"/>
      <x:c r="L8" s="4"/>
      <x:c r="M8" s="4"/>
      <x:c r="N8" s="4"/>
      <x:c r="O8" s="4"/>
      <x:c r="P8" s="4"/>
      <x:c r="Q8" s="4"/>
      <x:c r="R8" s="4"/>
      <x:c r="S8" s="4"/>
      <x:c r="T8" s="4"/>
      <x:c r="U8" s="4"/>
      <x:c r="V8" s="4"/>
      <x:c r="W8" s="4"/>
      <x:c r="X8" s="4"/>
      <x:c r="Y8" s="4"/>
      <x:c r="Z8" s="4"/>
    </x:row>
    <x:row r="9" ht="15" hidden="0" customHeight="1">
      <x:c r="A9" s="4"/>
      <x:c r="B9" s="4"/>
      <x:c r="C9" s="4"/>
      <x:c r="D9" s="4"/>
      <x:c r="E9" s="4"/>
      <x:c r="F9" s="4"/>
      <x:c r="G9" s="4"/>
      <x:c r="H9" s="4"/>
      <x:c r="I9" s="4"/>
      <x:c r="J9" s="4"/>
      <x:c r="K9" s="4"/>
      <x:c r="L9" s="4"/>
      <x:c r="M9" s="4"/>
      <x:c r="N9" s="4"/>
      <x:c r="O9" s="4"/>
      <x:c r="P9" s="4"/>
      <x:c r="Q9" s="4"/>
      <x:c r="R9" s="4"/>
      <x:c r="S9" s="4"/>
      <x:c r="T9" s="4"/>
      <x:c r="U9" s="4"/>
      <x:c r="V9" s="4"/>
      <x:c r="W9" s="4"/>
      <x:c r="X9" s="4"/>
      <x:c r="Y9" s="4"/>
      <x:c r="Z9" s="4"/>
    </x:row>
    <x:row r="10" ht="15" hidden="0" customHeight="1">
      <x:c r="A10" s="38" t="str">
        <x:v>Price Increase / Volume Retention Sensitivity</x:v>
      </x:c>
      <x:c r="B10" s="38"/>
      <x:c r="C10" s="38"/>
      <x:c r="D10" s="38"/>
      <x:c r="E10" s="38"/>
      <x:c r="F10" s="38"/>
      <x:c r="G10" s="38"/>
      <x:c r="H10" s="4"/>
      <x:c r="I10" s="4"/>
      <x:c r="J10" s="4"/>
      <x:c r="K10" s="4"/>
      <x:c r="L10" s="4"/>
      <x:c r="M10" s="4"/>
      <x:c r="N10" s="4"/>
      <x:c r="O10" s="4"/>
      <x:c r="P10" s="4"/>
      <x:c r="Q10" s="4"/>
      <x:c r="R10" s="4"/>
      <x:c r="S10" s="4"/>
      <x:c r="T10" s="4"/>
      <x:c r="U10" s="4"/>
      <x:c r="V10" s="4"/>
      <x:c r="W10" s="4"/>
      <x:c r="X10" s="4"/>
      <x:c r="Y10" s="4"/>
      <x:c r="Z10" s="4"/>
    </x:row>
    <x:row r="11" ht="15" hidden="0" customHeight="1">
      <x:c r="A11" s="33" t="str">
        <x:v>EBITDA $</x:v>
      </x:c>
      <x:c r="B11" s="118" t="n">
        <x:v>0.94</x:v>
      </x:c>
      <x:c r="C11" s="118" t="n">
        <x:v>0.96</x:v>
      </x:c>
      <x:c r="D11" s="118" t="n">
        <x:v>0.98</x:v>
      </x:c>
      <x:c r="E11" s="118" t="n">
        <x:v>1</x:v>
      </x:c>
      <x:c r="F11" s="118" t="n">
        <x:v>1.02</x:v>
      </x:c>
      <x:c r="G11" s="4"/>
      <x:c r="H11" s="4"/>
      <x:c r="I11" s="4"/>
      <x:c r="J11" s="4"/>
      <x:c r="K11" s="4"/>
      <x:c r="L11" s="4"/>
      <x:c r="M11" s="4"/>
      <x:c r="N11" s="4"/>
      <x:c r="O11" s="4"/>
      <x:c r="P11" s="4"/>
      <x:c r="Q11" s="4"/>
      <x:c r="R11" s="4"/>
      <x:c r="S11" s="4"/>
      <x:c r="T11" s="4"/>
      <x:c r="U11" s="4"/>
      <x:c r="V11" s="4"/>
      <x:c r="W11" s="4"/>
      <x:c r="X11" s="4"/>
      <x:c r="Y11" s="4"/>
      <x:c r="Z11" s="4"/>
    </x:row>
    <x:row r="12" ht="15" hidden="0" customHeight="1">
      <x:c r="A12" s="118" t="n">
        <x:v>0.01</x:v>
      </x:c>
      <x:c r="B12" s="112" t="n">
        <x:f>((SUM(Customer_SKU_Data!S4:S123)*$A12*B$11)+(SUM(Customer_SKU_Data!P4:Q123)*Inputs!$B$6*B$11)+(SUM(Customer_SKU_Data!R4:R123)*Inputs!$B$8*B$11)+(SUM(Customer_SKU_Data!M4:M123)*Inputs!$B$9))*Inputs!$B$10</x:f>
        <x:v>70479.23284001973</x:v>
      </x:c>
      <x:c r="C12" s="112" t="n">
        <x:f>((SUM(Customer_SKU_Data!S4:S123)*$A12*C$11)+(SUM(Customer_SKU_Data!P4:Q123)*Inputs!$B$6*C$11)+(SUM(Customer_SKU_Data!R4:R123)*Inputs!$B$8*C$11)+(SUM(Customer_SKU_Data!M4:M123)*Inputs!$B$9))*Inputs!$B$10</x:f>
        <x:v>71896.37190415751</x:v>
      </x:c>
      <x:c r="D12" s="112" t="n">
        <x:f>((SUM(Customer_SKU_Data!S4:S123)*$A12*D$11)+(SUM(Customer_SKU_Data!P4:Q123)*Inputs!$B$6*D$11)+(SUM(Customer_SKU_Data!R4:R123)*Inputs!$B$8*D$11)+(SUM(Customer_SKU_Data!M4:M123)*Inputs!$B$9))*Inputs!$B$10</x:f>
        <x:v>73313.51096829528</x:v>
      </x:c>
      <x:c r="E12" s="112" t="n">
        <x:f>((SUM(Customer_SKU_Data!S4:S123)*$A12*E$11)+(SUM(Customer_SKU_Data!P4:Q123)*Inputs!$B$6*E$11)+(SUM(Customer_SKU_Data!R4:R123)*Inputs!$B$8*E$11)+(SUM(Customer_SKU_Data!M4:M123)*Inputs!$B$9))*Inputs!$B$10</x:f>
        <x:v>74730.65003243304</x:v>
      </x:c>
      <x:c r="F12" s="112" t="n">
        <x:f>((SUM(Customer_SKU_Data!S4:S123)*$A12*F$11)+(SUM(Customer_SKU_Data!P4:Q123)*Inputs!$B$6*F$11)+(SUM(Customer_SKU_Data!R4:R123)*Inputs!$B$8*F$11)+(SUM(Customer_SKU_Data!M4:M123)*Inputs!$B$9))*Inputs!$B$10</x:f>
        <x:v>76147.7890965708</x:v>
      </x:c>
      <x:c r="G12" s="4"/>
      <x:c r="H12" s="4"/>
      <x:c r="I12" s="4"/>
      <x:c r="J12" s="4"/>
      <x:c r="K12" s="4"/>
      <x:c r="L12" s="4"/>
      <x:c r="M12" s="4"/>
      <x:c r="N12" s="4"/>
      <x:c r="O12" s="4"/>
      <x:c r="P12" s="4"/>
      <x:c r="Q12" s="4"/>
      <x:c r="R12" s="4"/>
      <x:c r="S12" s="4"/>
      <x:c r="T12" s="4"/>
      <x:c r="U12" s="4"/>
      <x:c r="V12" s="4"/>
      <x:c r="W12" s="4"/>
      <x:c r="X12" s="4"/>
      <x:c r="Y12" s="4"/>
      <x:c r="Z12" s="4"/>
    </x:row>
    <x:row r="13" ht="15" hidden="0" customHeight="1">
      <x:c r="A13" s="118" t="n">
        <x:v>0.02</x:v>
      </x:c>
      <x:c r="B13" s="112" t="n">
        <x:f>((SUM(Customer_SKU_Data!S4:S123)*$A13*B$11)+(SUM(Customer_SKU_Data!P4:Q123)*Inputs!$B$6*B$11)+(SUM(Customer_SKU_Data!R4:R123)*Inputs!$B$8*B$11)+(SUM(Customer_SKU_Data!M4:M123)*Inputs!$B$9))*Inputs!$B$10</x:f>
        <x:v>86062.01305206145</x:v>
      </x:c>
      <x:c r="C13" s="112" t="n">
        <x:f>((SUM(Customer_SKU_Data!S4:S123)*$A13*C$11)+(SUM(Customer_SKU_Data!P4:Q123)*Inputs!$B$6*C$11)+(SUM(Customer_SKU_Data!R4:R123)*Inputs!$B$8*C$11)+(SUM(Customer_SKU_Data!M4:M123)*Inputs!$B$9))*Inputs!$B$10</x:f>
        <x:v>87810.70063134904</x:v>
      </x:c>
      <x:c r="D13" s="112" t="n">
        <x:f>((SUM(Customer_SKU_Data!S4:S123)*$A13*D$11)+(SUM(Customer_SKU_Data!P4:Q123)*Inputs!$B$6*D$11)+(SUM(Customer_SKU_Data!R4:R123)*Inputs!$B$8*D$11)+(SUM(Customer_SKU_Data!M4:M123)*Inputs!$B$9))*Inputs!$B$10</x:f>
        <x:v>89559.38821063664</x:v>
      </x:c>
      <x:c r="E13" s="112" t="n">
        <x:f>((SUM(Customer_SKU_Data!S4:S123)*$A13*E$11)+(SUM(Customer_SKU_Data!P4:Q123)*Inputs!$B$6*E$11)+(SUM(Customer_SKU_Data!R4:R123)*Inputs!$B$8*E$11)+(SUM(Customer_SKU_Data!M4:M123)*Inputs!$B$9))*Inputs!$B$10</x:f>
        <x:v>91308.07578992422</x:v>
      </x:c>
      <x:c r="F13" s="112" t="n">
        <x:f>((SUM(Customer_SKU_Data!S4:S123)*$A13*F$11)+(SUM(Customer_SKU_Data!P4:Q123)*Inputs!$B$6*F$11)+(SUM(Customer_SKU_Data!R4:R123)*Inputs!$B$8*F$11)+(SUM(Customer_SKU_Data!M4:M123)*Inputs!$B$9))*Inputs!$B$10</x:f>
        <x:v>93056.76336921183</x:v>
      </x:c>
      <x:c r="G13" s="4"/>
      <x:c r="H13" s="4"/>
      <x:c r="I13" s="4"/>
      <x:c r="J13" s="4"/>
      <x:c r="K13" s="4"/>
      <x:c r="L13" s="4"/>
      <x:c r="M13" s="4"/>
      <x:c r="N13" s="4"/>
      <x:c r="O13" s="4"/>
      <x:c r="P13" s="4"/>
      <x:c r="Q13" s="4"/>
      <x:c r="R13" s="4"/>
      <x:c r="S13" s="4"/>
      <x:c r="T13" s="4"/>
      <x:c r="U13" s="4"/>
      <x:c r="V13" s="4"/>
      <x:c r="W13" s="4"/>
      <x:c r="X13" s="4"/>
      <x:c r="Y13" s="4"/>
      <x:c r="Z13" s="4"/>
    </x:row>
    <x:row r="14" ht="15" hidden="0" customHeight="1">
      <x:c r="A14" s="118" t="n">
        <x:v>0.03</x:v>
      </x:c>
      <x:c r="B14" s="112" t="n">
        <x:f>((SUM(Customer_SKU_Data!S4:S123)*$A14*B$11)+(SUM(Customer_SKU_Data!P4:Q123)*Inputs!$B$6*B$11)+(SUM(Customer_SKU_Data!R4:R123)*Inputs!$B$8*B$11)+(SUM(Customer_SKU_Data!M4:M123)*Inputs!$B$9))*Inputs!$B$10</x:f>
        <x:v>101644.79326410317</x:v>
      </x:c>
      <x:c r="C14" s="112" t="n">
        <x:f>((SUM(Customer_SKU_Data!S4:S123)*$A14*C$11)+(SUM(Customer_SKU_Data!P4:Q123)*Inputs!$B$6*C$11)+(SUM(Customer_SKU_Data!R4:R123)*Inputs!$B$8*C$11)+(SUM(Customer_SKU_Data!M4:M123)*Inputs!$B$9))*Inputs!$B$10</x:f>
        <x:v>103725.02935854059</x:v>
      </x:c>
      <x:c r="D14" s="112" t="n">
        <x:f>((SUM(Customer_SKU_Data!S4:S123)*$A14*D$11)+(SUM(Customer_SKU_Data!P4:Q123)*Inputs!$B$6*D$11)+(SUM(Customer_SKU_Data!R4:R123)*Inputs!$B$8*D$11)+(SUM(Customer_SKU_Data!M4:M123)*Inputs!$B$9))*Inputs!$B$10</x:f>
        <x:v>105805.26545297801</x:v>
      </x:c>
      <x:c r="E14" s="112" t="n">
        <x:f>((SUM(Customer_SKU_Data!S4:S123)*$A14*E$11)+(SUM(Customer_SKU_Data!P4:Q123)*Inputs!$B$6*E$11)+(SUM(Customer_SKU_Data!R4:R123)*Inputs!$B$8*E$11)+(SUM(Customer_SKU_Data!M4:M123)*Inputs!$B$9))*Inputs!$B$10</x:f>
        <x:v>107885.5015474154</x:v>
      </x:c>
      <x:c r="F14" s="112" t="n">
        <x:f>((SUM(Customer_SKU_Data!S4:S123)*$A14*F$11)+(SUM(Customer_SKU_Data!P4:Q123)*Inputs!$B$6*F$11)+(SUM(Customer_SKU_Data!R4:R123)*Inputs!$B$8*F$11)+(SUM(Customer_SKU_Data!M4:M123)*Inputs!$B$9))*Inputs!$B$10</x:f>
        <x:v>109965.73764185281</x:v>
      </x:c>
      <x:c r="G14" s="4"/>
      <x:c r="H14" s="4"/>
      <x:c r="I14" s="4"/>
      <x:c r="J14" s="4"/>
      <x:c r="K14" s="4"/>
      <x:c r="L14" s="4"/>
      <x:c r="M14" s="4"/>
      <x:c r="N14" s="4"/>
      <x:c r="O14" s="4"/>
      <x:c r="P14" s="4"/>
      <x:c r="Q14" s="4"/>
      <x:c r="R14" s="4"/>
      <x:c r="S14" s="4"/>
      <x:c r="T14" s="4"/>
      <x:c r="U14" s="4"/>
      <x:c r="V14" s="4"/>
      <x:c r="W14" s="4"/>
      <x:c r="X14" s="4"/>
      <x:c r="Y14" s="4"/>
      <x:c r="Z14" s="4"/>
    </x:row>
    <x:row r="15" ht="15" hidden="0" customHeight="1">
      <x:c r="A15" s="118" t="n">
        <x:v>0.04</x:v>
      </x:c>
      <x:c r="B15" s="112" t="n">
        <x:f>((SUM(Customer_SKU_Data!S4:S123)*$A15*B$11)+(SUM(Customer_SKU_Data!P4:Q123)*Inputs!$B$6*B$11)+(SUM(Customer_SKU_Data!R4:R123)*Inputs!$B$8*B$11)+(SUM(Customer_SKU_Data!M4:M123)*Inputs!$B$9))*Inputs!$B$10</x:f>
        <x:v>117227.57347614487</x:v>
      </x:c>
      <x:c r="C15" s="112" t="n">
        <x:f>((SUM(Customer_SKU_Data!S4:S123)*$A15*C$11)+(SUM(Customer_SKU_Data!P4:Q123)*Inputs!$B$6*C$11)+(SUM(Customer_SKU_Data!R4:R123)*Inputs!$B$8*C$11)+(SUM(Customer_SKU_Data!M4:M123)*Inputs!$B$9))*Inputs!$B$10</x:f>
        <x:v>119639.35808573212</x:v>
      </x:c>
      <x:c r="D15" s="112" t="n">
        <x:f>((SUM(Customer_SKU_Data!S4:S123)*$A15*D$11)+(SUM(Customer_SKU_Data!P4:Q123)*Inputs!$B$6*D$11)+(SUM(Customer_SKU_Data!R4:R123)*Inputs!$B$8*D$11)+(SUM(Customer_SKU_Data!M4:M123)*Inputs!$B$9))*Inputs!$B$10</x:f>
        <x:v>122051.14269531934</x:v>
      </x:c>
      <x:c r="E15" s="112" t="n">
        <x:f>((SUM(Customer_SKU_Data!S4:S123)*$A15*E$11)+(SUM(Customer_SKU_Data!P4:Q123)*Inputs!$B$6*E$11)+(SUM(Customer_SKU_Data!R4:R123)*Inputs!$B$8*E$11)+(SUM(Customer_SKU_Data!M4:M123)*Inputs!$B$9))*Inputs!$B$10</x:f>
        <x:v>124462.9273049066</x:v>
      </x:c>
      <x:c r="F15" s="112" t="n">
        <x:f>((SUM(Customer_SKU_Data!S4:S123)*$A15*F$11)+(SUM(Customer_SKU_Data!P4:Q123)*Inputs!$B$6*F$11)+(SUM(Customer_SKU_Data!R4:R123)*Inputs!$B$8*F$11)+(SUM(Customer_SKU_Data!M4:M123)*Inputs!$B$9))*Inputs!$B$10</x:f>
        <x:v>126874.71191449385</x:v>
      </x:c>
      <x:c r="G15" s="4"/>
      <x:c r="H15" s="4"/>
      <x:c r="I15" s="4"/>
      <x:c r="J15" s="4"/>
      <x:c r="K15" s="4"/>
      <x:c r="L15" s="4"/>
      <x:c r="M15" s="4"/>
      <x:c r="N15" s="4"/>
      <x:c r="O15" s="4"/>
      <x:c r="P15" s="4"/>
      <x:c r="Q15" s="4"/>
      <x:c r="R15" s="4"/>
      <x:c r="S15" s="4"/>
      <x:c r="T15" s="4"/>
      <x:c r="U15" s="4"/>
      <x:c r="V15" s="4"/>
      <x:c r="W15" s="4"/>
      <x:c r="X15" s="4"/>
      <x:c r="Y15" s="4"/>
      <x:c r="Z15" s="4"/>
    </x:row>
    <x:row r="16" ht="15" hidden="0" customHeight="1">
      <x:c r="A16" s="118" t="n">
        <x:v>0.05</x:v>
      </x:c>
      <x:c r="B16" s="112" t="n">
        <x:f>((SUM(Customer_SKU_Data!S4:S123)*$A16*B$11)+(SUM(Customer_SKU_Data!P4:Q123)*Inputs!$B$6*B$11)+(SUM(Customer_SKU_Data!R4:R123)*Inputs!$B$8*B$11)+(SUM(Customer_SKU_Data!M4:M123)*Inputs!$B$9))*Inputs!$B$10</x:f>
        <x:v>132810.35368818662</x:v>
      </x:c>
      <x:c r="C16" s="112" t="n">
        <x:f>((SUM(Customer_SKU_Data!S4:S123)*$A16*C$11)+(SUM(Customer_SKU_Data!P4:Q123)*Inputs!$B$6*C$11)+(SUM(Customer_SKU_Data!R4:R123)*Inputs!$B$8*C$11)+(SUM(Customer_SKU_Data!M4:M123)*Inputs!$B$9))*Inputs!$B$10</x:f>
        <x:v>135553.68681292367</x:v>
      </x:c>
      <x:c r="D16" s="112" t="n">
        <x:f>((SUM(Customer_SKU_Data!S4:S123)*$A16*D$11)+(SUM(Customer_SKU_Data!P4:Q123)*Inputs!$B$6*D$11)+(SUM(Customer_SKU_Data!R4:R123)*Inputs!$B$8*D$11)+(SUM(Customer_SKU_Data!M4:M123)*Inputs!$B$9))*Inputs!$B$10</x:f>
        <x:v>138297.01993766072</x:v>
      </x:c>
      <x:c r="E16" s="112" t="n">
        <x:f>((SUM(Customer_SKU_Data!S4:S123)*$A16*E$11)+(SUM(Customer_SKU_Data!P4:Q123)*Inputs!$B$6*E$11)+(SUM(Customer_SKU_Data!R4:R123)*Inputs!$B$8*E$11)+(SUM(Customer_SKU_Data!M4:M123)*Inputs!$B$9))*Inputs!$B$10</x:f>
        <x:v>141040.3530623978</x:v>
      </x:c>
      <x:c r="F16" s="112" t="n">
        <x:f>((SUM(Customer_SKU_Data!S4:S123)*$A16*F$11)+(SUM(Customer_SKU_Data!P4:Q123)*Inputs!$B$6*F$11)+(SUM(Customer_SKU_Data!R4:R123)*Inputs!$B$8*F$11)+(SUM(Customer_SKU_Data!M4:M123)*Inputs!$B$9))*Inputs!$B$10</x:f>
        <x:v>143783.68618713485</x:v>
      </x:c>
      <x:c r="G16" s="4"/>
      <x:c r="H16" s="4"/>
      <x:c r="I16" s="4"/>
      <x:c r="J16" s="4"/>
      <x:c r="K16" s="4"/>
      <x:c r="L16" s="4"/>
      <x:c r="M16" s="4"/>
      <x:c r="N16" s="4"/>
      <x:c r="O16" s="4"/>
      <x:c r="P16" s="4"/>
      <x:c r="Q16" s="4"/>
      <x:c r="R16" s="4"/>
      <x:c r="S16" s="4"/>
      <x:c r="T16" s="4"/>
      <x:c r="U16" s="4"/>
      <x:c r="V16" s="4"/>
      <x:c r="W16" s="4"/>
      <x:c r="X16" s="4"/>
      <x:c r="Y16" s="4"/>
      <x:c r="Z16" s="4"/>
    </x:row>
    <x:row r="17" ht="15" hidden="0" customHeight="1">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5" hidden="0" customHeight="1">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5" hidden="0" customHeight="1">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5" hidden="0" customHeight="1">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 hidden="0"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 hidden="0"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 hidden="0"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 hidden="0"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 hidden="0"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 hidden="0"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 hidden="0"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 hidden="0"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 hidden="0"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 hidden="0"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 hidden="0"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 hidden="0"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 hidden="0"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 hidden="0"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 hidden="0"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 hidden="0"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 hidden="0"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 hidden="0"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 hidden="0"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 hidden="0"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 hidden="0"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 hidden="0"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 hidden="0"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 hidden="0"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 hidden="0"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 hidden="0"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 hidden="0"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 hidden="0"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 hidden="0"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 hidden="0"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0:G10"/>
  </x:mergeCells>
  <x:conditionalFormatting sqref="B12:F16">
    <x:cfRule type="colorScale" priority="1">
      <x:colorScale>
        <x:cfvo type="min"/>
        <x:cfvo type="percentile" val="50"/>
        <x:cfvo type="max"/>
        <x:color rgb="F4CCCC"/>
        <x:color rgb="FFF2CC"/>
        <x:color rgb="D9EAD3"/>
      </x:colorScale>
    </x:cfRule>
  </x:conditionalFormatting>
  <x:pageMargins left="0.7" right="0.7" top="0.75" bottom="0.75" header="0.3" footer="0.3"/>
  <x:tableParts count="1">
    <x:tablePart xmlns:r="http://schemas.openxmlformats.org/officeDocument/2006/relationships" r:id="Rd2c0ef06f56c4195"/>
  </x:tableParts>
</x:worksheet>
</file>

<file path=xl/worksheets/sheet8.xml><?xml version="1.0" encoding="utf-8"?>
<x:worksheet xmlns:x="http://schemas.openxmlformats.org/spreadsheetml/2006/main">
  <x:sheetFormatPr defaultRowHeight="15"/>
  <x:cols>
    <x:col min="1" max="1" width="24" hidden="0" customWidth="1"/>
    <x:col min="2" max="2" width="42" hidden="0" customWidth="1"/>
    <x:col min="3" max="3" width="80" hidden="0" customWidth="1"/>
  </x:cols>
  <x:sheetData>
    <x:row r="1" ht="28.799999237060547" hidden="0" customHeight="1">
      <x:c r="A1" s="9" t="str">
        <x:v>Sources &amp; Notes</x:v>
      </x:c>
      <x:c r="B1" s="4"/>
      <x:c r="C1" s="4"/>
      <x:c r="D1" s="4"/>
      <x:c r="E1" s="4"/>
      <x:c r="F1" s="4"/>
      <x:c r="G1" s="4"/>
      <x:c r="H1" s="4"/>
      <x:c r="I1" s="4"/>
      <x:c r="J1" s="4"/>
      <x:c r="K1" s="4"/>
      <x:c r="L1" s="4"/>
      <x:c r="M1" s="4"/>
      <x:c r="N1" s="4"/>
      <x:c r="O1" s="4"/>
      <x:c r="P1" s="4"/>
      <x:c r="Q1" s="4"/>
      <x:c r="R1" s="4"/>
      <x:c r="S1" s="4"/>
      <x:c r="T1" s="4"/>
      <x:c r="U1" s="4"/>
      <x:c r="V1" s="4"/>
      <x:c r="W1" s="4"/>
      <x:c r="X1" s="4"/>
      <x:c r="Y1" s="4"/>
      <x:c r="Z1" s="4"/>
    </x:row>
    <x:row r="2" ht="15" hidden="0"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5" hidden="0" customHeight="1">
      <x:c r="A3" s="38" t="str">
        <x:v>Item</x:v>
      </x:c>
      <x:c r="B3" s="38" t="str">
        <x:v>Source / Basis</x:v>
      </x:c>
      <x:c r="C3" s="38" t="str">
        <x:v>Notes</x:v>
      </x:c>
      <x:c r="D3" s="4"/>
      <x:c r="E3" s="4"/>
      <x:c r="F3" s="4"/>
      <x:c r="G3" s="4"/>
      <x:c r="H3" s="4"/>
      <x:c r="I3" s="4"/>
      <x:c r="J3" s="4"/>
      <x:c r="K3" s="4"/>
      <x:c r="L3" s="4"/>
      <x:c r="M3" s="4"/>
      <x:c r="N3" s="4"/>
      <x:c r="O3" s="4"/>
      <x:c r="P3" s="4"/>
      <x:c r="Q3" s="4"/>
      <x:c r="R3" s="4"/>
      <x:c r="S3" s="4"/>
      <x:c r="T3" s="4"/>
      <x:c r="U3" s="4"/>
      <x:c r="V3" s="4"/>
      <x:c r="W3" s="4"/>
      <x:c r="X3" s="4"/>
      <x:c r="Y3" s="4"/>
      <x:c r="Z3" s="4"/>
    </x:row>
    <x:row r="4" ht="15" hidden="0" customHeight="1">
      <x:c r="A4" s="36" t="str">
        <x:v>Brand colors</x:v>
      </x:c>
      <x:c r="B4" s="36" t="str">
        <x:v>Ops2EBITDA Brand Guidelines PDF</x:v>
      </x:c>
      <x:c r="C4" s="36" t="str">
        <x:v>Colors used: Ink #161413, Bone #F4EFE6, Paper #FBF8F2, Ochre #B8862F, Sienna #7A2E1F, Stone #928B7E.</x:v>
      </x:c>
      <x:c r="D4" s="4"/>
      <x:c r="E4" s="4"/>
      <x:c r="F4" s="4"/>
      <x:c r="G4" s="4"/>
      <x:c r="H4" s="4"/>
      <x:c r="I4" s="4"/>
      <x:c r="J4" s="4"/>
      <x:c r="K4" s="4"/>
      <x:c r="L4" s="4"/>
      <x:c r="M4" s="4"/>
      <x:c r="N4" s="4"/>
      <x:c r="O4" s="4"/>
      <x:c r="P4" s="4"/>
      <x:c r="Q4" s="4"/>
      <x:c r="R4" s="4"/>
      <x:c r="S4" s="4"/>
      <x:c r="T4" s="4"/>
      <x:c r="U4" s="4"/>
      <x:c r="V4" s="4"/>
      <x:c r="W4" s="4"/>
      <x:c r="X4" s="4"/>
      <x:c r="Y4" s="4"/>
      <x:c r="Z4" s="4"/>
    </x:row>
    <x:row r="5" ht="15" hidden="0" customHeight="1">
      <x:c r="A5" s="36" t="str">
        <x:v>Sample transaction data</x:v>
      </x:c>
      <x:c r="B5" s="36" t="str">
        <x:v>Synthetic sample data created for demonstration</x:v>
      </x:c>
      <x:c r="C5" s="36" t="str">
        <x:v>Replace with actual transaction-level export from ERP/CRM/billing system.</x:v>
      </x:c>
      <x:c r="D5" s="4"/>
      <x:c r="E5" s="4"/>
      <x:c r="F5" s="4"/>
      <x:c r="G5" s="4"/>
      <x:c r="H5" s="4"/>
      <x:c r="I5" s="4"/>
      <x:c r="J5" s="4"/>
      <x:c r="K5" s="4"/>
      <x:c r="L5" s="4"/>
      <x:c r="M5" s="4"/>
      <x:c r="N5" s="4"/>
      <x:c r="O5" s="4"/>
      <x:c r="P5" s="4"/>
      <x:c r="Q5" s="4"/>
      <x:c r="R5" s="4"/>
      <x:c r="S5" s="4"/>
      <x:c r="T5" s="4"/>
      <x:c r="U5" s="4"/>
      <x:c r="V5" s="4"/>
      <x:c r="W5" s="4"/>
      <x:c r="X5" s="4"/>
      <x:c r="Y5" s="4"/>
      <x:c r="Z5" s="4"/>
    </x:row>
    <x:row r="6" ht="15" hidden="0" customHeight="1">
      <x:c r="A6" s="36" t="str">
        <x:v>Pricing assumptions</x:v>
      </x:c>
      <x:c r="B6" s="36" t="str">
        <x:v>Illustrative assumptions</x:v>
      </x:c>
      <x:c r="C6" s="36" t="str">
        <x:v>Update Inputs sheet with company-specific price increase, retention, and recapture assumptions.</x:v>
      </x:c>
      <x:c r="D6" s="4"/>
      <x:c r="E6" s="4"/>
      <x:c r="F6" s="4"/>
      <x:c r="G6" s="4"/>
      <x:c r="H6" s="4"/>
      <x:c r="I6" s="4"/>
      <x:c r="J6" s="4"/>
      <x:c r="K6" s="4"/>
      <x:c r="L6" s="4"/>
      <x:c r="M6" s="4"/>
      <x:c r="N6" s="4"/>
      <x:c r="O6" s="4"/>
      <x:c r="P6" s="4"/>
      <x:c r="Q6" s="4"/>
      <x:c r="R6" s="4"/>
      <x:c r="S6" s="4"/>
      <x:c r="T6" s="4"/>
      <x:c r="U6" s="4"/>
      <x:c r="V6" s="4"/>
      <x:c r="W6" s="4"/>
      <x:c r="X6" s="4"/>
      <x:c r="Y6" s="4"/>
      <x:c r="Z6" s="4"/>
    </x:row>
    <x:row r="7" ht="15" hidden="0" customHeight="1">
      <x:c r="A7" s="36" t="str">
        <x:v>Model formulas</x:v>
      </x:c>
      <x:c r="B7" s="36" t="str">
        <x:v>Ops2EBITDA generated model logic</x:v>
      </x:c>
      <x:c r="C7" s="36" t="str">
        <x:v>Designed to connect pricing leakage to EBITDA and enterprise value impact.</x:v>
      </x:c>
      <x:c r="D7" s="4"/>
      <x:c r="E7" s="4"/>
      <x:c r="F7" s="4"/>
      <x:c r="G7" s="4"/>
      <x:c r="H7" s="4"/>
      <x:c r="I7" s="4"/>
      <x:c r="J7" s="4"/>
      <x:c r="K7" s="4"/>
      <x:c r="L7" s="4"/>
      <x:c r="M7" s="4"/>
      <x:c r="N7" s="4"/>
      <x:c r="O7" s="4"/>
      <x:c r="P7" s="4"/>
      <x:c r="Q7" s="4"/>
      <x:c r="R7" s="4"/>
      <x:c r="S7" s="4"/>
      <x:c r="T7" s="4"/>
      <x:c r="U7" s="4"/>
      <x:c r="V7" s="4"/>
      <x:c r="W7" s="4"/>
      <x:c r="X7" s="4"/>
      <x:c r="Y7" s="4"/>
      <x:c r="Z7" s="4"/>
    </x:row>
    <x:row r="8" ht="15" hidden="0" customHeight="1">
      <x:c r="A8" s="36" t="str">
        <x:v>Financial model convention</x:v>
      </x:c>
      <x:c r="B8" s="36" t="str">
        <x:v>Standard modeling convention</x:v>
      </x:c>
      <x:c r="C8" s="36" t="str">
        <x:v>Blue font = hardcoded/editable inputs; black font = formulas; yellow fill = key assumptions.</x:v>
      </x:c>
      <x:c r="D8" s="4"/>
      <x:c r="E8" s="4"/>
      <x:c r="F8" s="4"/>
      <x:c r="G8" s="4"/>
      <x:c r="H8" s="4"/>
      <x:c r="I8" s="4"/>
      <x:c r="J8" s="4"/>
      <x:c r="K8" s="4"/>
      <x:c r="L8" s="4"/>
      <x:c r="M8" s="4"/>
      <x:c r="N8" s="4"/>
      <x:c r="O8" s="4"/>
      <x:c r="P8" s="4"/>
      <x:c r="Q8" s="4"/>
      <x:c r="R8" s="4"/>
      <x:c r="S8" s="4"/>
      <x:c r="T8" s="4"/>
      <x:c r="U8" s="4"/>
      <x:c r="V8" s="4"/>
      <x:c r="W8" s="4"/>
      <x:c r="X8" s="4"/>
      <x:c r="Y8" s="4"/>
      <x:c r="Z8" s="4"/>
    </x:row>
    <x:row r="9" ht="15" hidden="0" customHeight="1">
      <x:c r="A9" s="36" t="str">
        <x:v>Units</x:v>
      </x:c>
      <x:c r="B9" s="36" t="str">
        <x:v>Dollars unless otherwise noted</x:v>
      </x:c>
      <x:c r="C9" s="36" t="str">
        <x:v>All revenue, leakage, margin, EBITDA, and EV outputs are in dollars.</x:v>
      </x:c>
      <x:c r="D9" s="4"/>
      <x:c r="E9" s="4"/>
      <x:c r="F9" s="4"/>
      <x:c r="G9" s="4"/>
      <x:c r="H9" s="4"/>
      <x:c r="I9" s="4"/>
      <x:c r="J9" s="4"/>
      <x:c r="K9" s="4"/>
      <x:c r="L9" s="4"/>
      <x:c r="M9" s="4"/>
      <x:c r="N9" s="4"/>
      <x:c r="O9" s="4"/>
      <x:c r="P9" s="4"/>
      <x:c r="Q9" s="4"/>
      <x:c r="R9" s="4"/>
      <x:c r="S9" s="4"/>
      <x:c r="T9" s="4"/>
      <x:c r="U9" s="4"/>
      <x:c r="V9" s="4"/>
      <x:c r="W9" s="4"/>
      <x:c r="X9" s="4"/>
      <x:c r="Y9" s="4"/>
      <x:c r="Z9" s="4"/>
    </x:row>
    <x:row r="10" ht="15" hidden="0" customHeight="1">
      <x:c r="A10" s="36" t="str">
        <x:v>Caveat</x:v>
      </x:c>
      <x:c r="B10" s="36" t="str">
        <x:v>Not investment, legal, tax, or accounting advice</x:v>
      </x:c>
      <x:c r="C10" s="36" t="str">
        <x:v>Model outputs should be validated against source-system data and management assumptions.</x:v>
      </x:c>
      <x:c r="D10" s="4"/>
      <x:c r="E10" s="4"/>
      <x:c r="F10" s="4"/>
      <x:c r="G10" s="4"/>
      <x:c r="H10" s="4"/>
      <x:c r="I10" s="4"/>
      <x:c r="J10" s="4"/>
      <x:c r="K10" s="4"/>
      <x:c r="L10" s="4"/>
      <x:c r="M10" s="4"/>
      <x:c r="N10" s="4"/>
      <x:c r="O10" s="4"/>
      <x:c r="P10" s="4"/>
      <x:c r="Q10" s="4"/>
      <x:c r="R10" s="4"/>
      <x:c r="S10" s="4"/>
      <x:c r="T10" s="4"/>
      <x:c r="U10" s="4"/>
      <x:c r="V10" s="4"/>
      <x:c r="W10" s="4"/>
      <x:c r="X10" s="4"/>
      <x:c r="Y10" s="4"/>
      <x:c r="Z10" s="4"/>
    </x:row>
    <x:row r="11" ht="15" hidden="0" customHeight="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row>
    <x:row r="12" ht="15" hidden="0" customHeight="1">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ht="15" hidden="0" customHeight="1">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ht="15" hidden="0" customHeight="1">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ht="15" hidden="0" customHeight="1">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ht="15" hidden="0" customHeight="1">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ht="15" hidden="0" customHeight="1">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5" hidden="0" customHeight="1">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5" hidden="0" customHeight="1">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5" hidden="0" customHeight="1">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 hidden="0"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 hidden="0"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 hidden="0"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 hidden="0"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 hidden="0"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 hidden="0"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 hidden="0"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 hidden="0"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 hidden="0"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 hidden="0"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 hidden="0"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 hidden="0"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 hidden="0"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 hidden="0"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 hidden="0"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 hidden="0"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 hidden="0"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 hidden="0"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 hidden="0"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 hidden="0"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 hidden="0"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 hidden="0"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 hidden="0"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 hidden="0"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 hidden="0"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 hidden="0"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 hidden="0"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 hidden="0"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 hidden="0"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 hidden="0"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 hidden="0"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 hidden="0"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 hidden="0"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 hidden="0"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 hidden="0"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 hidden="0"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 hidden="0"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 hidden="0"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 hidden="0"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 hidden="0"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 hidden="0"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 hidden="0"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 hidden="0"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 hidden="0"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 hidden="0"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 hidden="0"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 hidden="0"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 hidden="0"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 hidden="0"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 hidden="0"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 hidden="0"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 hidden="0"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 hidden="0"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 hidden="0"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 hidden="0"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 hidden="0"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 hidden="0"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 hidden="0"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 hidden="0"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 hidden="0"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 hidden="0"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 hidden="0"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 hidden="0"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 hidden="0"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 hidden="0"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 hidden="0"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 hidden="0"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 hidden="0"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 hidden="0"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 hidden="0"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 hidden="0"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 hidden="0"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 hidden="0"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 hidden="0"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 hidden="0"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 hidden="0"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 hidden="0"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 hidden="0"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 hidden="0"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 hidden="0"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 hidden="0"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 hidden="0"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 hidden="0"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 hidden="0"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 hidden="0"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 hidden="0"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 hidden="0"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 hidden="0"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 hidden="0"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 hidden="0"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 hidden="0"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 hidden="0"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 hidden="0"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 hidden="0"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 hidden="0"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 hidden="0"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 hidden="0"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 hidden="0"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 hidden="0"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 hidden="0"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 hidden="0"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 hidden="0"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 hidden="0"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 hidden="0"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 hidden="0"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 hidden="0"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 hidden="0"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 hidden="0"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 hidden="0"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 hidden="0"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 hidden="0"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 hidden="0"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 hidden="0"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 hidden="0"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 hidden="0"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 hidden="0"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 hidden="0"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 hidden="0"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 hidden="0"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 hidden="0"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 hidden="0"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 hidden="0"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 hidden="0"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 hidden="0"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 hidden="0"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 hidden="0"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 hidden="0"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 hidden="0"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 hidden="0"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 hidden="0"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 hidden="0"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 hidden="0"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 hidden="0"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 hidden="0"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 hidden="0"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 hidden="0"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 hidden="0"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 hidden="0"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 hidden="0"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 hidden="0"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 hidden="0"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 hidden="0"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 hidden="0"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 hidden="0"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 hidden="0"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 hidden="0"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 hidden="0"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 hidden="0"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 hidden="0"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 hidden="0"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 hidden="0"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 hidden="0"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 hidden="0"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 hidden="0"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 hidden="0"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 hidden="0"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 hidden="0"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 hidden="0"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 hidden="0"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 hidden="0"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 hidden="0"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 hidden="0"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 hidden="0"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 hidden="0"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 hidden="0"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 hidden="0"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 hidden="0"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 hidden="0"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 hidden="0"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 hidden="0"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 hidden="0"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 hidden="0"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 hidden="0"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 hidden="0"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 hidden="0"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 hidden="0"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 hidden="0"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 hidden="0"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 hidden="0"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 hidden="0"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pageMargins left="0.7" right="0.7" top="0.75" bottom="0.75" header="0.3" footer="0.3"/>
</x:worksheet>
</file>