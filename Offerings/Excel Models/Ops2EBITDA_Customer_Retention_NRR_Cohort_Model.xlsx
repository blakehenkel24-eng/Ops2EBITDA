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5f74472dd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587af0684264fd2"/>
    <x:sheet xmlns:r="http://schemas.openxmlformats.org/officeDocument/2006/relationships" name="Instructions" sheetId="2" r:id="R16c0494b596f4833"/>
    <x:sheet xmlns:r="http://schemas.openxmlformats.org/officeDocument/2006/relationships" name="Inputs" sheetId="3" r:id="Ra03606091cda4eb0"/>
    <x:sheet xmlns:r="http://schemas.openxmlformats.org/officeDocument/2006/relationships" name="Customer_MRR_Data" sheetId="4" r:id="Rbef04fb9de774603"/>
    <x:sheet xmlns:r="http://schemas.openxmlformats.org/officeDocument/2006/relationships" name="Cohort_Retention" sheetId="5" r:id="Rb5f8303cfa124950"/>
    <x:sheet xmlns:r="http://schemas.openxmlformats.org/officeDocument/2006/relationships" name="NRR_Bridge" sheetId="6" r:id="Rbc9c50e520aa40b2"/>
    <x:sheet xmlns:r="http://schemas.openxmlformats.org/officeDocument/2006/relationships" name="Churn_Analysis" sheetId="7" r:id="R1d5b848c077e4ac8"/>
    <x:sheet xmlns:r="http://schemas.openxmlformats.org/officeDocument/2006/relationships" name="Renewal_Risk" sheetId="8" r:id="R284589f341a645c3"/>
    <x:sheet xmlns:r="http://schemas.openxmlformats.org/officeDocument/2006/relationships" name="Scenarios" sheetId="9" r:id="R425dade3b0a9410f"/>
    <x:sheet xmlns:r="http://schemas.openxmlformats.org/officeDocument/2006/relationships" name="EBITDA_Impact" sheetId="10" r:id="Rfba7dc917d95496e"/>
    <x:sheet xmlns:r="http://schemas.openxmlformats.org/officeDocument/2006/relationships" name="Sources" sheetId="11" r:id="Ra8df170fb6864d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%;[Red](0.0%);-"/>
    <x:numFmt numFmtId="202" formatCode="0.0x"/>
    <x:numFmt numFmtId="203" formatCode="$#,##0;[Red]($#,##0);-"/>
    <x:numFmt numFmtId="204" formatCode="mmm-yy"/>
    <x:numFmt numFmtId="205" formatCode="0.0%"/>
  </x:numFmts>
  <x:fonts count="13">
    <x:font>
      <x:sz val="11"/>
      <x:name val="Carlito"/>
    </x:font>
    <x:font>
      <x:b/>
      <x:sz val="22"/>
      <x:color rgb="161413"/>
      <x:name val="Georgia"/>
    </x:font>
    <x:font>
      <x:sz val="10"/>
      <x:color rgb="928B7E"/>
      <x:name val="Arial"/>
    </x:font>
    <x:font>
      <x:b/>
      <x:sz val="9"/>
      <x:color rgb="FFFFFF"/>
      <x:name val="Arial"/>
    </x:font>
    <x:font>
      <x:sz val="9"/>
      <x:color rgb="161413"/>
      <x:name val="Arial"/>
    </x:font>
    <x:font>
      <x:sz val="10"/>
      <x:color rgb="0000FF"/>
      <x:name val="Arial"/>
    </x:font>
    <x:font>
      <x:b/>
      <x:sz val="9"/>
      <x:color rgb="161413"/>
      <x:name val="Arial"/>
    </x:font>
    <x:font>
      <x:b/>
      <x:sz val="10"/>
      <x:color rgb="FFFFFF"/>
      <x:name val="Arial"/>
    </x:font>
    <x:font>
      <x:sz val="8"/>
      <x:color rgb="928B7E"/>
      <x:name val="Arial"/>
    </x:font>
    <x:font>
      <x:b/>
      <x:sz val="16"/>
      <x:color rgb="161413"/>
      <x:name val="Georgia"/>
    </x:font>
    <x:font>
      <x:b/>
      <x:sz val="22"/>
      <x:color rgb="161413"/>
      <x:name val="Arial"/>
    </x:font>
    <x:font>
      <x:sz val="11"/>
      <x:name val="Arial"/>
    </x:font>
    <x:font>
      <x:b/>
      <x:sz val="16"/>
      <x:color rgb="16141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4EFE6"/>
      </x:patternFill>
    </x:fill>
    <x:fill>
      <x:patternFill patternType="solid">
        <x:fgColor rgb="161413"/>
      </x:patternFill>
    </x:fill>
    <x:fill>
      <x:patternFill patternType="solid">
        <x:fgColor rgb="FFF2CC"/>
      </x:patternFill>
    </x:fill>
    <x:fill>
      <x:patternFill patternType="solid">
        <x:fgColor rgb="FBF8F2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4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0" fontId="5" fillId="4" borderId="1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  <x:xf numFmtId="201" fontId="5" fillId="4" borderId="1" xfId="0" applyNumberFormat="1" applyFont="1" applyFill="1" applyBorder="1" applyAlignment="1">
      <x:alignment horizontal="right" vertical="center"/>
    </x:xf>
    <x:xf numFmtId="202" fontId="5" fillId="4" borderId="0" xfId="0" applyNumberFormat="1" applyFont="1" applyFill="1" applyBorder="1" applyAlignment="1">
      <x:alignment horizontal="right" vertical="center"/>
    </x:xf>
    <x:xf numFmtId="202" fontId="5" fillId="4" borderId="1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3" fontId="6" fillId="2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203" fontId="4" fillId="2" borderId="1" xfId="0" applyNumberFormat="1" applyFont="1" applyFill="1" applyBorder="1" applyAlignment="1">
      <x:alignment vertical="center"/>
    </x:xf>
    <x:xf numFmtId="201" fontId="4" fillId="2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203" fontId="6" fillId="2" borderId="1" xfId="0" applyNumberFormat="1" applyFont="1" applyFill="1" applyBorder="1" applyAlignment="1">
      <x:alignment vertical="center"/>
    </x:xf>
    <x:xf numFmtId="201" fontId="6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horizontal="left" vertic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left"/>
    </x:xf>
    <x:xf numFmtId="0" fontId="7" fillId="3" borderId="1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left" vertical="top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left"/>
    </x:xf>
    <x:xf numFmtId="0" fontId="8" fillId="5" borderId="1" xfId="0" applyNumberFormat="1" applyFont="1" applyFill="1" applyBorder="1" applyAlignment="1">
      <x:alignment horizontal="left" vertical="top"/>
    </x:xf>
    <x:xf numFmtId="0" fontId="9" fillId="5" borderId="0" xfId="0" applyNumberFormat="1" applyFont="1" applyFill="1" applyBorder="1" applyAlignment="1">
      <x:alignment horizontal="left" vertical="top"/>
    </x:xf>
    <x:xf numFmtId="0" fontId="9" fillId="5" borderId="1" xfId="0" applyNumberFormat="1" applyFont="1" applyFill="1" applyBorder="1" applyAlignment="1">
      <x:alignment horizontal="left" vertical="top"/>
    </x:xf>
    <x:xf numFmtId="203" fontId="9" fillId="5" borderId="0" xfId="0" applyNumberFormat="1" applyFont="1" applyFill="1" applyBorder="1" applyAlignment="1">
      <x:alignment horizontal="left" vertical="top"/>
    </x:xf>
    <x:xf numFmtId="203" fontId="9" fillId="5" borderId="1" xfId="0" applyNumberFormat="1" applyFont="1" applyFill="1" applyBorder="1" applyAlignment="1">
      <x:alignment horizontal="left" vertical="top"/>
    </x:xf>
    <x:xf numFmtId="201" fontId="9" fillId="5" borderId="0" xfId="0" applyNumberFormat="1" applyFont="1" applyFill="1" applyBorder="1" applyAlignment="1">
      <x:alignment horizontal="left" vertical="top"/>
    </x:xf>
    <x:xf numFmtId="201" fontId="9" fillId="5" borderId="1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1" fillId="0" borderId="0" xfId="0" applyNumberFormat="1" applyFont="1" applyFill="1" applyBorder="1"/>
    <x:xf numFmtId="203" fontId="12" fillId="5" borderId="0" xfId="0" applyNumberFormat="1" applyFont="1" applyFill="1" applyBorder="1" applyAlignment="1">
      <x:alignment horizontal="left" vertical="top"/>
    </x:xf>
    <x:xf numFmtId="201" fontId="12" fillId="5" borderId="0" xfId="0" applyNumberFormat="1" applyFont="1" applyFill="1" applyBorder="1" applyAlignment="1">
      <x:alignment horizontal="left" vertical="top"/>
    </x:xf>
    <x:xf numFmtId="0" fontId="10" fillId="2" borderId="1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/>
    <x:xf numFmtId="0" fontId="11" fillId="0" borderId="1" xfId="0" applyNumberFormat="1" applyFont="1" applyFill="1" applyBorder="1"/>
    <x:xf numFmtId="203" fontId="12" fillId="5" borderId="1" xfId="0" applyNumberFormat="1" applyFont="1" applyFill="1" applyBorder="1" applyAlignment="1">
      <x:alignment horizontal="left" vertical="top"/>
    </x:xf>
    <x:xf numFmtId="201" fontId="12" fillId="5" borderId="1" xfId="0" applyNumberFormat="1" applyFont="1" applyFill="1" applyBorder="1" applyAlignment="1">
      <x:alignment horizontal="left" vertical="top"/>
    </x:xf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7A2E1F"/>
      </x:font>
      <x:fill>
        <x:patternFill patternType="solid">
          <x:bgColor rgb="F1E4DC"/>
        </x:patternFill>
      </x:fill>
    </x:dxf>
    <x:dxf>
      <x:font>
        <x:color rgb="B8862F"/>
      </x:font>
      <x:fill>
        <x:patternFill patternType="solid">
          <x:bgColor rgb="F4EFE6"/>
        </x:patternFill>
      </x:fill>
    </x:dxf>
    <x:dxf>
      <x:font>
        <x:color rgb="161413"/>
      </x:font>
      <x:fill>
        <x:patternFill patternType="solid">
          <x:bgColor rgb="FBF8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99d7a69c544a7" /><Relationship Type="http://schemas.openxmlformats.org/officeDocument/2006/relationships/theme" Target="/xl/theme/theme1.xml" Id="R216a301b4b004711" /><Relationship Type="http://schemas.openxmlformats.org/officeDocument/2006/relationships/sharedStrings" Target="/xl/sharedStrings.xml" Id="R4235a3851a5c483e" /><Relationship Type="http://schemas.openxmlformats.org/officeDocument/2006/relationships/worksheet" Target="/xl/worksheets/sheet1.xml" Id="R0587af0684264fd2" /><Relationship Type="http://schemas.openxmlformats.org/officeDocument/2006/relationships/worksheet" Target="/xl/worksheets/sheet2.xml" Id="R16c0494b596f4833" /><Relationship Type="http://schemas.openxmlformats.org/officeDocument/2006/relationships/worksheet" Target="/xl/worksheets/sheet3.xml" Id="Ra03606091cda4eb0" /><Relationship Type="http://schemas.openxmlformats.org/officeDocument/2006/relationships/worksheet" Target="/xl/worksheets/sheet4.xml" Id="Rbef04fb9de774603" /><Relationship Type="http://schemas.openxmlformats.org/officeDocument/2006/relationships/worksheet" Target="/xl/worksheets/sheet5.xml" Id="Rb5f8303cfa124950" /><Relationship Type="http://schemas.openxmlformats.org/officeDocument/2006/relationships/worksheet" Target="/xl/worksheets/sheet6.xml" Id="Rbc9c50e520aa40b2" /><Relationship Type="http://schemas.openxmlformats.org/officeDocument/2006/relationships/worksheet" Target="/xl/worksheets/sheet7.xml" Id="R1d5b848c077e4ac8" /><Relationship Type="http://schemas.openxmlformats.org/officeDocument/2006/relationships/worksheet" Target="/xl/worksheets/sheet8.xml" Id="R284589f341a645c3" /><Relationship Type="http://schemas.openxmlformats.org/officeDocument/2006/relationships/worksheet" Target="/xl/worksheets/sheet9.xml" Id="R425dade3b0a9410f" /><Relationship Type="http://schemas.openxmlformats.org/officeDocument/2006/relationships/worksheet" Target="/xl/worksheets/sheet10.xml" Id="Rfba7dc917d95496e" /><Relationship Type="http://schemas.openxmlformats.org/officeDocument/2006/relationships/worksheet" Target="/xl/worksheets/sheet11.xml" Id="Ra8df170fb6864d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a3c5dfb6ec40ad" /><Relationship Type="http://schemas.openxmlformats.org/officeDocument/2006/relationships/chart" Target="/xl/drawings/charts/chart2.xml" Id="Rbecfbaa1472d4d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fe5db1bebf446e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f653c6397be4d7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080841af0204a5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ARR Bridge</c:v>
          </c:tx>
          <c:cat>
            <c:strRef>
              <c:f>'NRR_Bridge'!$A$5:$A$9</c:f>
              <c:strCache>
                <c:ptCount val="0"/>
              </c:strCache>
            </c:strRef>
          </c:cat>
          <c:val>
            <c:numRef>
              <c:f>'NRR_Bridge'!$B$5:$B$9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NRR</c:v>
          </c:tx>
          <c:cat>
            <c:strRef>
              <c:f>'Cohort_Retention'!$A$5:$A$10</c:f>
              <c:strCache>
                <c:ptCount val="0"/>
              </c:strCache>
            </c:strRef>
          </c:cat>
          <c:val>
            <c:numRef>
              <c:f>'Cohort_Retention'!$L$5:$L$10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ARR Bridge</c:v>
          </c:tx>
          <c:cat>
            <c:strRef>
              <c:f>'NRR_Bridge'!$A$5:$A$9</c:f>
              <c:strCache>
                <c:ptCount val="0"/>
              </c:strCache>
            </c:strRef>
          </c:cat>
          <c:val>
            <c:numRef>
              <c:f>'NRR_Bridge'!$B$5:$B$9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NRR</c:v>
          </c:tx>
          <c:cat>
            <c:strRef>
              <c:f>'Churn_Analysis'!$A$16:$A$18</c:f>
              <c:strCache>
                <c:ptCount val="0"/>
              </c:strCache>
            </c:strRef>
          </c:cat>
          <c:val>
            <c:numRef>
              <c:f>'Churn_Analysis'!$H$16:$H$18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EV Impact</c:v>
          </c:tx>
          <c:cat>
            <c:strRef>
              <c:f>'Scenarios'!$A$5:$A$7</c:f>
              <c:strCache>
                <c:ptCount val="0"/>
              </c:strCache>
            </c:strRef>
          </c:cat>
          <c:val>
            <c:numRef>
              <c:f>'Scenarios'!$H$5:$H$7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12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a3c5dfb6ec40ad"/>
        </a:graphicData>
      </a:graphic>
    </xdr:graphicFrame>
    <xdr:clientData/>
  </xdr:twoCellAnchor>
  <xdr:twoCellAnchor>
    <xdr:from>
      <xdr:col>11</xdr:col>
      <xdr:colOff>0</xdr:colOff>
      <xdr:row>28</xdr:row>
      <xdr:rowOff>0</xdr:rowOff>
    </xdr:from>
    <xdr:to>
      <xdr:col>19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cfbaa1472d4d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e5db1bebf446e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653c6397be4d7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80841af0204a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MRRData" displayName="CustomerMRRData" ref="A1:Y37" headerRowCount="1">
  <x:tableColumns count="25">
    <x:tableColumn id="1" name="Customer_ID"/>
    <x:tableColumn id="2" name="Customer"/>
    <x:tableColumn id="3" name="Cohort_Month"/>
    <x:tableColumn id="4" name="Segment"/>
    <x:tableColumn id="5" name="Industry"/>
    <x:tableColumn id="6" name="Region"/>
    <x:tableColumn id="7" name="CSM"/>
    <x:tableColumn id="8" name="Beginning_ARR_$"/>
    <x:tableColumn id="9" name="Ending_ARR_$"/>
    <x:tableColumn id="10" name="Expansion_$"/>
    <x:tableColumn id="11" name="Contraction_$"/>
    <x:tableColumn id="12" name="Churned_ARR_$"/>
    <x:tableColumn id="13" name="Gross_Retained_ARR_$"/>
    <x:tableColumn id="14" name="Net_Retained_ARR_$"/>
    <x:tableColumn id="15" name="GRR_%"/>
    <x:tableColumn id="16" name="NRR_%"/>
    <x:tableColumn id="17" name="Logo_Status"/>
    <x:tableColumn id="18" name="Churn_Reason"/>
    <x:tableColumn id="19" name="Renewal_Date"/>
    <x:tableColumn id="20" name="Health_Score"/>
    <x:tableColumn id="21" name="Usage_%"/>
    <x:tableColumn id="22" name="Support_Tickets"/>
    <x:tableColumn id="23" name="Renewal_Risk"/>
    <x:tableColumn id="24" name="Recommended_Action"/>
    <x:tableColumn id="25" name="Priority_Score"/>
  </x:tableColumns>
  <x:tableStyleInfo name="TableStyleMedium2" showRowStripes="1"/>
</x:table>
</file>

<file path=xl/tables/table2.xml><?xml version="1.0" encoding="utf-8"?>
<x:table xmlns:x="http://schemas.openxmlformats.org/spreadsheetml/2006/main" id="2" name="CohortRetention" displayName="CohortRetention" ref="A4:L11" headerRowCount="1">
  <x:tableColumns count="12">
    <x:tableColumn id="1" name="Cohort"/>
    <x:tableColumn id="2" name="Customer Count"/>
    <x:tableColumn id="3" name="Beginning ARR"/>
    <x:tableColumn id="4" name="Ending ARR"/>
    <x:tableColumn id="5" name="Expansion"/>
    <x:tableColumn id="6" name="Contraction"/>
    <x:tableColumn id="7" name="Churned ARR"/>
    <x:tableColumn id="8" name="Gross Retained ARR"/>
    <x:tableColumn id="9" name="Net Retained ARR"/>
    <x:tableColumn id="10" name="Logo Retention %"/>
    <x:tableColumn id="11" name="GRR %"/>
    <x:tableColumn id="12" name="NRR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4817d2d3fe46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85e54f60d9441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d106f0a64fb45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50d4397a2a6146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1c70cf4dc60944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aeeb119ee4a941b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</x:cols>
  <x:sheetData>
    <x:row r="1" ht="34" customHeight="1">
      <x:c r="A1" s="84" t="str">
        <x:v>Ops2EBITDA · Customer Retention / NRR Cohort Model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2" customHeight="1">
      <x:c r="A2" s="9" t="str">
        <x:v>Diagnose GRR, NRR, logo churn, expansion, renewal risk, and retention-driven EBITDA impact.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71" t="str">
        <x:v>Beginning ARR</x:v>
      </x:c>
      <x:c r="B4" s="71"/>
      <x:c r="C4" s="71"/>
      <x:c r="D4" s="71" t="str">
        <x:v>Ending ARR</x:v>
      </x:c>
      <x:c r="E4" s="71"/>
      <x:c r="F4" s="71"/>
      <x:c r="G4" s="71" t="str">
        <x:v>GRR</x:v>
      </x:c>
      <x:c r="H4" s="71"/>
      <x:c r="I4" s="71"/>
      <x:c r="J4" s="71" t="str">
        <x:v>NRR</x:v>
      </x:c>
      <x:c r="K4" s="71"/>
      <x:c r="L4" s="71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87" t="n">
        <x:f>SUM(Customer_MRR_Data!$H:$H)</x:f>
        <x:v>6395000</x:v>
      </x:c>
      <x:c r="B5" s="71"/>
      <x:c r="C5" s="71"/>
      <x:c r="D5" s="87" t="n">
        <x:f>SUM(Customer_MRR_Data!$I:$I)</x:f>
        <x:v>5826000</x:v>
      </x:c>
      <x:c r="E5" s="71"/>
      <x:c r="F5" s="71"/>
      <x:c r="G5" s="88" t="n">
        <x:f>SUM(Customer_MRR_Data!$M:$M)/SUM(Customer_MRR_Data!$H:$H)</x:f>
        <x:v>0.8772478498827209</x:v>
      </x:c>
      <x:c r="H5" s="71"/>
      <x:c r="I5" s="71"/>
      <x:c r="J5" s="88" t="n">
        <x:f>SUM(Customer_MRR_Data!$N:$N)/SUM(Customer_MRR_Data!$H:$H)</x:f>
        <x:v>0.911024237685692</x:v>
      </x:c>
      <x:c r="K5" s="71"/>
      <x:c r="L5" s="71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86"/>
      <x:c r="B7" s="86"/>
      <x:c r="C7" s="86"/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71" t="str">
        <x:v>Logo Retention</x:v>
      </x:c>
      <x:c r="B8" s="71"/>
      <x:c r="C8" s="71"/>
      <x:c r="D8" s="71" t="str">
        <x:v>At-Risk ARR</x:v>
      </x:c>
      <x:c r="E8" s="71"/>
      <x:c r="F8" s="71"/>
      <x:c r="G8" s="71" t="str">
        <x:v>Churned ARR</x:v>
      </x:c>
      <x:c r="H8" s="71"/>
      <x:c r="I8" s="71"/>
      <x:c r="J8" s="71" t="str">
        <x:v>Base EV Upside</x:v>
      </x:c>
      <x:c r="K8" s="71"/>
      <x:c r="L8" s="71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88" t="n">
        <x:f>COUNTIFS(Customer_MRR_Data!$Q:$Q,"Active")/COUNTA(Customer_MRR_Data!$A$2:$A$37)</x:f>
        <x:v>0.8333333333333334</x:v>
      </x:c>
      <x:c r="B9" s="71"/>
      <x:c r="C9" s="71"/>
      <x:c r="D9" s="87" t="n">
        <x:f>SUMIFS(Customer_MRR_Data!$H:$H,Customer_MRR_Data!$W:$W,"High")</x:f>
        <x:v>924000</x:v>
      </x:c>
      <x:c r="E9" s="71"/>
      <x:c r="F9" s="71"/>
      <x:c r="G9" s="87" t="n">
        <x:f>SUM(Customer_MRR_Data!$L:$L)</x:f>
        <x:v>707000</x:v>
      </x:c>
      <x:c r="H9" s="71"/>
      <x:c r="I9" s="71"/>
      <x:c r="J9" s="87" t="n">
        <x:f>Scenarios!H6</x:f>
        <x:v>2148720</x:v>
      </x:c>
      <x:c r="K9" s="71"/>
      <x:c r="L9" s="71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71"/>
      <x:c r="B10" s="71"/>
      <x:c r="C10" s="71"/>
      <x:c r="D10" s="71"/>
      <x:c r="E10" s="71"/>
      <x:c r="F10" s="71"/>
      <x:c r="G10" s="71"/>
      <x:c r="H10" s="71"/>
      <x:c r="I10" s="71"/>
      <x:c r="J10" s="71"/>
      <x:c r="K10" s="71"/>
      <x:c r="L10" s="71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 ht="20" customHeight="1">
      <x:c r="A12" s="62" t="str">
        <x:v>At-Risk Renewal Priorities</x:v>
      </x:c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 ht="28" customHeight="1">
      <x:c r="A13" s="16" t="str">
        <x:v>Rank</x:v>
      </x:c>
      <x:c r="B13" s="16" t="str">
        <x:v>Customer</x:v>
      </x:c>
      <x:c r="C13" s="16" t="str">
        <x:v>Segment</x:v>
      </x:c>
      <x:c r="D13" s="16" t="str">
        <x:v>CSM</x:v>
      </x:c>
      <x:c r="E13" s="16" t="str">
        <x:v>Renewal Date</x:v>
      </x:c>
      <x:c r="F13" s="16" t="str">
        <x:v>Health</x:v>
      </x:c>
      <x:c r="G13" s="16" t="str">
        <x:v>Usage</x:v>
      </x:c>
      <x:c r="H13" s="16" t="str">
        <x:v>ARR at Risk</x:v>
      </x:c>
      <x:c r="I13" s="16" t="str">
        <x:v>Risk</x:v>
      </x:c>
      <x:c r="J13" s="16" t="str">
        <x:v>Action</x:v>
      </x:c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23" t="n">
        <x:f>Renewal_Risk!A5</x:f>
        <x:v>1</x:v>
      </x:c>
      <x:c r="B14" s="23" t="str">
        <x:f>Renewal_Risk!B5</x:f>
        <x:v>Apex Claims</x:v>
      </x:c>
      <x:c r="C14" s="23" t="str">
        <x:f>Renewal_Risk!C5</x:f>
        <x:v>Mid-Market</x:v>
      </x:c>
      <x:c r="D14" s="23" t="str">
        <x:f>Renewal_Risk!D5</x:f>
        <x:v>Maya Singh</x:v>
      </x:c>
      <x:c r="E14" s="44" t="n">
        <x:f>Renewal_Risk!E5</x:f>
        <x:v>46231</x:v>
      </x:c>
      <x:c r="F14" s="23" t="n">
        <x:f>Renewal_Risk!F5</x:f>
        <x:v>52</x:v>
      </x:c>
      <x:c r="G14" s="46" t="n">
        <x:f>Renewal_Risk!G5</x:f>
        <x:v>0.41</x:v>
      </x:c>
      <x:c r="H14" s="38" t="n">
        <x:f>Renewal_Risk!H5</x:f>
        <x:v>132000</x:v>
      </x:c>
      <x:c r="I14" s="23" t="str">
        <x:f>Renewal_Risk!I5</x:f>
        <x:v>High</x:v>
      </x:c>
      <x:c r="J14" s="23" t="str">
        <x:f>Renewal_Risk!J5</x:f>
        <x:v>Executive save plan + adoption intervention</x:v>
      </x:c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23" t="n">
        <x:f>Renewal_Risk!A6</x:f>
        <x:v>2</x:v>
      </x:c>
      <x:c r="B15" s="23" t="str">
        <x:f>Renewal_Risk!B6</x:f>
        <x:v>Horizon Parts</x:v>
      </x:c>
      <x:c r="C15" s="23" t="str">
        <x:f>Renewal_Risk!C6</x:f>
        <x:v>Mid-Market</x:v>
      </x:c>
      <x:c r="D15" s="23" t="str">
        <x:f>Renewal_Risk!D6</x:f>
        <x:v>Nora Patel</x:v>
      </x:c>
      <x:c r="E15" s="44" t="n">
        <x:f>Renewal_Risk!E6</x:f>
        <x:v>46081</x:v>
      </x:c>
      <x:c r="F15" s="23" t="n">
        <x:f>Renewal_Risk!F6</x:f>
        <x:v>55</x:v>
      </x:c>
      <x:c r="G15" s="46" t="n">
        <x:f>Renewal_Risk!G6</x:f>
        <x:v>0.42</x:v>
      </x:c>
      <x:c r="H15" s="38" t="n">
        <x:f>Renewal_Risk!H6</x:f>
        <x:v>142000</x:v>
      </x:c>
      <x:c r="I15" s="23" t="str">
        <x:f>Renewal_Risk!I6</x:f>
        <x:v>High</x:v>
      </x:c>
      <x:c r="J15" s="23" t="str">
        <x:f>Renewal_Risk!J6</x:f>
        <x:v>Executive save plan + adoption intervention</x:v>
      </x:c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23" t="n">
        <x:f>Renewal_Risk!A7</x:f>
        <x:v>3</x:v>
      </x:c>
      <x:c r="B16" s="23" t="str">
        <x:f>Renewal_Risk!B7</x:f>
        <x:v>Pioneer Freight</x:v>
      </x:c>
      <x:c r="C16" s="23" t="str">
        <x:f>Renewal_Risk!C7</x:f>
        <x:v>Enterprise</x:v>
      </x:c>
      <x:c r="D16" s="23" t="str">
        <x:f>Renewal_Risk!D7</x:f>
        <x:v>Nora Patel</x:v>
      </x:c>
      <x:c r="E16" s="44" t="n">
        <x:f>Renewal_Risk!E7</x:f>
        <x:v>46285</x:v>
      </x:c>
      <x:c r="F16" s="23" t="n">
        <x:f>Renewal_Risk!F7</x:f>
        <x:v>54</x:v>
      </x:c>
      <x:c r="G16" s="46" t="n">
        <x:f>Renewal_Risk!G7</x:f>
        <x:v>0.39</x:v>
      </x:c>
      <x:c r="H16" s="38" t="n">
        <x:f>Renewal_Risk!H7</x:f>
        <x:v>340000</x:v>
      </x:c>
      <x:c r="I16" s="23" t="str">
        <x:f>Renewal_Risk!I7</x:f>
        <x:v>High</x:v>
      </x:c>
      <x:c r="J16" s="23" t="str">
        <x:f>Renewal_Risk!J7</x:f>
        <x:v>Executive save plan + adoption intervention</x:v>
      </x:c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23" t="n">
        <x:f>Renewal_Risk!A8</x:f>
        <x:v>4</x:v>
      </x:c>
      <x:c r="B17" s="23" t="str">
        <x:f>Renewal_Risk!B8</x:f>
        <x:v>Cedar Logistics</x:v>
      </x:c>
      <x:c r="C17" s="23" t="str">
        <x:f>Renewal_Risk!C8</x:f>
        <x:v>Enterprise</x:v>
      </x:c>
      <x:c r="D17" s="23" t="str">
        <x:f>Renewal_Risk!D8</x:f>
        <x:v>Jordan Chen</x:v>
      </x:c>
      <x:c r="E17" s="44" t="n">
        <x:f>Renewal_Risk!E8</x:f>
        <x:v>46241</x:v>
      </x:c>
      <x:c r="F17" s="23" t="n">
        <x:f>Renewal_Risk!F8</x:f>
        <x:v>61</x:v>
      </x:c>
      <x:c r="G17" s="46" t="n">
        <x:f>Renewal_Risk!G8</x:f>
        <x:v>0.49</x:v>
      </x:c>
      <x:c r="H17" s="38" t="n">
        <x:f>Renewal_Risk!H8</x:f>
        <x:v>310000</x:v>
      </x:c>
      <x:c r="I17" s="23" t="str">
        <x:f>Renewal_Risk!I8</x:f>
        <x:v>High</x:v>
      </x:c>
      <x:c r="J17" s="23" t="str">
        <x:f>Renewal_Risk!J8</x:f>
        <x:v>Executive save plan + adoption intervention</x:v>
      </x:c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23" t="n">
        <x:f>Renewal_Risk!A9</x:f>
        <x:v>5</x:v>
      </x:c>
      <x:c r="B18" s="23" t="str">
        <x:f>Renewal_Risk!B9</x:f>
        <x:v>Union Billing</x:v>
      </x:c>
      <x:c r="C18" s="23" t="str">
        <x:f>Renewal_Risk!C9</x:f>
        <x:v>SMB</x:v>
      </x:c>
      <x:c r="D18" s="23" t="str">
        <x:f>Renewal_Risk!D9</x:f>
        <x:v>Leo Park</x:v>
      </x:c>
      <x:c r="E18" s="44" t="n">
        <x:f>Renewal_Risk!E9</x:f>
        <x:v>46078</x:v>
      </x:c>
      <x:c r="F18" s="23" t="n">
        <x:f>Renewal_Risk!F9</x:f>
        <x:v>59</x:v>
      </x:c>
      <x:c r="G18" s="46" t="n">
        <x:f>Renewal_Risk!G9</x:f>
        <x:v>0.46</x:v>
      </x:c>
      <x:c r="H18" s="38" t="n">
        <x:f>Renewal_Risk!H9</x:f>
        <x:v>66000</x:v>
      </x:c>
      <x:c r="I18" s="23" t="str">
        <x:f>Renewal_Risk!I9</x:f>
        <x:v>Medium</x:v>
      </x:c>
      <x:c r="J18" s="23" t="str">
        <x:f>Renewal_Risk!J9</x:f>
        <x:v>CSM action plan before renewal</x:v>
      </x:c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23" t="n">
        <x:f>Renewal_Risk!A10</x:f>
        <x:v>6</x:v>
      </x:c>
      <x:c r="B19" s="23" t="str">
        <x:f>Renewal_Risk!B10</x:f>
        <x:v>BlueRiver Health</x:v>
      </x:c>
      <x:c r="C19" s="23" t="str">
        <x:f>Renewal_Risk!C10</x:f>
        <x:v>Mid-Market</x:v>
      </x:c>
      <x:c r="D19" s="23" t="str">
        <x:f>Renewal_Risk!D10</x:f>
        <x:v>Maya Singh</x:v>
      </x:c>
      <x:c r="E19" s="44" t="n">
        <x:f>Renewal_Risk!E10</x:f>
        <x:v>46209</x:v>
      </x:c>
      <x:c r="F19" s="23" t="n">
        <x:f>Renewal_Risk!F10</x:f>
        <x:v>68</x:v>
      </x:c>
      <x:c r="G19" s="46" t="n">
        <x:f>Renewal_Risk!G10</x:f>
        <x:v>0.58</x:v>
      </x:c>
      <x:c r="H19" s="38" t="n">
        <x:f>Renewal_Risk!H10</x:f>
        <x:v>155000</x:v>
      </x:c>
      <x:c r="I19" s="23" t="str">
        <x:f>Renewal_Risk!I10</x:f>
        <x:v>Medium</x:v>
      </x:c>
      <x:c r="J19" s="23" t="str">
        <x:f>Renewal_Risk!J10</x:f>
        <x:v>CSM action plan before renewal</x:v>
      </x:c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23" t="n">
        <x:f>Renewal_Risk!A11</x:f>
        <x:v>7</x:v>
      </x:c>
      <x:c r="B20" s="23" t="str">
        <x:f>Renewal_Risk!B11</x:f>
        <x:v>Keystone Plastics</x:v>
      </x:c>
      <x:c r="C20" s="23" t="str">
        <x:f>Renewal_Risk!C11</x:f>
        <x:v>Enterprise</x:v>
      </x:c>
      <x:c r="D20" s="23" t="str">
        <x:f>Renewal_Risk!D11</x:f>
        <x:v>Jordan Chen</x:v>
      </x:c>
      <x:c r="E20" s="44" t="n">
        <x:f>Renewal_Risk!E11</x:f>
        <x:v>46127</x:v>
      </x:c>
      <x:c r="F20" s="23" t="n">
        <x:f>Renewal_Risk!F11</x:f>
        <x:v>66</x:v>
      </x:c>
      <x:c r="G20" s="46" t="n">
        <x:f>Renewal_Risk!G11</x:f>
        <x:v>0.56</x:v>
      </x:c>
      <x:c r="H20" s="38" t="n">
        <x:f>Renewal_Risk!H11</x:f>
        <x:v>260000</x:v>
      </x:c>
      <x:c r="I20" s="23" t="str">
        <x:f>Renewal_Risk!I11</x:f>
        <x:v>Medium</x:v>
      </x:c>
      <x:c r="J20" s="23" t="str">
        <x:f>Renewal_Risk!J11</x:f>
        <x:v>CSM action plan before renewal</x:v>
      </x:c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23" t="n">
        <x:f>Renewal_Risk!A12</x:f>
        <x:v>8</x:v>
      </x:c>
      <x:c r="B21" s="23" t="str">
        <x:f>Renewal_Risk!B12</x:f>
        <x:v>Yardline Medical</x:v>
      </x:c>
      <x:c r="C21" s="23" t="str">
        <x:f>Renewal_Risk!C12</x:f>
        <x:v>SMB</x:v>
      </x:c>
      <x:c r="D21" s="23" t="str">
        <x:f>Renewal_Risk!D12</x:f>
        <x:v>Leo Park</x:v>
      </x:c>
      <x:c r="E21" s="44" t="n">
        <x:f>Renewal_Risk!E12</x:f>
        <x:v>46170</x:v>
      </x:c>
      <x:c r="F21" s="23" t="n">
        <x:f>Renewal_Risk!F12</x:f>
        <x:v>64</x:v>
      </x:c>
      <x:c r="G21" s="46" t="n">
        <x:f>Renewal_Risk!G12</x:f>
        <x:v>0.55</x:v>
      </x:c>
      <x:c r="H21" s="38" t="n">
        <x:f>Renewal_Risk!H12</x:f>
        <x:v>52000</x:v>
      </x:c>
      <x:c r="I21" s="23" t="str">
        <x:f>Renewal_Risk!I12</x:f>
        <x:v>Medium</x:v>
      </x:c>
      <x:c r="J21" s="23" t="str">
        <x:f>Renewal_Risk!J12</x:f>
        <x:v>CSM action plan before renewal</x:v>
      </x:c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23" t="n">
        <x:f>Renewal_Risk!A13</x:f>
        <x:v>9</x:v>
      </x:c>
      <x:c r="B22" s="23" t="str">
        <x:f>Renewal_Risk!B13</x:f>
        <x:v>Ivy Claims</x:v>
      </x:c>
      <x:c r="C22" s="23" t="str">
        <x:f>Renewal_Risk!C13</x:f>
        <x:v>SMB</x:v>
      </x:c>
      <x:c r="D22" s="23" t="str">
        <x:f>Renewal_Risk!D13</x:f>
        <x:v>Leo Park</x:v>
      </x:c>
      <x:c r="E22" s="44" t="n">
        <x:f>Renewal_Risk!E13</x:f>
        <x:v>46109</x:v>
      </x:c>
      <x:c r="F22" s="23" t="n">
        <x:f>Renewal_Risk!F13</x:f>
        <x:v>67</x:v>
      </x:c>
      <x:c r="G22" s="46" t="n">
        <x:f>Renewal_Risk!G13</x:f>
        <x:v>0.54</x:v>
      </x:c>
      <x:c r="H22" s="38" t="n">
        <x:f>Renewal_Risk!H13</x:f>
        <x:v>45000</x:v>
      </x:c>
      <x:c r="I22" s="23" t="str">
        <x:f>Renewal_Risk!I13</x:f>
        <x:v>Medium</x:v>
      </x:c>
      <x:c r="J22" s="23" t="str">
        <x:f>Renewal_Risk!J13</x:f>
        <x:v>CSM action plan before renewal</x:v>
      </x:c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23" t="n">
        <x:f>Renewal_Risk!A14</x:f>
        <x:v>10</x:v>
      </x:c>
      <x:c r="B23" s="23" t="str">
        <x:f>Renewal_Risk!B14</x:f>
        <x:v>Lakeview Supply</x:v>
      </x:c>
      <x:c r="C23" s="23" t="str">
        <x:f>Renewal_Risk!C14</x:f>
        <x:v>SMB</x:v>
      </x:c>
      <x:c r="D23" s="23" t="str">
        <x:f>Renewal_Risk!D14</x:f>
        <x:v>Leo Park</x:v>
      </x:c>
      <x:c r="E23" s="44" t="n">
        <x:f>Renewal_Risk!E14</x:f>
        <x:v>46158</x:v>
      </x:c>
      <x:c r="F23" s="23" t="n">
        <x:f>Renewal_Risk!F14</x:f>
        <x:v>69</x:v>
      </x:c>
      <x:c r="G23" s="46" t="n">
        <x:f>Renewal_Risk!G14</x:f>
        <x:v>0.57</x:v>
      </x:c>
      <x:c r="H23" s="38" t="n">
        <x:f>Renewal_Risk!H14</x:f>
        <x:v>54000</x:v>
      </x:c>
      <x:c r="I23" s="23" t="str">
        <x:f>Renewal_Risk!I14</x:f>
        <x:v>Medium</x:v>
      </x:c>
      <x:c r="J23" s="23" t="str">
        <x:f>Renewal_Risk!J14</x:f>
        <x:v>CSM action plan before renewal</x:v>
      </x:c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L1"/>
    <x:mergeCell ref="A2:L2"/>
    <x:mergeCell ref="A4:C6"/>
    <x:mergeCell ref="D4:F6"/>
    <x:mergeCell ref="G4:I6"/>
    <x:mergeCell ref="J4:L6"/>
    <x:mergeCell ref="A8:C10"/>
    <x:mergeCell ref="D8:F10"/>
    <x:mergeCell ref="G8:I10"/>
    <x:mergeCell ref="J8:L10"/>
    <x:mergeCell ref="A12:L12"/>
  </x:mergeCells>
  <x:pageMargins left="0.7" right="0.7" top="0.75" bottom="0.75" header="0.3" footer="0.3"/>
  <x:drawing xmlns:r="http://schemas.openxmlformats.org/officeDocument/2006/relationships" r:id="R034817d2d3fe467e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4" hidden="0" customWidth="1"/>
  </x:cols>
  <x:sheetData>
    <x:row r="1" ht="34" customHeight="1">
      <x:c r="A1" s="84" t="str">
        <x:v>How to Use This Model</x:v>
      </x:c>
      <x:c r="B1" s="86"/>
      <x:c r="C1" s="94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2" customHeight="1">
      <x:c r="A2" s="9" t="str">
        <x:v>Workflow, data requirements, and interpretation guide.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8" customHeight="1">
      <x:c r="A4" s="16" t="str">
        <x:v>Step</x:v>
      </x:c>
      <x:c r="B4" s="16" t="str">
        <x:v>Action</x:v>
      </x:c>
      <x:c r="C4" s="16" t="str">
        <x:v>Notes</x:v>
      </x:c>
      <x:c r="D4" s="86"/>
      <x:c r="E4" s="86"/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23" t="str">
        <x:v>1</x:v>
      </x:c>
      <x:c r="B5" s="23" t="str">
        <x:v>Replace sample customer data</x:v>
      </x:c>
      <x:c r="C5" s="23" t="str">
        <x:v>Paste customer-level ARR / MRR, renewal, health, support, and churn data into Customer_MRR_Data.</x:v>
      </x:c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23" t="str">
        <x:v>2</x:v>
      </x:c>
      <x:c r="B6" s="23" t="str">
        <x:v>Review Inputs</x:v>
      </x:c>
      <x:c r="C6" s="23" t="str">
        <x:v>Update target NRR, contribution margin, exit multiple, and risk thresholds on Inputs.</x:v>
      </x:c>
      <x:c r="D6" s="86"/>
      <x:c r="E6" s="86"/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23" t="str">
        <x:v>3</x:v>
      </x:c>
      <x:c r="B7" s="23" t="str">
        <x:v>Read retention output</x:v>
      </x:c>
      <x:c r="C7" s="23" t="str">
        <x:v>Use Cohort_Retention, NRR_Bridge, and Churn_Analysis to diagnose where retention leakage lives.</x:v>
      </x:c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23" t="str">
        <x:v>4</x:v>
      </x:c>
      <x:c r="B8" s="23" t="str">
        <x:v>Prioritize accounts</x:v>
      </x:c>
      <x:c r="C8" s="23" t="str">
        <x:v>Use Renewal_Risk and Dashboard to identify high-risk ARR and recommended save actions.</x:v>
      </x:c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23" t="str">
        <x:v>5</x:v>
      </x:c>
      <x:c r="B9" s="23" t="str">
        <x:v>Size value impact</x:v>
      </x:c>
      <x:c r="C9" s="23" t="str">
        <x:v>Use Scenarios and EBITDA_Impact to translate retention improvement into EBITDA and enterprise value impact.</x:v>
      </x:c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23" t="str">
        <x:v>6</x:v>
      </x:c>
      <x:c r="B10" s="23" t="str">
        <x:v>Turn into management actions</x:v>
      </x:c>
      <x:c r="C10" s="23" t="str">
        <x:v>Move high-risk accounts into a customer success save plan with owners, dates, and weekly review cadence.</x:v>
      </x:c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38" hidden="0" customWidth="1"/>
    <x:col min="5" max="5" width="18" hidden="0" customWidth="1"/>
    <x:col min="6" max="6" width="18" hidden="0" customWidth="1"/>
  </x:cols>
  <x:sheetData>
    <x:row r="1" ht="34" customHeight="1">
      <x:c r="A1" s="84" t="str">
        <x:v>Ops2EBITDA · Customer Retention / NRR Cohort Model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2" customHeight="1">
      <x:c r="A2" s="9" t="str">
        <x:v>Editable assumptions for retention, churn, expansion, and valuation impact.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8" customHeight="1">
      <x:c r="A4" s="16" t="str">
        <x:v>Assumption</x:v>
      </x:c>
      <x:c r="B4" s="16" t="str">
        <x:v>Value</x:v>
      </x:c>
      <x:c r="C4" s="16" t="str">
        <x:v>Units / Notes</x:v>
      </x:c>
      <x:c r="D4" s="86"/>
      <x:c r="E4" s="16" t="str">
        <x:v>Validation Lists</x:v>
      </x:c>
      <x:c r="F4" s="16" t="str">
        <x:v>Values</x:v>
      </x:c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23" t="str">
        <x:v>Analysis Start Date</x:v>
      </x:c>
      <x:c r="B5" s="32" t="n">
        <x:v>46023</x:v>
      </x:c>
      <x:c r="C5" s="23" t="str">
        <x:v>Start of performance period</x:v>
      </x:c>
      <x:c r="D5" s="86"/>
      <x:c r="E5" s="23" t="str">
        <x:v>Segment</x:v>
      </x:c>
      <x:c r="F5" s="23" t="str">
        <x:v>Enterprise</x:v>
      </x:c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23" t="str">
        <x:v>Analysis End Date</x:v>
      </x:c>
      <x:c r="B6" s="32" t="n">
        <x:v>46387</x:v>
      </x:c>
      <x:c r="C6" s="23" t="str">
        <x:v>End of performance period</x:v>
      </x:c>
      <x:c r="D6" s="86"/>
      <x:c r="E6" s="23" t="str">
        <x:v>Segment</x:v>
      </x:c>
      <x:c r="F6" s="23" t="str">
        <x:v>Mid-Market</x:v>
      </x:c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23" t="str">
        <x:v>Target NRR</x:v>
      </x:c>
      <x:c r="B7" s="34" t="n">
        <x:v>1.08</x:v>
      </x:c>
      <x:c r="C7" s="23" t="str">
        <x:v>Management case target</x:v>
      </x:c>
      <x:c r="D7" s="86"/>
      <x:c r="E7" s="23" t="str">
        <x:v>Segment</x:v>
      </x:c>
      <x:c r="F7" s="23" t="str">
        <x:v>SMB</x:v>
      </x:c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23" t="str">
        <x:v>Target GRR</x:v>
      </x:c>
      <x:c r="B8" s="34" t="n">
        <x:v>0.92</x:v>
      </x:c>
      <x:c r="C8" s="23" t="str">
        <x:v>Gross retention target</x:v>
      </x:c>
      <x:c r="D8" s="86"/>
      <x:c r="E8" s="23" t="str">
        <x:v>Region</x:v>
      </x:c>
      <x:c r="F8" s="23" t="str">
        <x:v>North America</x:v>
      </x:c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23" t="str">
        <x:v>Contribution Margin</x:v>
      </x:c>
      <x:c r="B9" s="36" t="n">
        <x:v>0.7</x:v>
      </x:c>
      <x:c r="C9" s="23" t="str">
        <x:v>Incremental ARR drop-through to EBITDA</x:v>
      </x:c>
      <x:c r="D9" s="86"/>
      <x:c r="E9" s="23" t="str">
        <x:v>Region</x:v>
      </x:c>
      <x:c r="F9" s="23" t="str">
        <x:v>EMEA</x:v>
      </x:c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23" t="str">
        <x:v>Exit Multiple</x:v>
      </x:c>
      <x:c r="B10" s="34" t="n">
        <x:v>12</x:v>
      </x:c>
      <x:c r="C10" s="23" t="str">
        <x:v>EBITDA multiple</x:v>
      </x:c>
      <x:c r="D10" s="86"/>
      <x:c r="E10" s="23" t="str">
        <x:v>Region</x:v>
      </x:c>
      <x:c r="F10" s="23" t="str">
        <x:v>APAC</x:v>
      </x:c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23" t="str">
        <x:v>High Risk Health Score Threshold</x:v>
      </x:c>
      <x:c r="B11" s="34" t="n">
        <x:v>55</x:v>
      </x:c>
      <x:c r="C11" s="23" t="str">
        <x:v>Below threshold = high risk</x:v>
      </x:c>
      <x:c r="D11" s="86"/>
      <x:c r="E11" s="23" t="str">
        <x:v>Logo Status</x:v>
      </x:c>
      <x:c r="F11" s="23" t="str">
        <x:v>Active</x:v>
      </x:c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23" t="str">
        <x:v>Medium Risk Health Score Threshold</x:v>
      </x:c>
      <x:c r="B12" s="28" t="n">
        <x:v>70</x:v>
      </x:c>
      <x:c r="C12" s="23" t="str">
        <x:v>Below threshold = medium risk</x:v>
      </x:c>
      <x:c r="D12" s="86"/>
      <x:c r="E12" s="23" t="str">
        <x:v>Logo Status</x:v>
      </x:c>
      <x:c r="F12" s="23" t="str">
        <x:v>Churned</x:v>
      </x:c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23" t="str">
        <x:v>High Risk Usage Threshold</x:v>
      </x:c>
      <x:c r="B13" s="28" t="n">
        <x:v>0.4</x:v>
      </x:c>
      <x:c r="C13" s="23" t="str">
        <x:v>Below threshold = high risk</x:v>
      </x:c>
      <x:c r="D13" s="86"/>
      <x:c r="E13" s="23" t="str">
        <x:v>Risk</x:v>
      </x:c>
      <x:c r="F13" s="23" t="str">
        <x:v>Low</x:v>
      </x:c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23" t="str">
        <x:v>Medium Risk Usage Threshold</x:v>
      </x:c>
      <x:c r="B14" s="28" t="n">
        <x:v>0.6</x:v>
      </x:c>
      <x:c r="C14" s="23" t="str">
        <x:v>Below threshold = medium risk</x:v>
      </x:c>
      <x:c r="D14" s="86"/>
      <x:c r="E14" s="23" t="str">
        <x:v>Risk</x:v>
      </x:c>
      <x:c r="F14" s="23" t="str">
        <x:v>Medium</x:v>
      </x:c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23" t="str">
        <x:v>High Ticket Threshold</x:v>
      </x:c>
      <x:c r="B15" s="28" t="n">
        <x:v>12</x:v>
      </x:c>
      <x:c r="C15" s="23" t="str">
        <x:v>Above threshold = high risk</x:v>
      </x:c>
      <x:c r="D15" s="86"/>
      <x:c r="E15" s="23" t="str">
        <x:v>Risk</x:v>
      </x:c>
      <x:c r="F15" s="23" t="str">
        <x:v>High</x:v>
      </x:c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23" t="str">
        <x:v>Medium Ticket Threshold</x:v>
      </x:c>
      <x:c r="B16" s="28" t="n">
        <x:v>8</x:v>
      </x:c>
      <x:c r="C16" s="23" t="str">
        <x:v>Above threshold = medium risk</x:v>
      </x:c>
      <x:c r="D16" s="86"/>
      <x:c r="E16" s="23" t="str">
        <x:v>Risk</x:v>
      </x:c>
      <x:c r="F16" s="23" t="str">
        <x:v>Lost</x:v>
      </x:c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23" t="str">
        <x:v>Renewal Window Days</x:v>
      </x:c>
      <x:c r="B17" s="28" t="n">
        <x:v>90</x:v>
      </x:c>
      <x:c r="C17" s="23" t="str">
        <x:v>Renewals inside window get risk premium</x:v>
      </x:c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0" hidden="0" customWidth="1"/>
    <x:col min="16" max="16" width="1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3" hidden="0" customWidth="1"/>
  </x:cols>
  <x:sheetData>
    <x:row r="1" ht="28" customHeight="1">
      <x:c r="A1" s="16" t="str">
        <x:v>Customer_ID</x:v>
      </x:c>
      <x:c r="B1" s="16" t="str">
        <x:v>Customer</x:v>
      </x:c>
      <x:c r="C1" s="16" t="str">
        <x:v>Cohort_Month</x:v>
      </x:c>
      <x:c r="D1" s="16" t="str">
        <x:v>Segment</x:v>
      </x:c>
      <x:c r="E1" s="16" t="str">
        <x:v>Industry</x:v>
      </x:c>
      <x:c r="F1" s="16" t="str">
        <x:v>Region</x:v>
      </x:c>
      <x:c r="G1" s="16" t="str">
        <x:v>CSM</x:v>
      </x:c>
      <x:c r="H1" s="16" t="str">
        <x:v>Beginning_ARR_$</x:v>
      </x:c>
      <x:c r="I1" s="16" t="str">
        <x:v>Ending_ARR_$</x:v>
      </x:c>
      <x:c r="J1" s="16" t="str">
        <x:v>Expansion_$</x:v>
      </x:c>
      <x:c r="K1" s="16" t="str">
        <x:v>Contraction_$</x:v>
      </x:c>
      <x:c r="L1" s="16" t="str">
        <x:v>Churned_ARR_$</x:v>
      </x:c>
      <x:c r="M1" s="16" t="str">
        <x:v>Gross_Retained_ARR_$</x:v>
      </x:c>
      <x:c r="N1" s="16" t="str">
        <x:v>Net_Retained_ARR_$</x:v>
      </x:c>
      <x:c r="O1" s="16" t="str">
        <x:v>GRR_%</x:v>
      </x:c>
      <x:c r="P1" s="16" t="str">
        <x:v>NRR_%</x:v>
      </x:c>
      <x:c r="Q1" s="16" t="str">
        <x:v>Logo_Status</x:v>
      </x:c>
      <x:c r="R1" s="16" t="str">
        <x:v>Churn_Reason</x:v>
      </x:c>
      <x:c r="S1" s="16" t="str">
        <x:v>Renewal_Date</x:v>
      </x:c>
      <x:c r="T1" s="16" t="str">
        <x:v>Health_Score</x:v>
      </x:c>
      <x:c r="U1" s="16" t="str">
        <x:v>Usage_%</x:v>
      </x:c>
      <x:c r="V1" s="16" t="str">
        <x:v>Support_Tickets</x:v>
      </x:c>
      <x:c r="W1" s="16" t="str">
        <x:v>Renewal_Risk</x:v>
      </x:c>
      <x:c r="X1" s="16" t="str">
        <x:v>Recommended_Action</x:v>
      </x:c>
      <x:c r="Y1" s="16" t="str">
        <x:v>Priority_Score</x:v>
      </x:c>
    </x:row>
    <x:row r="2">
      <x:c r="A2" s="23" t="str">
        <x:v>C001</x:v>
      </x:c>
      <x:c r="B2" s="23" t="str">
        <x:v>Atlas Industrial</x:v>
      </x:c>
      <x:c r="C2" s="42" t="n">
        <x:v>46023</x:v>
      </x:c>
      <x:c r="D2" s="23" t="str">
        <x:v>Enterprise</x:v>
      </x:c>
      <x:c r="E2" s="23" t="str">
        <x:v>Manufacturing</x:v>
      </x:c>
      <x:c r="F2" s="23" t="str">
        <x:v>North America</x:v>
      </x:c>
      <x:c r="G2" s="23" t="str">
        <x:v>Jordan Chen</x:v>
      </x:c>
      <x:c r="H2" s="38" t="n">
        <x:v>240000</x:v>
      </x:c>
      <x:c r="I2" s="38" t="n">
        <x:v>240000</x:v>
      </x:c>
      <x:c r="J2" s="38" t="n">
        <x:v>0</x:v>
      </x:c>
      <x:c r="K2" s="38" t="n">
        <x:v>0</x:v>
      </x:c>
      <x:c r="L2" s="38" t="n">
        <x:v>0</x:v>
      </x:c>
      <x:c r="M2" s="38" t="n">
        <x:f>MAX(H2-L2-K2,0)</x:f>
        <x:v>240000</x:v>
      </x:c>
      <x:c r="N2" s="38" t="n">
        <x:f>M2+J2</x:f>
        <x:v>240000</x:v>
      </x:c>
      <x:c r="O2" s="40" t="n">
        <x:f>IFERROR(M2/H2,0)</x:f>
        <x:v>1</x:v>
      </x:c>
      <x:c r="P2" s="40" t="n">
        <x:f>IFERROR(N2/H2,0)</x:f>
        <x:v>1</x:v>
      </x:c>
      <x:c r="Q2" s="23" t="str">
        <x:v>Active</x:v>
      </x:c>
      <x:c r="R2" s="23" t="str">
        <x:v>No Churn</x:v>
      </x:c>
      <x:c r="S2" s="44" t="n">
        <x:v>46178</x:v>
      </x:c>
      <x:c r="T2" s="23" t="n">
        <x:v>82</x:v>
      </x:c>
      <x:c r="U2" s="46" t="n">
        <x:v>0.78</x:v>
      </x:c>
      <x:c r="V2" s="23" t="n">
        <x:v>3</x:v>
      </x:c>
      <x:c r="W2" s="23" t="str">
        <x:f>IF(Q2="Churned","Lost",IF(OR(T2&lt;Inputs!$B$11,U2&lt;Inputs!$B$13,V2&gt;Inputs!$B$15),"High",IF(OR(T2&lt;Inputs!$B$12,U2&lt;Inputs!$B$14,V2&gt;Inputs!$B$16),"Medium","Low")))</x:f>
        <x:v>Low</x:v>
      </x:c>
      <x:c r="X2" s="23" t="str">
        <x:f>IF(W2="Lost","Document root cause and replace ARR",IF(W2="High","Executive save plan + adoption intervention",IF(W2="Medium","CSM action plan before renewal","Monitor / expansion candidate")))</x:f>
        <x:v>Monitor / expansion candidate</x:v>
      </x:c>
      <x:c r="Y2" s="23" t="n">
        <x:f>IF(W2="Lost",0,(100-T2)*0.35+(1-U2)*100*0.30+V2*2+IF(S2-TODAY()&lt;=Inputs!$B$17,20,0)+IF(W2="High",25,IF(W2="Medium",10,0)))</x:f>
        <x:v>38.9</x:v>
      </x:c>
    </x:row>
    <x:row r="3">
      <x:c r="A3" s="23" t="str">
        <x:v>C002</x:v>
      </x:c>
      <x:c r="B3" s="23" t="str">
        <x:v>BlueRiver Health</x:v>
      </x:c>
      <x:c r="C3" s="42" t="n">
        <x:v>46054</x:v>
      </x:c>
      <x:c r="D3" s="23" t="str">
        <x:v>Mid-Market</x:v>
      </x:c>
      <x:c r="E3" s="23" t="str">
        <x:v>Healthcare</x:v>
      </x:c>
      <x:c r="F3" s="23" t="str">
        <x:v>North America</x:v>
      </x:c>
      <x:c r="G3" s="23" t="str">
        <x:v>Maya Singh</x:v>
      </x:c>
      <x:c r="H3" s="38" t="n">
        <x:v>155000</x:v>
      </x:c>
      <x:c r="I3" s="38" t="n">
        <x:v>154000</x:v>
      </x:c>
      <x:c r="J3" s="38" t="n">
        <x:v>5000</x:v>
      </x:c>
      <x:c r="K3" s="38" t="n">
        <x:v>6000</x:v>
      </x:c>
      <x:c r="L3" s="38" t="n">
        <x:v>0</x:v>
      </x:c>
      <x:c r="M3" s="38" t="n">
        <x:f>MAX(H3-L3-K3,0)</x:f>
        <x:v>149000</x:v>
      </x:c>
      <x:c r="N3" s="38" t="n">
        <x:f>M3+J3</x:f>
        <x:v>154000</x:v>
      </x:c>
      <x:c r="O3" s="40" t="n">
        <x:f>IFERROR(M3/H3,0)</x:f>
        <x:v>0.9612903225806452</x:v>
      </x:c>
      <x:c r="P3" s="40" t="n">
        <x:f>IFERROR(N3/H3,0)</x:f>
        <x:v>0.9935483870967742</x:v>
      </x:c>
      <x:c r="Q3" s="23" t="str">
        <x:v>Active</x:v>
      </x:c>
      <x:c r="R3" s="23" t="str">
        <x:v>No Churn</x:v>
      </x:c>
      <x:c r="S3" s="44" t="n">
        <x:v>46209</x:v>
      </x:c>
      <x:c r="T3" s="23" t="n">
        <x:v>68</x:v>
      </x:c>
      <x:c r="U3" s="46" t="n">
        <x:v>0.58</x:v>
      </x:c>
      <x:c r="V3" s="23" t="n">
        <x:v>9</x:v>
      </x:c>
      <x:c r="W3" s="23" t="str">
        <x:f>IF(Q3="Churned","Lost",IF(OR(T3&lt;Inputs!$B$11,U3&lt;Inputs!$B$13,V3&gt;Inputs!$B$15),"High",IF(OR(T3&lt;Inputs!$B$12,U3&lt;Inputs!$B$14,V3&gt;Inputs!$B$16),"Medium","Low")))</x:f>
        <x:v>Medium</x:v>
      </x:c>
      <x:c r="X3" s="23" t="str">
        <x:f>IF(W3="Lost","Document root cause and replace ARR",IF(W3="High","Executive save plan + adoption intervention",IF(W3="Medium","CSM action plan before renewal","Monitor / expansion candidate")))</x:f>
        <x:v>CSM action plan before renewal</x:v>
      </x:c>
      <x:c r="Y3" s="23" t="n">
        <x:f>IF(W3="Lost",0,(100-T3)*0.35+(1-U3)*100*0.30+V3*2+IF(S3-TODAY()&lt;=Inputs!$B$17,20,0)+IF(W3="High",25,IF(W3="Medium",10,0)))</x:f>
        <x:v>71.8</x:v>
      </x:c>
    </x:row>
    <x:row r="4">
      <x:c r="A4" s="23" t="str">
        <x:v>C003</x:v>
      </x:c>
      <x:c r="B4" s="23" t="str">
        <x:v>Cedar Logistics</x:v>
      </x:c>
      <x:c r="C4" s="42" t="n">
        <x:v>46082</x:v>
      </x:c>
      <x:c r="D4" s="23" t="str">
        <x:v>Enterprise</x:v>
      </x:c>
      <x:c r="E4" s="23" t="str">
        <x:v>Distribution</x:v>
      </x:c>
      <x:c r="F4" s="23" t="str">
        <x:v>North America</x:v>
      </x:c>
      <x:c r="G4" s="23" t="str">
        <x:v>Jordan Chen</x:v>
      </x:c>
      <x:c r="H4" s="38" t="n">
        <x:v>310000</x:v>
      </x:c>
      <x:c r="I4" s="38" t="n">
        <x:v>304000</x:v>
      </x:c>
      <x:c r="J4" s="38" t="n">
        <x:v>0</x:v>
      </x:c>
      <x:c r="K4" s="38" t="n">
        <x:v>6000</x:v>
      </x:c>
      <x:c r="L4" s="38" t="n">
        <x:v>0</x:v>
      </x:c>
      <x:c r="M4" s="38" t="n">
        <x:f>MAX(H4-L4-K4,0)</x:f>
        <x:v>304000</x:v>
      </x:c>
      <x:c r="N4" s="38" t="n">
        <x:f>M4+J4</x:f>
        <x:v>304000</x:v>
      </x:c>
      <x:c r="O4" s="40" t="n">
        <x:f>IFERROR(M4/H4,0)</x:f>
        <x:v>0.9806451612903225</x:v>
      </x:c>
      <x:c r="P4" s="40" t="n">
        <x:f>IFERROR(N4/H4,0)</x:f>
        <x:v>0.9806451612903225</x:v>
      </x:c>
      <x:c r="Q4" s="23" t="str">
        <x:v>Active</x:v>
      </x:c>
      <x:c r="R4" s="23" t="str">
        <x:v>No Churn</x:v>
      </x:c>
      <x:c r="S4" s="44" t="n">
        <x:v>46241</x:v>
      </x:c>
      <x:c r="T4" s="23" t="n">
        <x:v>61</x:v>
      </x:c>
      <x:c r="U4" s="46" t="n">
        <x:v>0.49</x:v>
      </x:c>
      <x:c r="V4" s="23" t="n">
        <x:v>14</x:v>
      </x:c>
      <x:c r="W4" s="23" t="str">
        <x:f>IF(Q4="Churned","Lost",IF(OR(T4&lt;Inputs!$B$11,U4&lt;Inputs!$B$13,V4&gt;Inputs!$B$15),"High",IF(OR(T4&lt;Inputs!$B$12,U4&lt;Inputs!$B$14,V4&gt;Inputs!$B$16),"Medium","Low")))</x:f>
        <x:v>High</x:v>
      </x:c>
      <x:c r="X4" s="23" t="str">
        <x:f>IF(W4="Lost","Document root cause and replace ARR",IF(W4="High","Executive save plan + adoption intervention",IF(W4="Medium","CSM action plan before renewal","Monitor / expansion candidate")))</x:f>
        <x:v>Executive save plan + adoption intervention</x:v>
      </x:c>
      <x:c r="Y4" s="23" t="n">
        <x:f>IF(W4="Lost",0,(100-T4)*0.35+(1-U4)*100*0.30+V4*2+IF(S4-TODAY()&lt;=Inputs!$B$17,20,0)+IF(W4="High",25,IF(W4="Medium",10,0)))</x:f>
        <x:v>81.94999999999999</x:v>
      </x:c>
    </x:row>
    <x:row r="5">
      <x:c r="A5" s="23" t="str">
        <x:v>C004</x:v>
      </x:c>
      <x:c r="B5" s="23" t="str">
        <x:v>Dover Claims</x:v>
      </x:c>
      <x:c r="C5" s="42" t="n">
        <x:v>46113</x:v>
      </x:c>
      <x:c r="D5" s="23" t="str">
        <x:v>SMB</x:v>
      </x:c>
      <x:c r="E5" s="23" t="str">
        <x:v>Insurance</x:v>
      </x:c>
      <x:c r="F5" s="23" t="str">
        <x:v>North America</x:v>
      </x:c>
      <x:c r="G5" s="23" t="str">
        <x:v>Leo Park</x:v>
      </x:c>
      <x:c r="H5" s="38" t="n">
        <x:v>48000</x:v>
      </x:c>
      <x:c r="I5" s="38" t="n">
        <x:v>0</x:v>
      </x:c>
      <x:c r="J5" s="38" t="n">
        <x:v>0</x:v>
      </x:c>
      <x:c r="K5" s="38" t="n">
        <x:v>0</x:v>
      </x:c>
      <x:c r="L5" s="38" t="n">
        <x:v>48000</x:v>
      </x:c>
      <x:c r="M5" s="38" t="n">
        <x:f>MAX(H5-L5-K5,0)</x:f>
        <x:v>0</x:v>
      </x:c>
      <x:c r="N5" s="38" t="n">
        <x:f>M5+J5</x:f>
        <x:v>0</x:v>
      </x:c>
      <x:c r="O5" s="40" t="n">
        <x:f>IFERROR(M5/H5,0)</x:f>
        <x:v>0</x:v>
      </x:c>
      <x:c r="P5" s="40" t="n">
        <x:f>IFERROR(N5/H5,0)</x:f>
        <x:v>0</x:v>
      </x:c>
      <x:c r="Q5" s="23" t="str">
        <x:v>Churned</x:v>
      </x:c>
      <x:c r="R5" s="23" t="str">
        <x:v>Poor onboarding</x:v>
      </x:c>
      <x:c r="S5" s="44" t="n">
        <x:v>46273</x:v>
      </x:c>
      <x:c r="T5" s="23" t="n">
        <x:v>31</x:v>
      </x:c>
      <x:c r="U5" s="46" t="n">
        <x:v>0.22</x:v>
      </x:c>
      <x:c r="V5" s="23" t="n">
        <x:v>18</x:v>
      </x:c>
      <x:c r="W5" s="23" t="str">
        <x:f>IF(Q5="Churned","Lost",IF(OR(T5&lt;Inputs!$B$11,U5&lt;Inputs!$B$13,V5&gt;Inputs!$B$15),"High",IF(OR(T5&lt;Inputs!$B$12,U5&lt;Inputs!$B$14,V5&gt;Inputs!$B$16),"Medium","Low")))</x:f>
        <x:v>Lost</x:v>
      </x:c>
      <x:c r="X5" s="23" t="str">
        <x:f>IF(W5="Lost","Document root cause and replace ARR",IF(W5="High","Executive save plan + adoption intervention",IF(W5="Medium","CSM action plan before renewal","Monitor / expansion candidate")))</x:f>
        <x:v>Document root cause and replace ARR</x:v>
      </x:c>
      <x:c r="Y5" s="23" t="n">
        <x:f>IF(W5="Lost",0,(100-T5)*0.35+(1-U5)*100*0.30+V5*2+IF(S5-TODAY()&lt;=Inputs!$B$17,20,0)+IF(W5="High",25,IF(W5="Medium",10,0)))</x:f>
        <x:v>0</x:v>
      </x:c>
    </x:row>
    <x:row r="6">
      <x:c r="A6" s="23" t="str">
        <x:v>C005</x:v>
      </x:c>
      <x:c r="B6" s="23" t="str">
        <x:v>Eastfield Dental</x:v>
      </x:c>
      <x:c r="C6" s="42" t="n">
        <x:v>46143</x:v>
      </x:c>
      <x:c r="D6" s="23" t="str">
        <x:v>Mid-Market</x:v>
      </x:c>
      <x:c r="E6" s="23" t="str">
        <x:v>Healthcare</x:v>
      </x:c>
      <x:c r="F6" s="23" t="str">
        <x:v>North America</x:v>
      </x:c>
      <x:c r="G6" s="23" t="str">
        <x:v>Maya Singh</x:v>
      </x:c>
      <x:c r="H6" s="38" t="n">
        <x:v>120000</x:v>
      </x:c>
      <x:c r="I6" s="38" t="n">
        <x:v>123000</x:v>
      </x:c>
      <x:c r="J6" s="38" t="n">
        <x:v>4000</x:v>
      </x:c>
      <x:c r="K6" s="38" t="n">
        <x:v>1000</x:v>
      </x:c>
      <x:c r="L6" s="38" t="n">
        <x:v>0</x:v>
      </x:c>
      <x:c r="M6" s="38" t="n">
        <x:f>MAX(H6-L6-K6,0)</x:f>
        <x:v>119000</x:v>
      </x:c>
      <x:c r="N6" s="38" t="n">
        <x:f>M6+J6</x:f>
        <x:v>123000</x:v>
      </x:c>
      <x:c r="O6" s="40" t="n">
        <x:f>IFERROR(M6/H6,0)</x:f>
        <x:v>0.9916666666666667</x:v>
      </x:c>
      <x:c r="P6" s="40" t="n">
        <x:f>IFERROR(N6/H6,0)</x:f>
        <x:v>1.025</x:v>
      </x:c>
      <x:c r="Q6" s="23" t="str">
        <x:v>Active</x:v>
      </x:c>
      <x:c r="R6" s="23" t="str">
        <x:v>No Churn</x:v>
      </x:c>
      <x:c r="S6" s="44" t="n">
        <x:v>46304</x:v>
      </x:c>
      <x:c r="T6" s="23" t="n">
        <x:v>76</x:v>
      </x:c>
      <x:c r="U6" s="46" t="n">
        <x:v>0.71</x:v>
      </x:c>
      <x:c r="V6" s="23" t="n">
        <x:v>5</x:v>
      </x:c>
      <x:c r="W6" s="23" t="str">
        <x:f>IF(Q6="Churned","Lost",IF(OR(T6&lt;Inputs!$B$11,U6&lt;Inputs!$B$13,V6&gt;Inputs!$B$15),"High",IF(OR(T6&lt;Inputs!$B$12,U6&lt;Inputs!$B$14,V6&gt;Inputs!$B$16),"Medium","Low")))</x:f>
        <x:v>Low</x:v>
      </x:c>
      <x:c r="X6" s="23" t="str">
        <x:f>IF(W6="Lost","Document root cause and replace ARR",IF(W6="High","Executive save plan + adoption intervention",IF(W6="Medium","CSM action plan before renewal","Monitor / expansion candidate")))</x:f>
        <x:v>Monitor / expansion candidate</x:v>
      </x:c>
      <x:c r="Y6" s="23" t="n">
        <x:f>IF(W6="Lost",0,(100-T6)*0.35+(1-U6)*100*0.30+V6*2+IF(S6-TODAY()&lt;=Inputs!$B$17,20,0)+IF(W6="High",25,IF(W6="Medium",10,0)))</x:f>
        <x:v>27.1</x:v>
      </x:c>
    </x:row>
    <x:row r="7">
      <x:c r="A7" s="23" t="str">
        <x:v>C006</x:v>
      </x:c>
      <x:c r="B7" s="23" t="str">
        <x:v>Falcon Components</x:v>
      </x:c>
      <x:c r="C7" s="42" t="n">
        <x:v>46174</x:v>
      </x:c>
      <x:c r="D7" s="23" t="str">
        <x:v>Enterprise</x:v>
      </x:c>
      <x:c r="E7" s="23" t="str">
        <x:v>Manufacturing</x:v>
      </x:c>
      <x:c r="F7" s="23" t="str">
        <x:v>EMEA</x:v>
      </x:c>
      <x:c r="G7" s="23" t="str">
        <x:v>Nora Patel</x:v>
      </x:c>
      <x:c r="H7" s="38" t="n">
        <x:v>285000</x:v>
      </x:c>
      <x:c r="I7" s="38" t="n">
        <x:v>282000</x:v>
      </x:c>
      <x:c r="J7" s="38" t="n">
        <x:v>0</x:v>
      </x:c>
      <x:c r="K7" s="38" t="n">
        <x:v>3000</x:v>
      </x:c>
      <x:c r="L7" s="38" t="n">
        <x:v>0</x:v>
      </x:c>
      <x:c r="M7" s="38" t="n">
        <x:f>MAX(H7-L7-K7,0)</x:f>
        <x:v>282000</x:v>
      </x:c>
      <x:c r="N7" s="38" t="n">
        <x:f>M7+J7</x:f>
        <x:v>282000</x:v>
      </x:c>
      <x:c r="O7" s="40" t="n">
        <x:f>IFERROR(M7/H7,0)</x:f>
        <x:v>0.9894736842105263</x:v>
      </x:c>
      <x:c r="P7" s="40" t="n">
        <x:f>IFERROR(N7/H7,0)</x:f>
        <x:v>0.9894736842105263</x:v>
      </x:c>
      <x:c r="Q7" s="23" t="str">
        <x:v>Active</x:v>
      </x:c>
      <x:c r="R7" s="23" t="str">
        <x:v>No Churn</x:v>
      </x:c>
      <x:c r="S7" s="44" t="n">
        <x:v>46336</x:v>
      </x:c>
      <x:c r="T7" s="23" t="n">
        <x:v>88</x:v>
      </x:c>
      <x:c r="U7" s="46" t="n">
        <x:v>0.81</x:v>
      </x:c>
      <x:c r="V7" s="23" t="n">
        <x:v>2</x:v>
      </x:c>
      <x:c r="W7" s="23" t="str">
        <x:f>IF(Q7="Churned","Lost",IF(OR(T7&lt;Inputs!$B$11,U7&lt;Inputs!$B$13,V7&gt;Inputs!$B$15),"High",IF(OR(T7&lt;Inputs!$B$12,U7&lt;Inputs!$B$14,V7&gt;Inputs!$B$16),"Medium","Low")))</x:f>
        <x:v>Low</x:v>
      </x:c>
      <x:c r="X7" s="23" t="str">
        <x:f>IF(W7="Lost","Document root cause and replace ARR",IF(W7="High","Executive save plan + adoption intervention",IF(W7="Medium","CSM action plan before renewal","Monitor / expansion candidate")))</x:f>
        <x:v>Monitor / expansion candidate</x:v>
      </x:c>
      <x:c r="Y7" s="23" t="n">
        <x:f>IF(W7="Lost",0,(100-T7)*0.35+(1-U7)*100*0.30+V7*2+IF(S7-TODAY()&lt;=Inputs!$B$17,20,0)+IF(W7="High",25,IF(W7="Medium",10,0)))</x:f>
        <x:v>13.899999999999997</x:v>
      </x:c>
    </x:row>
    <x:row r="8">
      <x:c r="A8" s="23" t="str">
        <x:v>C007</x:v>
      </x:c>
      <x:c r="B8" s="23" t="str">
        <x:v>Granite Payroll</x:v>
      </x:c>
      <x:c r="C8" s="42" t="n">
        <x:v>46023</x:v>
      </x:c>
      <x:c r="D8" s="23" t="str">
        <x:v>SMB</x:v>
      </x:c>
      <x:c r="E8" s="23" t="str">
        <x:v>Business Services</x:v>
      </x:c>
      <x:c r="F8" s="23" t="str">
        <x:v>North America</x:v>
      </x:c>
      <x:c r="G8" s="23" t="str">
        <x:v>Leo Park</x:v>
      </x:c>
      <x:c r="H8" s="38" t="n">
        <x:v>62000</x:v>
      </x:c>
      <x:c r="I8" s="38" t="n">
        <x:v>64000</x:v>
      </x:c>
      <x:c r="J8" s="38" t="n">
        <x:v>2000</x:v>
      </x:c>
      <x:c r="K8" s="38" t="n">
        <x:v>0</x:v>
      </x:c>
      <x:c r="L8" s="38" t="n">
        <x:v>0</x:v>
      </x:c>
      <x:c r="M8" s="38" t="n">
        <x:f>MAX(H8-L8-K8,0)</x:f>
        <x:v>62000</x:v>
      </x:c>
      <x:c r="N8" s="38" t="n">
        <x:f>M8+J8</x:f>
        <x:v>64000</x:v>
      </x:c>
      <x:c r="O8" s="40" t="n">
        <x:f>IFERROR(M8/H8,0)</x:f>
        <x:v>1</x:v>
      </x:c>
      <x:c r="P8" s="40" t="n">
        <x:f>IFERROR(N8/H8,0)</x:f>
        <x:v>1.032258064516129</x:v>
      </x:c>
      <x:c r="Q8" s="23" t="str">
        <x:v>Active</x:v>
      </x:c>
      <x:c r="R8" s="23" t="str">
        <x:v>No Churn</x:v>
      </x:c>
      <x:c r="S8" s="44" t="n">
        <x:v>46367</x:v>
      </x:c>
      <x:c r="T8" s="23" t="n">
        <x:v>57</x:v>
      </x:c>
      <x:c r="U8" s="46" t="n">
        <x:v>0.44</x:v>
      </x:c>
      <x:c r="V8" s="23" t="n">
        <x:v>11</x:v>
      </x:c>
      <x:c r="W8" s="23" t="str">
        <x:f>IF(Q8="Churned","Lost",IF(OR(T8&lt;Inputs!$B$11,U8&lt;Inputs!$B$13,V8&gt;Inputs!$B$15),"High",IF(OR(T8&lt;Inputs!$B$12,U8&lt;Inputs!$B$14,V8&gt;Inputs!$B$16),"Medium","Low")))</x:f>
        <x:v>Medium</x:v>
      </x:c>
      <x:c r="X8" s="23" t="str">
        <x:f>IF(W8="Lost","Document root cause and replace ARR",IF(W8="High","Executive save plan + adoption intervention",IF(W8="Medium","CSM action plan before renewal","Monitor / expansion candidate")))</x:f>
        <x:v>CSM action plan before renewal</x:v>
      </x:c>
      <x:c r="Y8" s="23" t="n">
        <x:f>IF(W8="Lost",0,(100-T8)*0.35+(1-U8)*100*0.30+V8*2+IF(S8-TODAY()&lt;=Inputs!$B$17,20,0)+IF(W8="High",25,IF(W8="Medium",10,0)))</x:f>
        <x:v>63.85</x:v>
      </x:c>
    </x:row>
    <x:row r="9">
      <x:c r="A9" s="23" t="str">
        <x:v>C008</x:v>
      </x:c>
      <x:c r="B9" s="23" t="str">
        <x:v>Harbor Foods</x:v>
      </x:c>
      <x:c r="C9" s="42" t="n">
        <x:v>46054</x:v>
      </x:c>
      <x:c r="D9" s="23" t="str">
        <x:v>Mid-Market</x:v>
      </x:c>
      <x:c r="E9" s="23" t="str">
        <x:v>Distribution</x:v>
      </x:c>
      <x:c r="F9" s="23" t="str">
        <x:v>North America</x:v>
      </x:c>
      <x:c r="G9" s="23" t="str">
        <x:v>Jordan Chen</x:v>
      </x:c>
      <x:c r="H9" s="38" t="n">
        <x:v>175000</x:v>
      </x:c>
      <x:c r="I9" s="38" t="n">
        <x:v>0</x:v>
      </x:c>
      <x:c r="J9" s="38" t="n">
        <x:v>0</x:v>
      </x:c>
      <x:c r="K9" s="38" t="n">
        <x:v>0</x:v>
      </x:c>
      <x:c r="L9" s="38" t="n">
        <x:v>175000</x:v>
      </x:c>
      <x:c r="M9" s="38" t="n">
        <x:f>MAX(H9-L9-K9,0)</x:f>
        <x:v>0</x:v>
      </x:c>
      <x:c r="N9" s="38" t="n">
        <x:f>M9+J9</x:f>
        <x:v>0</x:v>
      </x:c>
      <x:c r="O9" s="40" t="n">
        <x:f>IFERROR(M9/H9,0)</x:f>
        <x:v>0</x:v>
      </x:c>
      <x:c r="P9" s="40" t="n">
        <x:f>IFERROR(N9/H9,0)</x:f>
        <x:v>0</x:v>
      </x:c>
      <x:c r="Q9" s="23" t="str">
        <x:v>Churned</x:v>
      </x:c>
      <x:c r="R9" s="23" t="str">
        <x:v>Price / value mismatch</x:v>
      </x:c>
      <x:c r="S9" s="44" t="n">
        <x:v>46034</x:v>
      </x:c>
      <x:c r="T9" s="23" t="n">
        <x:v>45</x:v>
      </x:c>
      <x:c r="U9" s="46" t="n">
        <x:v>0.33</x:v>
      </x:c>
      <x:c r="V9" s="23" t="n">
        <x:v>10</x:v>
      </x:c>
      <x:c r="W9" s="23" t="str">
        <x:f>IF(Q9="Churned","Lost",IF(OR(T9&lt;Inputs!$B$11,U9&lt;Inputs!$B$13,V9&gt;Inputs!$B$15),"High",IF(OR(T9&lt;Inputs!$B$12,U9&lt;Inputs!$B$14,V9&gt;Inputs!$B$16),"Medium","Low")))</x:f>
        <x:v>Lost</x:v>
      </x:c>
      <x:c r="X9" s="23" t="str">
        <x:f>IF(W9="Lost","Document root cause and replace ARR",IF(W9="High","Executive save plan + adoption intervention",IF(W9="Medium","CSM action plan before renewal","Monitor / expansion candidate")))</x:f>
        <x:v>Document root cause and replace ARR</x:v>
      </x:c>
      <x:c r="Y9" s="23" t="n">
        <x:f>IF(W9="Lost",0,(100-T9)*0.35+(1-U9)*100*0.30+V9*2+IF(S9-TODAY()&lt;=Inputs!$B$17,20,0)+IF(W9="High",25,IF(W9="Medium",10,0)))</x:f>
        <x:v>0</x:v>
      </x:c>
    </x:row>
    <x:row r="10">
      <x:c r="A10" s="23" t="str">
        <x:v>C009</x:v>
      </x:c>
      <x:c r="B10" s="23" t="str">
        <x:v>IronGate Security</x:v>
      </x:c>
      <x:c r="C10" s="42" t="n">
        <x:v>46082</x:v>
      </x:c>
      <x:c r="D10" s="23" t="str">
        <x:v>Enterprise</x:v>
      </x:c>
      <x:c r="E10" s="23" t="str">
        <x:v>Business Services</x:v>
      </x:c>
      <x:c r="F10" s="23" t="str">
        <x:v>EMEA</x:v>
      </x:c>
      <x:c r="G10" s="23" t="str">
        <x:v>Nora Patel</x:v>
      </x:c>
      <x:c r="H10" s="38" t="n">
        <x:v>330000</x:v>
      </x:c>
      <x:c r="I10" s="38" t="n">
        <x:v>370000</x:v>
      </x:c>
      <x:c r="J10" s="38" t="n">
        <x:v>40000</x:v>
      </x:c>
      <x:c r="K10" s="38" t="n">
        <x:v>0</x:v>
      </x:c>
      <x:c r="L10" s="38" t="n">
        <x:v>0</x:v>
      </x:c>
      <x:c r="M10" s="38" t="n">
        <x:f>MAX(H10-L10-K10,0)</x:f>
        <x:v>330000</x:v>
      </x:c>
      <x:c r="N10" s="38" t="n">
        <x:f>M10+J10</x:f>
        <x:v>370000</x:v>
      </x:c>
      <x:c r="O10" s="40" t="n">
        <x:f>IFERROR(M10/H10,0)</x:f>
        <x:v>1</x:v>
      </x:c>
      <x:c r="P10" s="40" t="n">
        <x:f>IFERROR(N10/H10,0)</x:f>
        <x:v>1.121212121212121</x:v>
      </x:c>
      <x:c r="Q10" s="23" t="str">
        <x:v>Active</x:v>
      </x:c>
      <x:c r="R10" s="23" t="str">
        <x:v>No Churn</x:v>
      </x:c>
      <x:c r="S10" s="44" t="n">
        <x:v>46066</x:v>
      </x:c>
      <x:c r="T10" s="23" t="n">
        <x:v>72</x:v>
      </x:c>
      <x:c r="U10" s="46" t="n">
        <x:v>0.63</x:v>
      </x:c>
      <x:c r="V10" s="23" t="n">
        <x:v>6</x:v>
      </x:c>
      <x:c r="W10" s="23" t="str">
        <x:f>IF(Q10="Churned","Lost",IF(OR(T10&lt;Inputs!$B$11,U10&lt;Inputs!$B$13,V10&gt;Inputs!$B$15),"High",IF(OR(T10&lt;Inputs!$B$12,U10&lt;Inputs!$B$14,V10&gt;Inputs!$B$16),"Medium","Low")))</x:f>
        <x:v>Low</x:v>
      </x:c>
      <x:c r="X10" s="23" t="str">
        <x:f>IF(W10="Lost","Document root cause and replace ARR",IF(W10="High","Executive save plan + adoption intervention",IF(W10="Medium","CSM action plan before renewal","Monitor / expansion candidate")))</x:f>
        <x:v>Monitor / expansion candidate</x:v>
      </x:c>
      <x:c r="Y10" s="23" t="n">
        <x:f>IF(W10="Lost",0,(100-T10)*0.35+(1-U10)*100*0.30+V10*2+IF(S10-TODAY()&lt;=Inputs!$B$17,20,0)+IF(W10="High",25,IF(W10="Medium",10,0)))</x:f>
        <x:v>52.9</x:v>
      </x:c>
    </x:row>
    <x:row r="11">
      <x:c r="A11" s="23" t="str">
        <x:v>C010</x:v>
      </x:c>
      <x:c r="B11" s="23" t="str">
        <x:v>Juniper Clinics</x:v>
      </x:c>
      <x:c r="C11" s="42" t="n">
        <x:v>46113</x:v>
      </x:c>
      <x:c r="D11" s="23" t="str">
        <x:v>Mid-Market</x:v>
      </x:c>
      <x:c r="E11" s="23" t="str">
        <x:v>Healthcare</x:v>
      </x:c>
      <x:c r="F11" s="23" t="str">
        <x:v>North America</x:v>
      </x:c>
      <x:c r="G11" s="23" t="str">
        <x:v>Maya Singh</x:v>
      </x:c>
      <x:c r="H11" s="38" t="n">
        <x:v>135000</x:v>
      </x:c>
      <x:c r="I11" s="38" t="n">
        <x:v>135000</x:v>
      </x:c>
      <x:c r="J11" s="38" t="n">
        <x:v>0</x:v>
      </x:c>
      <x:c r="K11" s="38" t="n">
        <x:v>0</x:v>
      </x:c>
      <x:c r="L11" s="38" t="n">
        <x:v>0</x:v>
      </x:c>
      <x:c r="M11" s="38" t="n">
        <x:f>MAX(H11-L11-K11,0)</x:f>
        <x:v>135000</x:v>
      </x:c>
      <x:c r="N11" s="38" t="n">
        <x:f>M11+J11</x:f>
        <x:v>135000</x:v>
      </x:c>
      <x:c r="O11" s="40" t="n">
        <x:f>IFERROR(M11/H11,0)</x:f>
        <x:v>1</x:v>
      </x:c>
      <x:c r="P11" s="40" t="n">
        <x:f>IFERROR(N11/H11,0)</x:f>
        <x:v>1</x:v>
      </x:c>
      <x:c r="Q11" s="23" t="str">
        <x:v>Active</x:v>
      </x:c>
      <x:c r="R11" s="23" t="str">
        <x:v>No Churn</x:v>
      </x:c>
      <x:c r="S11" s="44" t="n">
        <x:v>46095</x:v>
      </x:c>
      <x:c r="T11" s="23" t="n">
        <x:v>81</x:v>
      </x:c>
      <x:c r="U11" s="46" t="n">
        <x:v>0.74</x:v>
      </x:c>
      <x:c r="V11" s="23" t="n">
        <x:v>4</x:v>
      </x:c>
      <x:c r="W11" s="23" t="str">
        <x:f>IF(Q11="Churned","Lost",IF(OR(T11&lt;Inputs!$B$11,U11&lt;Inputs!$B$13,V11&gt;Inputs!$B$15),"High",IF(OR(T11&lt;Inputs!$B$12,U11&lt;Inputs!$B$14,V11&gt;Inputs!$B$16),"Medium","Low")))</x:f>
        <x:v>Low</x:v>
      </x:c>
      <x:c r="X11" s="23" t="str">
        <x:f>IF(W11="Lost","Document root cause and replace ARR",IF(W11="High","Executive save plan + adoption intervention",IF(W11="Medium","CSM action plan before renewal","Monitor / expansion candidate")))</x:f>
        <x:v>Monitor / expansion candidate</x:v>
      </x:c>
      <x:c r="Y11" s="23" t="n">
        <x:f>IF(W11="Lost",0,(100-T11)*0.35+(1-U11)*100*0.30+V11*2+IF(S11-TODAY()&lt;=Inputs!$B$17,20,0)+IF(W11="High",25,IF(W11="Medium",10,0)))</x:f>
        <x:v>42.45</x:v>
      </x:c>
    </x:row>
    <x:row r="12">
      <x:c r="A12" s="23" t="str">
        <x:v>C011</x:v>
      </x:c>
      <x:c r="B12" s="23" t="str">
        <x:v>Keystone Plastics</x:v>
      </x:c>
      <x:c r="C12" s="42" t="n">
        <x:v>46143</x:v>
      </x:c>
      <x:c r="D12" s="23" t="str">
        <x:v>Enterprise</x:v>
      </x:c>
      <x:c r="E12" s="23" t="str">
        <x:v>Manufacturing</x:v>
      </x:c>
      <x:c r="F12" s="23" t="str">
        <x:v>North America</x:v>
      </x:c>
      <x:c r="G12" s="23" t="str">
        <x:v>Jordan Chen</x:v>
      </x:c>
      <x:c r="H12" s="38" t="n">
        <x:v>260000</x:v>
      </x:c>
      <x:c r="I12" s="38" t="n">
        <x:v>255000</x:v>
      </x:c>
      <x:c r="J12" s="38" t="n">
        <x:v>0</x:v>
      </x:c>
      <x:c r="K12" s="38" t="n">
        <x:v>5000</x:v>
      </x:c>
      <x:c r="L12" s="38" t="n">
        <x:v>0</x:v>
      </x:c>
      <x:c r="M12" s="38" t="n">
        <x:f>MAX(H12-L12-K12,0)</x:f>
        <x:v>255000</x:v>
      </x:c>
      <x:c r="N12" s="38" t="n">
        <x:f>M12+J12</x:f>
        <x:v>255000</x:v>
      </x:c>
      <x:c r="O12" s="40" t="n">
        <x:f>IFERROR(M12/H12,0)</x:f>
        <x:v>0.9807692307692307</x:v>
      </x:c>
      <x:c r="P12" s="40" t="n">
        <x:f>IFERROR(N12/H12,0)</x:f>
        <x:v>0.9807692307692307</x:v>
      </x:c>
      <x:c r="Q12" s="23" t="str">
        <x:v>Active</x:v>
      </x:c>
      <x:c r="R12" s="23" t="str">
        <x:v>No Churn</x:v>
      </x:c>
      <x:c r="S12" s="44" t="n">
        <x:v>46127</x:v>
      </x:c>
      <x:c r="T12" s="23" t="n">
        <x:v>66</x:v>
      </x:c>
      <x:c r="U12" s="46" t="n">
        <x:v>0.56</x:v>
      </x:c>
      <x:c r="V12" s="23" t="n">
        <x:v>8</x:v>
      </x:c>
      <x:c r="W12" s="23" t="str">
        <x:f>IF(Q12="Churned","Lost",IF(OR(T12&lt;Inputs!$B$11,U12&lt;Inputs!$B$13,V12&gt;Inputs!$B$15),"High",IF(OR(T12&lt;Inputs!$B$12,U12&lt;Inputs!$B$14,V12&gt;Inputs!$B$16),"Medium","Low")))</x:f>
        <x:v>Medium</x:v>
      </x:c>
      <x:c r="X12" s="23" t="str">
        <x:f>IF(W12="Lost","Document root cause and replace ARR",IF(W12="High","Executive save plan + adoption intervention",IF(W12="Medium","CSM action plan before renewal","Monitor / expansion candidate")))</x:f>
        <x:v>CSM action plan before renewal</x:v>
      </x:c>
      <x:c r="Y12" s="23" t="n">
        <x:f>IF(W12="Lost",0,(100-T12)*0.35+(1-U12)*100*0.30+V12*2+IF(S12-TODAY()&lt;=Inputs!$B$17,20,0)+IF(W12="High",25,IF(W12="Medium",10,0)))</x:f>
        <x:v>71.1</x:v>
      </x:c>
    </x:row>
    <x:row r="13">
      <x:c r="A13" s="23" t="str">
        <x:v>C012</x:v>
      </x:c>
      <x:c r="B13" s="23" t="str">
        <x:v>Lakeview Supply</x:v>
      </x:c>
      <x:c r="C13" s="42" t="n">
        <x:v>46174</x:v>
      </x:c>
      <x:c r="D13" s="23" t="str">
        <x:v>SMB</x:v>
      </x:c>
      <x:c r="E13" s="23" t="str">
        <x:v>Distribution</x:v>
      </x:c>
      <x:c r="F13" s="23" t="str">
        <x:v>North America</x:v>
      </x:c>
      <x:c r="G13" s="23" t="str">
        <x:v>Leo Park</x:v>
      </x:c>
      <x:c r="H13" s="38" t="n">
        <x:v>54000</x:v>
      </x:c>
      <x:c r="I13" s="38" t="n">
        <x:v>54000</x:v>
      </x:c>
      <x:c r="J13" s="38" t="n">
        <x:v>0</x:v>
      </x:c>
      <x:c r="K13" s="38" t="n">
        <x:v>0</x:v>
      </x:c>
      <x:c r="L13" s="38" t="n">
        <x:v>0</x:v>
      </x:c>
      <x:c r="M13" s="38" t="n">
        <x:f>MAX(H13-L13-K13,0)</x:f>
        <x:v>54000</x:v>
      </x:c>
      <x:c r="N13" s="38" t="n">
        <x:f>M13+J13</x:f>
        <x:v>54000</x:v>
      </x:c>
      <x:c r="O13" s="40" t="n">
        <x:f>IFERROR(M13/H13,0)</x:f>
        <x:v>1</x:v>
      </x:c>
      <x:c r="P13" s="40" t="n">
        <x:f>IFERROR(N13/H13,0)</x:f>
        <x:v>1</x:v>
      </x:c>
      <x:c r="Q13" s="23" t="str">
        <x:v>Active</x:v>
      </x:c>
      <x:c r="R13" s="23" t="str">
        <x:v>No Churn</x:v>
      </x:c>
      <x:c r="S13" s="44" t="n">
        <x:v>46158</x:v>
      </x:c>
      <x:c r="T13" s="23" t="n">
        <x:v>69</x:v>
      </x:c>
      <x:c r="U13" s="46" t="n">
        <x:v>0.57</x:v>
      </x:c>
      <x:c r="V13" s="23" t="n">
        <x:v>6</x:v>
      </x:c>
      <x:c r="W13" s="23" t="str">
        <x:f>IF(Q13="Churned","Lost",IF(OR(T13&lt;Inputs!$B$11,U13&lt;Inputs!$B$13,V13&gt;Inputs!$B$15),"High",IF(OR(T13&lt;Inputs!$B$12,U13&lt;Inputs!$B$14,V13&gt;Inputs!$B$16),"Medium","Low")))</x:f>
        <x:v>Medium</x:v>
      </x:c>
      <x:c r="X13" s="23" t="str">
        <x:f>IF(W13="Lost","Document root cause and replace ARR",IF(W13="High","Executive save plan + adoption intervention",IF(W13="Medium","CSM action plan before renewal","Monitor / expansion candidate")))</x:f>
        <x:v>CSM action plan before renewal</x:v>
      </x:c>
      <x:c r="Y13" s="23" t="n">
        <x:f>IF(W13="Lost",0,(100-T13)*0.35+(1-U13)*100*0.30+V13*2+IF(S13-TODAY()&lt;=Inputs!$B$17,20,0)+IF(W13="High",25,IF(W13="Medium",10,0)))</x:f>
        <x:v>65.75</x:v>
      </x:c>
    </x:row>
    <x:row r="14">
      <x:c r="A14" s="23" t="str">
        <x:v>C013</x:v>
      </x:c>
      <x:c r="B14" s="23" t="str">
        <x:v>Meridian Labs</x:v>
      </x:c>
      <x:c r="C14" s="42" t="n">
        <x:v>46023</x:v>
      </x:c>
      <x:c r="D14" s="23" t="str">
        <x:v>Enterprise</x:v>
      </x:c>
      <x:c r="E14" s="23" t="str">
        <x:v>Healthcare</x:v>
      </x:c>
      <x:c r="F14" s="23" t="str">
        <x:v>APAC</x:v>
      </x:c>
      <x:c r="G14" s="23" t="str">
        <x:v>Nora Patel</x:v>
      </x:c>
      <x:c r="H14" s="38" t="n">
        <x:v>295000</x:v>
      </x:c>
      <x:c r="I14" s="38" t="n">
        <x:v>330000</x:v>
      </x:c>
      <x:c r="J14" s="38" t="n">
        <x:v>35000</x:v>
      </x:c>
      <x:c r="K14" s="38" t="n">
        <x:v>0</x:v>
      </x:c>
      <x:c r="L14" s="38" t="n">
        <x:v>0</x:v>
      </x:c>
      <x:c r="M14" s="38" t="n">
        <x:f>MAX(H14-L14-K14,0)</x:f>
        <x:v>295000</x:v>
      </x:c>
      <x:c r="N14" s="38" t="n">
        <x:f>M14+J14</x:f>
        <x:v>330000</x:v>
      </x:c>
      <x:c r="O14" s="40" t="n">
        <x:f>IFERROR(M14/H14,0)</x:f>
        <x:v>1</x:v>
      </x:c>
      <x:c r="P14" s="40" t="n">
        <x:f>IFERROR(N14/H14,0)</x:f>
        <x:v>1.11864406779661</x:v>
      </x:c>
      <x:c r="Q14" s="23" t="str">
        <x:v>Active</x:v>
      </x:c>
      <x:c r="R14" s="23" t="str">
        <x:v>No Churn</x:v>
      </x:c>
      <x:c r="S14" s="44" t="n">
        <x:v>46190</x:v>
      </x:c>
      <x:c r="T14" s="23" t="n">
        <x:v>91</x:v>
      </x:c>
      <x:c r="U14" s="46" t="n">
        <x:v>0.88</x:v>
      </x:c>
      <x:c r="V14" s="23" t="n">
        <x:v>1</x:v>
      </x:c>
      <x:c r="W14" s="23" t="str">
        <x:f>IF(Q14="Churned","Lost",IF(OR(T14&lt;Inputs!$B$11,U14&lt;Inputs!$B$13,V14&gt;Inputs!$B$15),"High",IF(OR(T14&lt;Inputs!$B$12,U14&lt;Inputs!$B$14,V14&gt;Inputs!$B$16),"Medium","Low")))</x:f>
        <x:v>Low</x:v>
      </x:c>
      <x:c r="X14" s="23" t="str">
        <x:f>IF(W14="Lost","Document root cause and replace ARR",IF(W14="High","Executive save plan + adoption intervention",IF(W14="Medium","CSM action plan before renewal","Monitor / expansion candidate")))</x:f>
        <x:v>Monitor / expansion candidate</x:v>
      </x:c>
      <x:c r="Y14" s="23" t="n">
        <x:f>IF(W14="Lost",0,(100-T14)*0.35+(1-U14)*100*0.30+V14*2+IF(S14-TODAY()&lt;=Inputs!$B$17,20,0)+IF(W14="High",25,IF(W14="Medium",10,0)))</x:f>
        <x:v>28.75</x:v>
      </x:c>
    </x:row>
    <x:row r="15">
      <x:c r="A15" s="23" t="str">
        <x:v>C014</x:v>
      </x:c>
      <x:c r="B15" s="23" t="str">
        <x:v>Northstar Tax</x:v>
      </x:c>
      <x:c r="C15" s="42" t="n">
        <x:v>46054</x:v>
      </x:c>
      <x:c r="D15" s="23" t="str">
        <x:v>SMB</x:v>
      </x:c>
      <x:c r="E15" s="23" t="str">
        <x:v>Business Services</x:v>
      </x:c>
      <x:c r="F15" s="23" t="str">
        <x:v>North America</x:v>
      </x:c>
      <x:c r="G15" s="23" t="str">
        <x:v>Leo Park</x:v>
      </x:c>
      <x:c r="H15" s="38" t="n">
        <x:v>42000</x:v>
      </x:c>
      <x:c r="I15" s="38" t="n">
        <x:v>0</x:v>
      </x:c>
      <x:c r="J15" s="38" t="n">
        <x:v>0</x:v>
      </x:c>
      <x:c r="K15" s="38" t="n">
        <x:v>0</x:v>
      </x:c>
      <x:c r="L15" s="38" t="n">
        <x:v>42000</x:v>
      </x:c>
      <x:c r="M15" s="38" t="n">
        <x:f>MAX(H15-L15-K15,0)</x:f>
        <x:v>0</x:v>
      </x:c>
      <x:c r="N15" s="38" t="n">
        <x:f>M15+J15</x:f>
        <x:v>0</x:v>
      </x:c>
      <x:c r="O15" s="40" t="n">
        <x:f>IFERROR(M15/H15,0)</x:f>
        <x:v>0</x:v>
      </x:c>
      <x:c r="P15" s="40" t="n">
        <x:f>IFERROR(N15/H15,0)</x:f>
        <x:v>0</x:v>
      </x:c>
      <x:c r="Q15" s="23" t="str">
        <x:v>Churned</x:v>
      </x:c>
      <x:c r="R15" s="23" t="str">
        <x:v>Budget cut</x:v>
      </x:c>
      <x:c r="S15" s="44" t="n">
        <x:v>46221</x:v>
      </x:c>
      <x:c r="T15" s="23" t="n">
        <x:v>38</x:v>
      </x:c>
      <x:c r="U15" s="46" t="n">
        <x:v>0.29</x:v>
      </x:c>
      <x:c r="V15" s="23" t="n">
        <x:v>13</x:v>
      </x:c>
      <x:c r="W15" s="23" t="str">
        <x:f>IF(Q15="Churned","Lost",IF(OR(T15&lt;Inputs!$B$11,U15&lt;Inputs!$B$13,V15&gt;Inputs!$B$15),"High",IF(OR(T15&lt;Inputs!$B$12,U15&lt;Inputs!$B$14,V15&gt;Inputs!$B$16),"Medium","Low")))</x:f>
        <x:v>Lost</x:v>
      </x:c>
      <x:c r="X15" s="23" t="str">
        <x:f>IF(W15="Lost","Document root cause and replace ARR",IF(W15="High","Executive save plan + adoption intervention",IF(W15="Medium","CSM action plan before renewal","Monitor / expansion candidate")))</x:f>
        <x:v>Document root cause and replace ARR</x:v>
      </x:c>
      <x:c r="Y15" s="23" t="n">
        <x:f>IF(W15="Lost",0,(100-T15)*0.35+(1-U15)*100*0.30+V15*2+IF(S15-TODAY()&lt;=Inputs!$B$17,20,0)+IF(W15="High",25,IF(W15="Medium",10,0)))</x:f>
        <x:v>0</x:v>
      </x:c>
    </x:row>
    <x:row r="16">
      <x:c r="A16" s="23" t="str">
        <x:v>C015</x:v>
      </x:c>
      <x:c r="B16" s="23" t="str">
        <x:v>OakBridge SaaS</x:v>
      </x:c>
      <x:c r="C16" s="42" t="n">
        <x:v>46082</x:v>
      </x:c>
      <x:c r="D16" s="23" t="str">
        <x:v>Mid-Market</x:v>
      </x:c>
      <x:c r="E16" s="23" t="str">
        <x:v>Software</x:v>
      </x:c>
      <x:c r="F16" s="23" t="str">
        <x:v>North America</x:v>
      </x:c>
      <x:c r="G16" s="23" t="str">
        <x:v>Maya Singh</x:v>
      </x:c>
      <x:c r="H16" s="38" t="n">
        <x:v>145000</x:v>
      </x:c>
      <x:c r="I16" s="38" t="n">
        <x:v>162000</x:v>
      </x:c>
      <x:c r="J16" s="38" t="n">
        <x:v>17000</x:v>
      </x:c>
      <x:c r="K16" s="38" t="n">
        <x:v>0</x:v>
      </x:c>
      <x:c r="L16" s="38" t="n">
        <x:v>0</x:v>
      </x:c>
      <x:c r="M16" s="38" t="n">
        <x:f>MAX(H16-L16-K16,0)</x:f>
        <x:v>145000</x:v>
      </x:c>
      <x:c r="N16" s="38" t="n">
        <x:f>M16+J16</x:f>
        <x:v>162000</x:v>
      </x:c>
      <x:c r="O16" s="40" t="n">
        <x:f>IFERROR(M16/H16,0)</x:f>
        <x:v>1</x:v>
      </x:c>
      <x:c r="P16" s="40" t="n">
        <x:f>IFERROR(N16/H16,0)</x:f>
        <x:v>1.1172413793103448</x:v>
      </x:c>
      <x:c r="Q16" s="23" t="str">
        <x:v>Active</x:v>
      </x:c>
      <x:c r="R16" s="23" t="str">
        <x:v>No Churn</x:v>
      </x:c>
      <x:c r="S16" s="44" t="n">
        <x:v>46253</x:v>
      </x:c>
      <x:c r="T16" s="23" t="n">
        <x:v>75</x:v>
      </x:c>
      <x:c r="U16" s="46" t="n">
        <x:v>0.69</x:v>
      </x:c>
      <x:c r="V16" s="23" t="n">
        <x:v>3</x:v>
      </x:c>
      <x:c r="W16" s="23" t="str">
        <x:f>IF(Q16="Churned","Lost",IF(OR(T16&lt;Inputs!$B$11,U16&lt;Inputs!$B$13,V16&gt;Inputs!$B$15),"High",IF(OR(T16&lt;Inputs!$B$12,U16&lt;Inputs!$B$14,V16&gt;Inputs!$B$16),"Medium","Low")))</x:f>
        <x:v>Low</x:v>
      </x:c>
      <x:c r="X16" s="23" t="str">
        <x:f>IF(W16="Lost","Document root cause and replace ARR",IF(W16="High","Executive save plan + adoption intervention",IF(W16="Medium","CSM action plan before renewal","Monitor / expansion candidate")))</x:f>
        <x:v>Monitor / expansion candidate</x:v>
      </x:c>
      <x:c r="Y16" s="23" t="n">
        <x:f>IF(W16="Lost",0,(100-T16)*0.35+(1-U16)*100*0.30+V16*2+IF(S16-TODAY()&lt;=Inputs!$B$17,20,0)+IF(W16="High",25,IF(W16="Medium",10,0)))</x:f>
        <x:v>24.050000000000004</x:v>
      </x:c>
    </x:row>
    <x:row r="17">
      <x:c r="A17" s="23" t="str">
        <x:v>C016</x:v>
      </x:c>
      <x:c r="B17" s="23" t="str">
        <x:v>Pioneer Freight</x:v>
      </x:c>
      <x:c r="C17" s="42" t="n">
        <x:v>46113</x:v>
      </x:c>
      <x:c r="D17" s="23" t="str">
        <x:v>Enterprise</x:v>
      </x:c>
      <x:c r="E17" s="23" t="str">
        <x:v>Logistics</x:v>
      </x:c>
      <x:c r="F17" s="23" t="str">
        <x:v>EMEA</x:v>
      </x:c>
      <x:c r="G17" s="23" t="str">
        <x:v>Nora Patel</x:v>
      </x:c>
      <x:c r="H17" s="38" t="n">
        <x:v>340000</x:v>
      </x:c>
      <x:c r="I17" s="38" t="n">
        <x:v>320000</x:v>
      </x:c>
      <x:c r="J17" s="38" t="n">
        <x:v>0</x:v>
      </x:c>
      <x:c r="K17" s="38" t="n">
        <x:v>20000</x:v>
      </x:c>
      <x:c r="L17" s="38" t="n">
        <x:v>0</x:v>
      </x:c>
      <x:c r="M17" s="38" t="n">
        <x:f>MAX(H17-L17-K17,0)</x:f>
        <x:v>320000</x:v>
      </x:c>
      <x:c r="N17" s="38" t="n">
        <x:f>M17+J17</x:f>
        <x:v>320000</x:v>
      </x:c>
      <x:c r="O17" s="40" t="n">
        <x:f>IFERROR(M17/H17,0)</x:f>
        <x:v>0.9411764705882353</x:v>
      </x:c>
      <x:c r="P17" s="40" t="n">
        <x:f>IFERROR(N17/H17,0)</x:f>
        <x:v>0.9411764705882353</x:v>
      </x:c>
      <x:c r="Q17" s="23" t="str">
        <x:v>Active</x:v>
      </x:c>
      <x:c r="R17" s="23" t="str">
        <x:v>No Churn</x:v>
      </x:c>
      <x:c r="S17" s="44" t="n">
        <x:v>46285</x:v>
      </x:c>
      <x:c r="T17" s="23" t="n">
        <x:v>54</x:v>
      </x:c>
      <x:c r="U17" s="46" t="n">
        <x:v>0.39</x:v>
      </x:c>
      <x:c r="V17" s="23" t="n">
        <x:v>15</x:v>
      </x:c>
      <x:c r="W17" s="23" t="str">
        <x:f>IF(Q17="Churned","Lost",IF(OR(T17&lt;Inputs!$B$11,U17&lt;Inputs!$B$13,V17&gt;Inputs!$B$15),"High",IF(OR(T17&lt;Inputs!$B$12,U17&lt;Inputs!$B$14,V17&gt;Inputs!$B$16),"Medium","Low")))</x:f>
        <x:v>High</x:v>
      </x:c>
      <x:c r="X17" s="23" t="str">
        <x:f>IF(W17="Lost","Document root cause and replace ARR",IF(W17="High","Executive save plan + adoption intervention",IF(W17="Medium","CSM action plan before renewal","Monitor / expansion candidate")))</x:f>
        <x:v>Executive save plan + adoption intervention</x:v>
      </x:c>
      <x:c r="Y17" s="23" t="n">
        <x:f>IF(W17="Lost",0,(100-T17)*0.35+(1-U17)*100*0.30+V17*2+IF(S17-TODAY()&lt;=Inputs!$B$17,20,0)+IF(W17="High",25,IF(W17="Medium",10,0)))</x:f>
        <x:v>89.4</x:v>
      </x:c>
    </x:row>
    <x:row r="18">
      <x:c r="A18" s="23" t="str">
        <x:v>C017</x:v>
      </x:c>
      <x:c r="B18" s="23" t="str">
        <x:v>Quarry Equipment</x:v>
      </x:c>
      <x:c r="C18" s="42" t="n">
        <x:v>46143</x:v>
      </x:c>
      <x:c r="D18" s="23" t="str">
        <x:v>Mid-Market</x:v>
      </x:c>
      <x:c r="E18" s="23" t="str">
        <x:v>Manufacturing</x:v>
      </x:c>
      <x:c r="F18" s="23" t="str">
        <x:v>North America</x:v>
      </x:c>
      <x:c r="G18" s="23" t="str">
        <x:v>Jordan Chen</x:v>
      </x:c>
      <x:c r="H18" s="38" t="n">
        <x:v>115000</x:v>
      </x:c>
      <x:c r="I18" s="38" t="n">
        <x:v>113000</x:v>
      </x:c>
      <x:c r="J18" s="38" t="n">
        <x:v>3000</x:v>
      </x:c>
      <x:c r="K18" s="38" t="n">
        <x:v>5000</x:v>
      </x:c>
      <x:c r="L18" s="38" t="n">
        <x:v>0</x:v>
      </x:c>
      <x:c r="M18" s="38" t="n">
        <x:f>MAX(H18-L18-K18,0)</x:f>
        <x:v>110000</x:v>
      </x:c>
      <x:c r="N18" s="38" t="n">
        <x:f>M18+J18</x:f>
        <x:v>113000</x:v>
      </x:c>
      <x:c r="O18" s="40" t="n">
        <x:f>IFERROR(M18/H18,0)</x:f>
        <x:v>0.9565217391304348</x:v>
      </x:c>
      <x:c r="P18" s="40" t="n">
        <x:f>IFERROR(N18/H18,0)</x:f>
        <x:v>0.9826086956521739</x:v>
      </x:c>
      <x:c r="Q18" s="23" t="str">
        <x:v>Active</x:v>
      </x:c>
      <x:c r="R18" s="23" t="str">
        <x:v>No Churn</x:v>
      </x:c>
      <x:c r="S18" s="44" t="n">
        <x:v>46316</x:v>
      </x:c>
      <x:c r="T18" s="23" t="n">
        <x:v>63</x:v>
      </x:c>
      <x:c r="U18" s="46" t="n">
        <x:v>0.52</x:v>
      </x:c>
      <x:c r="V18" s="23" t="n">
        <x:v>7</x:v>
      </x:c>
      <x:c r="W18" s="23" t="str">
        <x:f>IF(Q18="Churned","Lost",IF(OR(T18&lt;Inputs!$B$11,U18&lt;Inputs!$B$13,V18&gt;Inputs!$B$15),"High",IF(OR(T18&lt;Inputs!$B$12,U18&lt;Inputs!$B$14,V18&gt;Inputs!$B$16),"Medium","Low")))</x:f>
        <x:v>Medium</x:v>
      </x:c>
      <x:c r="X18" s="23" t="str">
        <x:f>IF(W18="Lost","Document root cause and replace ARR",IF(W18="High","Executive save plan + adoption intervention",IF(W18="Medium","CSM action plan before renewal","Monitor / expansion candidate")))</x:f>
        <x:v>CSM action plan before renewal</x:v>
      </x:c>
      <x:c r="Y18" s="23" t="n">
        <x:f>IF(W18="Lost",0,(100-T18)*0.35+(1-U18)*100*0.30+V18*2+IF(S18-TODAY()&lt;=Inputs!$B$17,20,0)+IF(W18="High",25,IF(W18="Medium",10,0)))</x:f>
        <x:v>51.349999999999994</x:v>
      </x:c>
    </x:row>
    <x:row r="19">
      <x:c r="A19" s="23" t="str">
        <x:v>C018</x:v>
      </x:c>
      <x:c r="B19" s="23" t="str">
        <x:v>Redwood Services</x:v>
      </x:c>
      <x:c r="C19" s="42" t="n">
        <x:v>46174</x:v>
      </x:c>
      <x:c r="D19" s="23" t="str">
        <x:v>SMB</x:v>
      </x:c>
      <x:c r="E19" s="23" t="str">
        <x:v>Business Services</x:v>
      </x:c>
      <x:c r="F19" s="23" t="str">
        <x:v>North America</x:v>
      </x:c>
      <x:c r="G19" s="23" t="str">
        <x:v>Leo Park</x:v>
      </x:c>
      <x:c r="H19" s="38" t="n">
        <x:v>58000</x:v>
      </x:c>
      <x:c r="I19" s="38" t="n">
        <x:v>58000</x:v>
      </x:c>
      <x:c r="J19" s="38" t="n">
        <x:v>0</x:v>
      </x:c>
      <x:c r="K19" s="38" t="n">
        <x:v>0</x:v>
      </x:c>
      <x:c r="L19" s="38" t="n">
        <x:v>0</x:v>
      </x:c>
      <x:c r="M19" s="38" t="n">
        <x:f>MAX(H19-L19-K19,0)</x:f>
        <x:v>58000</x:v>
      </x:c>
      <x:c r="N19" s="38" t="n">
        <x:f>M19+J19</x:f>
        <x:v>58000</x:v>
      </x:c>
      <x:c r="O19" s="40" t="n">
        <x:f>IFERROR(M19/H19,0)</x:f>
        <x:v>1</x:v>
      </x:c>
      <x:c r="P19" s="40" t="n">
        <x:f>IFERROR(N19/H19,0)</x:f>
        <x:v>1</x:v>
      </x:c>
      <x:c r="Q19" s="23" t="str">
        <x:v>Active</x:v>
      </x:c>
      <x:c r="R19" s="23" t="str">
        <x:v>No Churn</x:v>
      </x:c>
      <x:c r="S19" s="44" t="n">
        <x:v>46348</x:v>
      </x:c>
      <x:c r="T19" s="23" t="n">
        <x:v>84</x:v>
      </x:c>
      <x:c r="U19" s="46" t="n">
        <x:v>0.77</x:v>
      </x:c>
      <x:c r="V19" s="23" t="n">
        <x:v>2</x:v>
      </x:c>
      <x:c r="W19" s="23" t="str">
        <x:f>IF(Q19="Churned","Lost",IF(OR(T19&lt;Inputs!$B$11,U19&lt;Inputs!$B$13,V19&gt;Inputs!$B$15),"High",IF(OR(T19&lt;Inputs!$B$12,U19&lt;Inputs!$B$14,V19&gt;Inputs!$B$16),"Medium","Low")))</x:f>
        <x:v>Low</x:v>
      </x:c>
      <x:c r="X19" s="23" t="str">
        <x:f>IF(W19="Lost","Document root cause and replace ARR",IF(W19="High","Executive save plan + adoption intervention",IF(W19="Medium","CSM action plan before renewal","Monitor / expansion candidate")))</x:f>
        <x:v>Monitor / expansion candidate</x:v>
      </x:c>
      <x:c r="Y19" s="23" t="n">
        <x:f>IF(W19="Lost",0,(100-T19)*0.35+(1-U19)*100*0.30+V19*2+IF(S19-TODAY()&lt;=Inputs!$B$17,20,0)+IF(W19="High",25,IF(W19="Medium",10,0)))</x:f>
        <x:v>16.5</x:v>
      </x:c>
    </x:row>
    <x:row r="20">
      <x:c r="A20" s="23" t="str">
        <x:v>C019</x:v>
      </x:c>
      <x:c r="B20" s="23" t="str">
        <x:v>Summit Ortho</x:v>
      </x:c>
      <x:c r="C20" s="42" t="n">
        <x:v>46023</x:v>
      </x:c>
      <x:c r="D20" s="23" t="str">
        <x:v>Enterprise</x:v>
      </x:c>
      <x:c r="E20" s="23" t="str">
        <x:v>Healthcare</x:v>
      </x:c>
      <x:c r="F20" s="23" t="str">
        <x:v>North America</x:v>
      </x:c>
      <x:c r="G20" s="23" t="str">
        <x:v>Maya Singh</x:v>
      </x:c>
      <x:c r="H20" s="38" t="n">
        <x:v>305000</x:v>
      </x:c>
      <x:c r="I20" s="38" t="n">
        <x:v>329000</x:v>
      </x:c>
      <x:c r="J20" s="38" t="n">
        <x:v>24000</x:v>
      </x:c>
      <x:c r="K20" s="38" t="n">
        <x:v>0</x:v>
      </x:c>
      <x:c r="L20" s="38" t="n">
        <x:v>0</x:v>
      </x:c>
      <x:c r="M20" s="38" t="n">
        <x:f>MAX(H20-L20-K20,0)</x:f>
        <x:v>305000</x:v>
      </x:c>
      <x:c r="N20" s="38" t="n">
        <x:f>M20+J20</x:f>
        <x:v>329000</x:v>
      </x:c>
      <x:c r="O20" s="40" t="n">
        <x:f>IFERROR(M20/H20,0)</x:f>
        <x:v>1</x:v>
      </x:c>
      <x:c r="P20" s="40" t="n">
        <x:f>IFERROR(N20/H20,0)</x:f>
        <x:v>1.0786885245901638</x:v>
      </x:c>
      <x:c r="Q20" s="23" t="str">
        <x:v>Active</x:v>
      </x:c>
      <x:c r="R20" s="23" t="str">
        <x:v>No Churn</x:v>
      </x:c>
      <x:c r="S20" s="44" t="n">
        <x:v>46379</x:v>
      </x:c>
      <x:c r="T20" s="23" t="n">
        <x:v>79</x:v>
      </x:c>
      <x:c r="U20" s="46" t="n">
        <x:v>0.73</x:v>
      </x:c>
      <x:c r="V20" s="23" t="n">
        <x:v>5</x:v>
      </x:c>
      <x:c r="W20" s="23" t="str">
        <x:f>IF(Q20="Churned","Lost",IF(OR(T20&lt;Inputs!$B$11,U20&lt;Inputs!$B$13,V20&gt;Inputs!$B$15),"High",IF(OR(T20&lt;Inputs!$B$12,U20&lt;Inputs!$B$14,V20&gt;Inputs!$B$16),"Medium","Low")))</x:f>
        <x:v>Low</x:v>
      </x:c>
      <x:c r="X20" s="23" t="str">
        <x:f>IF(W20="Lost","Document root cause and replace ARR",IF(W20="High","Executive save plan + adoption intervention",IF(W20="Medium","CSM action plan before renewal","Monitor / expansion candidate")))</x:f>
        <x:v>Monitor / expansion candidate</x:v>
      </x:c>
      <x:c r="Y20" s="23" t="n">
        <x:f>IF(W20="Lost",0,(100-T20)*0.35+(1-U20)*100*0.30+V20*2+IF(S20-TODAY()&lt;=Inputs!$B$17,20,0)+IF(W20="High",25,IF(W20="Medium",10,0)))</x:f>
        <x:v>25.45</x:v>
      </x:c>
    </x:row>
    <x:row r="21">
      <x:c r="A21" s="23" t="str">
        <x:v>C020</x:v>
      </x:c>
      <x:c r="B21" s="23" t="str">
        <x:v>Titan Warehousing</x:v>
      </x:c>
      <x:c r="C21" s="42" t="n">
        <x:v>46054</x:v>
      </x:c>
      <x:c r="D21" s="23" t="str">
        <x:v>Mid-Market</x:v>
      </x:c>
      <x:c r="E21" s="23" t="str">
        <x:v>Distribution</x:v>
      </x:c>
      <x:c r="F21" s="23" t="str">
        <x:v>APAC</x:v>
      </x:c>
      <x:c r="G21" s="23" t="str">
        <x:v>Nora Patel</x:v>
      </x:c>
      <x:c r="H21" s="38" t="n">
        <x:v>125000</x:v>
      </x:c>
      <x:c r="I21" s="38" t="n">
        <x:v>0</x:v>
      </x:c>
      <x:c r="J21" s="38" t="n">
        <x:v>0</x:v>
      </x:c>
      <x:c r="K21" s="38" t="n">
        <x:v>0</x:v>
      </x:c>
      <x:c r="L21" s="38" t="n">
        <x:v>125000</x:v>
      </x:c>
      <x:c r="M21" s="38" t="n">
        <x:f>MAX(H21-L21-K21,0)</x:f>
        <x:v>0</x:v>
      </x:c>
      <x:c r="N21" s="38" t="n">
        <x:f>M21+J21</x:f>
        <x:v>0</x:v>
      </x:c>
      <x:c r="O21" s="40" t="n">
        <x:f>IFERROR(M21/H21,0)</x:f>
        <x:v>0</x:v>
      </x:c>
      <x:c r="P21" s="40" t="n">
        <x:f>IFERROR(N21/H21,0)</x:f>
        <x:v>0</x:v>
      </x:c>
      <x:c r="Q21" s="23" t="str">
        <x:v>Churned</x:v>
      </x:c>
      <x:c r="R21" s="23" t="str">
        <x:v>Service issue</x:v>
      </x:c>
      <x:c r="S21" s="44" t="n">
        <x:v>46046</x:v>
      </x:c>
      <x:c r="T21" s="23" t="n">
        <x:v>42</x:v>
      </x:c>
      <x:c r="U21" s="46" t="n">
        <x:v>0.35</x:v>
      </x:c>
      <x:c r="V21" s="23" t="n">
        <x:v>16</x:v>
      </x:c>
      <x:c r="W21" s="23" t="str">
        <x:f>IF(Q21="Churned","Lost",IF(OR(T21&lt;Inputs!$B$11,U21&lt;Inputs!$B$13,V21&gt;Inputs!$B$15),"High",IF(OR(T21&lt;Inputs!$B$12,U21&lt;Inputs!$B$14,V21&gt;Inputs!$B$16),"Medium","Low")))</x:f>
        <x:v>Lost</x:v>
      </x:c>
      <x:c r="X21" s="23" t="str">
        <x:f>IF(W21="Lost","Document root cause and replace ARR",IF(W21="High","Executive save plan + adoption intervention",IF(W21="Medium","CSM action plan before renewal","Monitor / expansion candidate")))</x:f>
        <x:v>Document root cause and replace ARR</x:v>
      </x:c>
      <x:c r="Y21" s="23" t="n">
        <x:f>IF(W21="Lost",0,(100-T21)*0.35+(1-U21)*100*0.30+V21*2+IF(S21-TODAY()&lt;=Inputs!$B$17,20,0)+IF(W21="High",25,IF(W21="Medium",10,0)))</x:f>
        <x:v>0</x:v>
      </x:c>
    </x:row>
    <x:row r="22">
      <x:c r="A22" s="23" t="str">
        <x:v>C021</x:v>
      </x:c>
      <x:c r="B22" s="23" t="str">
        <x:v>Union Billing</x:v>
      </x:c>
      <x:c r="C22" s="42" t="n">
        <x:v>46082</x:v>
      </x:c>
      <x:c r="D22" s="23" t="str">
        <x:v>SMB</x:v>
      </x:c>
      <x:c r="E22" s="23" t="str">
        <x:v>Software</x:v>
      </x:c>
      <x:c r="F22" s="23" t="str">
        <x:v>North America</x:v>
      </x:c>
      <x:c r="G22" s="23" t="str">
        <x:v>Leo Park</x:v>
      </x:c>
      <x:c r="H22" s="38" t="n">
        <x:v>66000</x:v>
      </x:c>
      <x:c r="I22" s="38" t="n">
        <x:v>66000</x:v>
      </x:c>
      <x:c r="J22" s="38" t="n">
        <x:v>1000</x:v>
      </x:c>
      <x:c r="K22" s="38" t="n">
        <x:v>1000</x:v>
      </x:c>
      <x:c r="L22" s="38" t="n">
        <x:v>0</x:v>
      </x:c>
      <x:c r="M22" s="38" t="n">
        <x:f>MAX(H22-L22-K22,0)</x:f>
        <x:v>65000</x:v>
      </x:c>
      <x:c r="N22" s="38" t="n">
        <x:f>M22+J22</x:f>
        <x:v>66000</x:v>
      </x:c>
      <x:c r="O22" s="40" t="n">
        <x:f>IFERROR(M22/H22,0)</x:f>
        <x:v>0.9848484848484849</x:v>
      </x:c>
      <x:c r="P22" s="40" t="n">
        <x:f>IFERROR(N22/H22,0)</x:f>
        <x:v>1</x:v>
      </x:c>
      <x:c r="Q22" s="23" t="str">
        <x:v>Active</x:v>
      </x:c>
      <x:c r="R22" s="23" t="str">
        <x:v>No Churn</x:v>
      </x:c>
      <x:c r="S22" s="44" t="n">
        <x:v>46078</x:v>
      </x:c>
      <x:c r="T22" s="23" t="n">
        <x:v>59</x:v>
      </x:c>
      <x:c r="U22" s="46" t="n">
        <x:v>0.46</x:v>
      </x:c>
      <x:c r="V22" s="23" t="n">
        <x:v>10</x:v>
      </x:c>
      <x:c r="W22" s="23" t="str">
        <x:f>IF(Q22="Churned","Lost",IF(OR(T22&lt;Inputs!$B$11,U22&lt;Inputs!$B$13,V22&gt;Inputs!$B$15),"High",IF(OR(T22&lt;Inputs!$B$12,U22&lt;Inputs!$B$14,V22&gt;Inputs!$B$16),"Medium","Low")))</x:f>
        <x:v>Medium</x:v>
      </x:c>
      <x:c r="X22" s="23" t="str">
        <x:f>IF(W22="Lost","Document root cause and replace ARR",IF(W22="High","Executive save plan + adoption intervention",IF(W22="Medium","CSM action plan before renewal","Monitor / expansion candidate")))</x:f>
        <x:v>CSM action plan before renewal</x:v>
      </x:c>
      <x:c r="Y22" s="23" t="n">
        <x:f>IF(W22="Lost",0,(100-T22)*0.35+(1-U22)*100*0.30+V22*2+IF(S22-TODAY()&lt;=Inputs!$B$17,20,0)+IF(W22="High",25,IF(W22="Medium",10,0)))</x:f>
        <x:v>80.55</x:v>
      </x:c>
    </x:row>
    <x:row r="23">
      <x:c r="A23" s="23" t="str">
        <x:v>C022</x:v>
      </x:c>
      <x:c r="B23" s="23" t="str">
        <x:v>Vector Industrial</x:v>
      </x:c>
      <x:c r="C23" s="42" t="n">
        <x:v>46113</x:v>
      </x:c>
      <x:c r="D23" s="23" t="str">
        <x:v>Enterprise</x:v>
      </x:c>
      <x:c r="E23" s="23" t="str">
        <x:v>Manufacturing</x:v>
      </x:c>
      <x:c r="F23" s="23" t="str">
        <x:v>North America</x:v>
      </x:c>
      <x:c r="G23" s="23" t="str">
        <x:v>Jordan Chen</x:v>
      </x:c>
      <x:c r="H23" s="38" t="n">
        <x:v>375000</x:v>
      </x:c>
      <x:c r="I23" s="38" t="n">
        <x:v>386000</x:v>
      </x:c>
      <x:c r="J23" s="38" t="n">
        <x:v>11000</x:v>
      </x:c>
      <x:c r="K23" s="38" t="n">
        <x:v>0</x:v>
      </x:c>
      <x:c r="L23" s="38" t="n">
        <x:v>0</x:v>
      </x:c>
      <x:c r="M23" s="38" t="n">
        <x:f>MAX(H23-L23-K23,0)</x:f>
        <x:v>375000</x:v>
      </x:c>
      <x:c r="N23" s="38" t="n">
        <x:f>M23+J23</x:f>
        <x:v>386000</x:v>
      </x:c>
      <x:c r="O23" s="40" t="n">
        <x:f>IFERROR(M23/H23,0)</x:f>
        <x:v>1</x:v>
      </x:c>
      <x:c r="P23" s="40" t="n">
        <x:f>IFERROR(N23/H23,0)</x:f>
        <x:v>1.0293333333333334</x:v>
      </x:c>
      <x:c r="Q23" s="23" t="str">
        <x:v>Active</x:v>
      </x:c>
      <x:c r="R23" s="23" t="str">
        <x:v>No Churn</x:v>
      </x:c>
      <x:c r="S23" s="44" t="n">
        <x:v>46107</x:v>
      </x:c>
      <x:c r="T23" s="23" t="n">
        <x:v>87</x:v>
      </x:c>
      <x:c r="U23" s="46" t="n">
        <x:v>0.82</x:v>
      </x:c>
      <x:c r="V23" s="23" t="n">
        <x:v>4</x:v>
      </x:c>
      <x:c r="W23" s="23" t="str">
        <x:f>IF(Q23="Churned","Lost",IF(OR(T23&lt;Inputs!$B$11,U23&lt;Inputs!$B$13,V23&gt;Inputs!$B$15),"High",IF(OR(T23&lt;Inputs!$B$12,U23&lt;Inputs!$B$14,V23&gt;Inputs!$B$16),"Medium","Low")))</x:f>
        <x:v>Low</x:v>
      </x:c>
      <x:c r="X23" s="23" t="str">
        <x:f>IF(W23="Lost","Document root cause and replace ARR",IF(W23="High","Executive save plan + adoption intervention",IF(W23="Medium","CSM action plan before renewal","Monitor / expansion candidate")))</x:f>
        <x:v>Monitor / expansion candidate</x:v>
      </x:c>
      <x:c r="Y23" s="23" t="n">
        <x:f>IF(W23="Lost",0,(100-T23)*0.35+(1-U23)*100*0.30+V23*2+IF(S23-TODAY()&lt;=Inputs!$B$17,20,0)+IF(W23="High",25,IF(W23="Medium",10,0)))</x:f>
        <x:v>37.95</x:v>
      </x:c>
    </x:row>
    <x:row r="24">
      <x:c r="A24" s="23" t="str">
        <x:v>C023</x:v>
      </x:c>
      <x:c r="B24" s="23" t="str">
        <x:v>Westlake Benefits</x:v>
      </x:c>
      <x:c r="C24" s="42" t="n">
        <x:v>46143</x:v>
      </x:c>
      <x:c r="D24" s="23" t="str">
        <x:v>Mid-Market</x:v>
      </x:c>
      <x:c r="E24" s="23" t="str">
        <x:v>Business Services</x:v>
      </x:c>
      <x:c r="F24" s="23" t="str">
        <x:v>North America</x:v>
      </x:c>
      <x:c r="G24" s="23" t="str">
        <x:v>Maya Singh</x:v>
      </x:c>
      <x:c r="H24" s="38" t="n">
        <x:v>168000</x:v>
      </x:c>
      <x:c r="I24" s="38" t="n">
        <x:v>168000</x:v>
      </x:c>
      <x:c r="J24" s="38" t="n">
        <x:v>0</x:v>
      </x:c>
      <x:c r="K24" s="38" t="n">
        <x:v>0</x:v>
      </x:c>
      <x:c r="L24" s="38" t="n">
        <x:v>0</x:v>
      </x:c>
      <x:c r="M24" s="38" t="n">
        <x:f>MAX(H24-L24-K24,0)</x:f>
        <x:v>168000</x:v>
      </x:c>
      <x:c r="N24" s="38" t="n">
        <x:f>M24+J24</x:f>
        <x:v>168000</x:v>
      </x:c>
      <x:c r="O24" s="40" t="n">
        <x:f>IFERROR(M24/H24,0)</x:f>
        <x:v>1</x:v>
      </x:c>
      <x:c r="P24" s="40" t="n">
        <x:f>IFERROR(N24/H24,0)</x:f>
        <x:v>1</x:v>
      </x:c>
      <x:c r="Q24" s="23" t="str">
        <x:v>Active</x:v>
      </x:c>
      <x:c r="R24" s="23" t="str">
        <x:v>No Churn</x:v>
      </x:c>
      <x:c r="S24" s="44" t="n">
        <x:v>46139</x:v>
      </x:c>
      <x:c r="T24" s="23" t="n">
        <x:v>71</x:v>
      </x:c>
      <x:c r="U24" s="46" t="n">
        <x:v>0.64</x:v>
      </x:c>
      <x:c r="V24" s="23" t="n">
        <x:v>6</x:v>
      </x:c>
      <x:c r="W24" s="23" t="str">
        <x:f>IF(Q24="Churned","Lost",IF(OR(T24&lt;Inputs!$B$11,U24&lt;Inputs!$B$13,V24&gt;Inputs!$B$15),"High",IF(OR(T24&lt;Inputs!$B$12,U24&lt;Inputs!$B$14,V24&gt;Inputs!$B$16),"Medium","Low")))</x:f>
        <x:v>Low</x:v>
      </x:c>
      <x:c r="X24" s="23" t="str">
        <x:f>IF(W24="Lost","Document root cause and replace ARR",IF(W24="High","Executive save plan + adoption intervention",IF(W24="Medium","CSM action plan before renewal","Monitor / expansion candidate")))</x:f>
        <x:v>Monitor / expansion candidate</x:v>
      </x:c>
      <x:c r="Y24" s="23" t="n">
        <x:f>IF(W24="Lost",0,(100-T24)*0.35+(1-U24)*100*0.30+V24*2+IF(S24-TODAY()&lt;=Inputs!$B$17,20,0)+IF(W24="High",25,IF(W24="Medium",10,0)))</x:f>
        <x:v>52.949999999999996</x:v>
      </x:c>
    </x:row>
    <x:row r="25">
      <x:c r="A25" s="23" t="str">
        <x:v>C024</x:v>
      </x:c>
      <x:c r="B25" s="23" t="str">
        <x:v>Yardline Medical</x:v>
      </x:c>
      <x:c r="C25" s="42" t="n">
        <x:v>46174</x:v>
      </x:c>
      <x:c r="D25" s="23" t="str">
        <x:v>SMB</x:v>
      </x:c>
      <x:c r="E25" s="23" t="str">
        <x:v>Healthcare</x:v>
      </x:c>
      <x:c r="F25" s="23" t="str">
        <x:v>North America</x:v>
      </x:c>
      <x:c r="G25" s="23" t="str">
        <x:v>Leo Park</x:v>
      </x:c>
      <x:c r="H25" s="38" t="n">
        <x:v>52000</x:v>
      </x:c>
      <x:c r="I25" s="38" t="n">
        <x:v>53000</x:v>
      </x:c>
      <x:c r="J25" s="38" t="n">
        <x:v>1000</x:v>
      </x:c>
      <x:c r="K25" s="38" t="n">
        <x:v>0</x:v>
      </x:c>
      <x:c r="L25" s="38" t="n">
        <x:v>0</x:v>
      </x:c>
      <x:c r="M25" s="38" t="n">
        <x:f>MAX(H25-L25-K25,0)</x:f>
        <x:v>52000</x:v>
      </x:c>
      <x:c r="N25" s="38" t="n">
        <x:f>M25+J25</x:f>
        <x:v>53000</x:v>
      </x:c>
      <x:c r="O25" s="40" t="n">
        <x:f>IFERROR(M25/H25,0)</x:f>
        <x:v>1</x:v>
      </x:c>
      <x:c r="P25" s="40" t="n">
        <x:f>IFERROR(N25/H25,0)</x:f>
        <x:v>1.0192307692307692</x:v>
      </x:c>
      <x:c r="Q25" s="23" t="str">
        <x:v>Active</x:v>
      </x:c>
      <x:c r="R25" s="23" t="str">
        <x:v>No Churn</x:v>
      </x:c>
      <x:c r="S25" s="44" t="n">
        <x:v>46170</x:v>
      </x:c>
      <x:c r="T25" s="23" t="n">
        <x:v>64</x:v>
      </x:c>
      <x:c r="U25" s="46" t="n">
        <x:v>0.55</x:v>
      </x:c>
      <x:c r="V25" s="23" t="n">
        <x:v>7</x:v>
      </x:c>
      <x:c r="W25" s="23" t="str">
        <x:f>IF(Q25="Churned","Lost",IF(OR(T25&lt;Inputs!$B$11,U25&lt;Inputs!$B$13,V25&gt;Inputs!$B$15),"High",IF(OR(T25&lt;Inputs!$B$12,U25&lt;Inputs!$B$14,V25&gt;Inputs!$B$16),"Medium","Low")))</x:f>
        <x:v>Medium</x:v>
      </x:c>
      <x:c r="X25" s="23" t="str">
        <x:f>IF(W25="Lost","Document root cause and replace ARR",IF(W25="High","Executive save plan + adoption intervention",IF(W25="Medium","CSM action plan before renewal","Monitor / expansion candidate")))</x:f>
        <x:v>CSM action plan before renewal</x:v>
      </x:c>
      <x:c r="Y25" s="23" t="n">
        <x:f>IF(W25="Lost",0,(100-T25)*0.35+(1-U25)*100*0.30+V25*2+IF(S25-TODAY()&lt;=Inputs!$B$17,20,0)+IF(W25="High",25,IF(W25="Medium",10,0)))</x:f>
        <x:v>70.1</x:v>
      </x:c>
    </x:row>
    <x:row r="26">
      <x:c r="A26" s="23" t="str">
        <x:v>C025</x:v>
      </x:c>
      <x:c r="B26" s="23" t="str">
        <x:v>Zephyr Tools</x:v>
      </x:c>
      <x:c r="C26" s="42" t="n">
        <x:v>46023</x:v>
      </x:c>
      <x:c r="D26" s="23" t="str">
        <x:v>Enterprise</x:v>
      </x:c>
      <x:c r="E26" s="23" t="str">
        <x:v>Manufacturing</x:v>
      </x:c>
      <x:c r="F26" s="23" t="str">
        <x:v>EMEA</x:v>
      </x:c>
      <x:c r="G26" s="23" t="str">
        <x:v>Nora Patel</x:v>
      </x:c>
      <x:c r="H26" s="38" t="n">
        <x:v>220000</x:v>
      </x:c>
      <x:c r="I26" s="38" t="n">
        <x:v>231000</x:v>
      </x:c>
      <x:c r="J26" s="38" t="n">
        <x:v>11000</x:v>
      </x:c>
      <x:c r="K26" s="38" t="n">
        <x:v>0</x:v>
      </x:c>
      <x:c r="L26" s="38" t="n">
        <x:v>0</x:v>
      </x:c>
      <x:c r="M26" s="38" t="n">
        <x:f>MAX(H26-L26-K26,0)</x:f>
        <x:v>220000</x:v>
      </x:c>
      <x:c r="N26" s="38" t="n">
        <x:f>M26+J26</x:f>
        <x:v>231000</x:v>
      </x:c>
      <x:c r="O26" s="40" t="n">
        <x:f>IFERROR(M26/H26,0)</x:f>
        <x:v>1</x:v>
      </x:c>
      <x:c r="P26" s="40" t="n">
        <x:f>IFERROR(N26/H26,0)</x:f>
        <x:v>1.05</x:v>
      </x:c>
      <x:c r="Q26" s="23" t="str">
        <x:v>Active</x:v>
      </x:c>
      <x:c r="R26" s="23" t="str">
        <x:v>No Churn</x:v>
      </x:c>
      <x:c r="S26" s="44" t="n">
        <x:v>46201</x:v>
      </x:c>
      <x:c r="T26" s="23" t="n">
        <x:v>90</x:v>
      </x:c>
      <x:c r="U26" s="46" t="n">
        <x:v>0.86</x:v>
      </x:c>
      <x:c r="V26" s="23" t="n">
        <x:v>1</x:v>
      </x:c>
      <x:c r="W26" s="23" t="str">
        <x:f>IF(Q26="Churned","Lost",IF(OR(T26&lt;Inputs!$B$11,U26&lt;Inputs!$B$13,V26&gt;Inputs!$B$15),"High",IF(OR(T26&lt;Inputs!$B$12,U26&lt;Inputs!$B$14,V26&gt;Inputs!$B$16),"Medium","Low")))</x:f>
        <x:v>Low</x:v>
      </x:c>
      <x:c r="X26" s="23" t="str">
        <x:f>IF(W26="Lost","Document root cause and replace ARR",IF(W26="High","Executive save plan + adoption intervention",IF(W26="Medium","CSM action plan before renewal","Monitor / expansion candidate")))</x:f>
        <x:v>Monitor / expansion candidate</x:v>
      </x:c>
      <x:c r="Y26" s="23" t="n">
        <x:f>IF(W26="Lost",0,(100-T26)*0.35+(1-U26)*100*0.30+V26*2+IF(S26-TODAY()&lt;=Inputs!$B$17,20,0)+IF(W26="High",25,IF(W26="Medium",10,0)))</x:f>
        <x:v>29.7</x:v>
      </x:c>
    </x:row>
    <x:row r="27">
      <x:c r="A27" s="23" t="str">
        <x:v>C026</x:v>
      </x:c>
      <x:c r="B27" s="23" t="str">
        <x:v>Apex Claims</x:v>
      </x:c>
      <x:c r="C27" s="42" t="n">
        <x:v>46054</x:v>
      </x:c>
      <x:c r="D27" s="23" t="str">
        <x:v>Mid-Market</x:v>
      </x:c>
      <x:c r="E27" s="23" t="str">
        <x:v>Insurance</x:v>
      </x:c>
      <x:c r="F27" s="23" t="str">
        <x:v>North America</x:v>
      </x:c>
      <x:c r="G27" s="23" t="str">
        <x:v>Maya Singh</x:v>
      </x:c>
      <x:c r="H27" s="38" t="n">
        <x:v>132000</x:v>
      </x:c>
      <x:c r="I27" s="38" t="n">
        <x:v>131000</x:v>
      </x:c>
      <x:c r="J27" s="38" t="n">
        <x:v>4000</x:v>
      </x:c>
      <x:c r="K27" s="38" t="n">
        <x:v>5000</x:v>
      </x:c>
      <x:c r="L27" s="38" t="n">
        <x:v>0</x:v>
      </x:c>
      <x:c r="M27" s="38" t="n">
        <x:f>MAX(H27-L27-K27,0)</x:f>
        <x:v>127000</x:v>
      </x:c>
      <x:c r="N27" s="38" t="n">
        <x:f>M27+J27</x:f>
        <x:v>131000</x:v>
      </x:c>
      <x:c r="O27" s="40" t="n">
        <x:f>IFERROR(M27/H27,0)</x:f>
        <x:v>0.9621212121212122</x:v>
      </x:c>
      <x:c r="P27" s="40" t="n">
        <x:f>IFERROR(N27/H27,0)</x:f>
        <x:v>0.9924242424242424</x:v>
      </x:c>
      <x:c r="Q27" s="23" t="str">
        <x:v>Active</x:v>
      </x:c>
      <x:c r="R27" s="23" t="str">
        <x:v>No Churn</x:v>
      </x:c>
      <x:c r="S27" s="44" t="n">
        <x:v>46231</x:v>
      </x:c>
      <x:c r="T27" s="23" t="n">
        <x:v>52</x:v>
      </x:c>
      <x:c r="U27" s="46" t="n">
        <x:v>0.41</x:v>
      </x:c>
      <x:c r="V27" s="23" t="n">
        <x:v>14</x:v>
      </x:c>
      <x:c r="W27" s="23" t="str">
        <x:f>IF(Q27="Churned","Lost",IF(OR(T27&lt;Inputs!$B$11,U27&lt;Inputs!$B$13,V27&gt;Inputs!$B$15),"High",IF(OR(T27&lt;Inputs!$B$12,U27&lt;Inputs!$B$14,V27&gt;Inputs!$B$16),"Medium","Low")))</x:f>
        <x:v>High</x:v>
      </x:c>
      <x:c r="X27" s="23" t="str">
        <x:f>IF(W27="Lost","Document root cause and replace ARR",IF(W27="High","Executive save plan + adoption intervention",IF(W27="Medium","CSM action plan before renewal","Monitor / expansion candidate")))</x:f>
        <x:v>Executive save plan + adoption intervention</x:v>
      </x:c>
      <x:c r="Y27" s="23" t="n">
        <x:f>IF(W27="Lost",0,(100-T27)*0.35+(1-U27)*100*0.30+V27*2+IF(S27-TODAY()&lt;=Inputs!$B$17,20,0)+IF(W27="High",25,IF(W27="Medium",10,0)))</x:f>
        <x:v>107.5</x:v>
      </x:c>
    </x:row>
    <x:row r="28">
      <x:c r="A28" s="23" t="str">
        <x:v>C027</x:v>
      </x:c>
      <x:c r="B28" s="23" t="str">
        <x:v>Beacon Marine</x:v>
      </x:c>
      <x:c r="C28" s="42" t="n">
        <x:v>46082</x:v>
      </x:c>
      <x:c r="D28" s="23" t="str">
        <x:v>SMB</x:v>
      </x:c>
      <x:c r="E28" s="23" t="str">
        <x:v>Distribution</x:v>
      </x:c>
      <x:c r="F28" s="23" t="str">
        <x:v>North America</x:v>
      </x:c>
      <x:c r="G28" s="23" t="str">
        <x:v>Leo Park</x:v>
      </x:c>
      <x:c r="H28" s="38" t="n">
        <x:v>47000</x:v>
      </x:c>
      <x:c r="I28" s="38" t="n">
        <x:v>0</x:v>
      </x:c>
      <x:c r="J28" s="38" t="n">
        <x:v>0</x:v>
      </x:c>
      <x:c r="K28" s="38" t="n">
        <x:v>0</x:v>
      </x:c>
      <x:c r="L28" s="38" t="n">
        <x:v>47000</x:v>
      </x:c>
      <x:c r="M28" s="38" t="n">
        <x:f>MAX(H28-L28-K28,0)</x:f>
        <x:v>0</x:v>
      </x:c>
      <x:c r="N28" s="38" t="n">
        <x:f>M28+J28</x:f>
        <x:v>0</x:v>
      </x:c>
      <x:c r="O28" s="40" t="n">
        <x:f>IFERROR(M28/H28,0)</x:f>
        <x:v>0</x:v>
      </x:c>
      <x:c r="P28" s="40" t="n">
        <x:f>IFERROR(N28/H28,0)</x:f>
        <x:v>0</x:v>
      </x:c>
      <x:c r="Q28" s="23" t="str">
        <x:v>Churned</x:v>
      </x:c>
      <x:c r="R28" s="23" t="str">
        <x:v>Competitor loss</x:v>
      </x:c>
      <x:c r="S28" s="44" t="n">
        <x:v>46262</x:v>
      </x:c>
      <x:c r="T28" s="23" t="n">
        <x:v>36</x:v>
      </x:c>
      <x:c r="U28" s="46" t="n">
        <x:v>0.24</x:v>
      </x:c>
      <x:c r="V28" s="23" t="n">
        <x:v>12</x:v>
      </x:c>
      <x:c r="W28" s="23" t="str">
        <x:f>IF(Q28="Churned","Lost",IF(OR(T28&lt;Inputs!$B$11,U28&lt;Inputs!$B$13,V28&gt;Inputs!$B$15),"High",IF(OR(T28&lt;Inputs!$B$12,U28&lt;Inputs!$B$14,V28&gt;Inputs!$B$16),"Medium","Low")))</x:f>
        <x:v>Lost</x:v>
      </x:c>
      <x:c r="X28" s="23" t="str">
        <x:f>IF(W28="Lost","Document root cause and replace ARR",IF(W28="High","Executive save plan + adoption intervention",IF(W28="Medium","CSM action plan before renewal","Monitor / expansion candidate")))</x:f>
        <x:v>Document root cause and replace ARR</x:v>
      </x:c>
      <x:c r="Y28" s="23" t="n">
        <x:f>IF(W28="Lost",0,(100-T28)*0.35+(1-U28)*100*0.30+V28*2+IF(S28-TODAY()&lt;=Inputs!$B$17,20,0)+IF(W28="High",25,IF(W28="Medium",10,0)))</x:f>
        <x:v>0</x:v>
      </x:c>
    </x:row>
    <x:row r="29">
      <x:c r="A29" s="23" t="str">
        <x:v>C028</x:v>
      </x:c>
      <x:c r="B29" s="23" t="str">
        <x:v>Cobalt Packaging</x:v>
      </x:c>
      <x:c r="C29" s="42" t="n">
        <x:v>46113</x:v>
      </x:c>
      <x:c r="D29" s="23" t="str">
        <x:v>Mid-Market</x:v>
      </x:c>
      <x:c r="E29" s="23" t="str">
        <x:v>Manufacturing</x:v>
      </x:c>
      <x:c r="F29" s="23" t="str">
        <x:v>North America</x:v>
      </x:c>
      <x:c r="G29" s="23" t="str">
        <x:v>Jordan Chen</x:v>
      </x:c>
      <x:c r="H29" s="38" t="n">
        <x:v>118000</x:v>
      </x:c>
      <x:c r="I29" s="38" t="n">
        <x:v>117000</x:v>
      </x:c>
      <x:c r="J29" s="38" t="n">
        <x:v>0</x:v>
      </x:c>
      <x:c r="K29" s="38" t="n">
        <x:v>1000</x:v>
      </x:c>
      <x:c r="L29" s="38" t="n">
        <x:v>0</x:v>
      </x:c>
      <x:c r="M29" s="38" t="n">
        <x:f>MAX(H29-L29-K29,0)</x:f>
        <x:v>117000</x:v>
      </x:c>
      <x:c r="N29" s="38" t="n">
        <x:f>M29+J29</x:f>
        <x:v>117000</x:v>
      </x:c>
      <x:c r="O29" s="40" t="n">
        <x:f>IFERROR(M29/H29,0)</x:f>
        <x:v>0.9915254237288136</x:v>
      </x:c>
      <x:c r="P29" s="40" t="n">
        <x:f>IFERROR(N29/H29,0)</x:f>
        <x:v>0.9915254237288136</x:v>
      </x:c>
      <x:c r="Q29" s="23" t="str">
        <x:v>Active</x:v>
      </x:c>
      <x:c r="R29" s="23" t="str">
        <x:v>No Churn</x:v>
      </x:c>
      <x:c r="S29" s="44" t="n">
        <x:v>46293</x:v>
      </x:c>
      <x:c r="T29" s="23" t="n">
        <x:v>77</x:v>
      </x:c>
      <x:c r="U29" s="46" t="n">
        <x:v>0.7</x:v>
      </x:c>
      <x:c r="V29" s="23" t="n">
        <x:v>5</x:v>
      </x:c>
      <x:c r="W29" s="23" t="str">
        <x:f>IF(Q29="Churned","Lost",IF(OR(T29&lt;Inputs!$B$11,U29&lt;Inputs!$B$13,V29&gt;Inputs!$B$15),"High",IF(OR(T29&lt;Inputs!$B$12,U29&lt;Inputs!$B$14,V29&gt;Inputs!$B$16),"Medium","Low")))</x:f>
        <x:v>Low</x:v>
      </x:c>
      <x:c r="X29" s="23" t="str">
        <x:f>IF(W29="Lost","Document root cause and replace ARR",IF(W29="High","Executive save plan + adoption intervention",IF(W29="Medium","CSM action plan before renewal","Monitor / expansion candidate")))</x:f>
        <x:v>Monitor / expansion candidate</x:v>
      </x:c>
      <x:c r="Y29" s="23" t="n">
        <x:f>IF(W29="Lost",0,(100-T29)*0.35+(1-U29)*100*0.30+V29*2+IF(S29-TODAY()&lt;=Inputs!$B$17,20,0)+IF(W29="High",25,IF(W29="Medium",10,0)))</x:f>
        <x:v>27.049999999999997</x:v>
      </x:c>
    </x:row>
    <x:row r="30">
      <x:c r="A30" s="23" t="str">
        <x:v>C029</x:v>
      </x:c>
      <x:c r="B30" s="23" t="str">
        <x:v>Delta Urgent Care</x:v>
      </x:c>
      <x:c r="C30" s="42" t="n">
        <x:v>46143</x:v>
      </x:c>
      <x:c r="D30" s="23" t="str">
        <x:v>Enterprise</x:v>
      </x:c>
      <x:c r="E30" s="23" t="str">
        <x:v>Healthcare</x:v>
      </x:c>
      <x:c r="F30" s="23" t="str">
        <x:v>North America</x:v>
      </x:c>
      <x:c r="G30" s="23" t="str">
        <x:v>Maya Singh</x:v>
      </x:c>
      <x:c r="H30" s="38" t="n">
        <x:v>410000</x:v>
      </x:c>
      <x:c r="I30" s="38" t="n">
        <x:v>439000</x:v>
      </x:c>
      <x:c r="J30" s="38" t="n">
        <x:v>33000</x:v>
      </x:c>
      <x:c r="K30" s="38" t="n">
        <x:v>4000</x:v>
      </x:c>
      <x:c r="L30" s="38" t="n">
        <x:v>0</x:v>
      </x:c>
      <x:c r="M30" s="38" t="n">
        <x:f>MAX(H30-L30-K30,0)</x:f>
        <x:v>406000</x:v>
      </x:c>
      <x:c r="N30" s="38" t="n">
        <x:f>M30+J30</x:f>
        <x:v>439000</x:v>
      </x:c>
      <x:c r="O30" s="40" t="n">
        <x:f>IFERROR(M30/H30,0)</x:f>
        <x:v>0.9902439024390244</x:v>
      </x:c>
      <x:c r="P30" s="40" t="n">
        <x:f>IFERROR(N30/H30,0)</x:f>
        <x:v>1.0707317073170732</x:v>
      </x:c>
      <x:c r="Q30" s="23" t="str">
        <x:v>Active</x:v>
      </x:c>
      <x:c r="R30" s="23" t="str">
        <x:v>No Churn</x:v>
      </x:c>
      <x:c r="S30" s="44" t="n">
        <x:v>46323</x:v>
      </x:c>
      <x:c r="T30" s="23" t="n">
        <x:v>73</x:v>
      </x:c>
      <x:c r="U30" s="46" t="n">
        <x:v>0.61</x:v>
      </x:c>
      <x:c r="V30" s="23" t="n">
        <x:v>9</x:v>
      </x:c>
      <x:c r="W30" s="23" t="str">
        <x:f>IF(Q30="Churned","Lost",IF(OR(T30&lt;Inputs!$B$11,U30&lt;Inputs!$B$13,V30&gt;Inputs!$B$15),"High",IF(OR(T30&lt;Inputs!$B$12,U30&lt;Inputs!$B$14,V30&gt;Inputs!$B$16),"Medium","Low")))</x:f>
        <x:v>Medium</x:v>
      </x:c>
      <x:c r="X30" s="23" t="str">
        <x:f>IF(W30="Lost","Document root cause and replace ARR",IF(W30="High","Executive save plan + adoption intervention",IF(W30="Medium","CSM action plan before renewal","Monitor / expansion candidate")))</x:f>
        <x:v>CSM action plan before renewal</x:v>
      </x:c>
      <x:c r="Y30" s="23" t="n">
        <x:f>IF(W30="Lost",0,(100-T30)*0.35+(1-U30)*100*0.30+V30*2+IF(S30-TODAY()&lt;=Inputs!$B$17,20,0)+IF(W30="High",25,IF(W30="Medium",10,0)))</x:f>
        <x:v>49.15</x:v>
      </x:c>
    </x:row>
    <x:row r="31">
      <x:c r="A31" s="23" t="str">
        <x:v>C030</x:v>
      </x:c>
      <x:c r="B31" s="23" t="str">
        <x:v>Evergreen Fleet</x:v>
      </x:c>
      <x:c r="C31" s="42" t="n">
        <x:v>46174</x:v>
      </x:c>
      <x:c r="D31" s="23" t="str">
        <x:v>Mid-Market</x:v>
      </x:c>
      <x:c r="E31" s="23" t="str">
        <x:v>Logistics</x:v>
      </x:c>
      <x:c r="F31" s="23" t="str">
        <x:v>EMEA</x:v>
      </x:c>
      <x:c r="G31" s="23" t="str">
        <x:v>Nora Patel</x:v>
      </x:c>
      <x:c r="H31" s="38" t="n">
        <x:v>150000</x:v>
      </x:c>
      <x:c r="I31" s="38" t="n">
        <x:v>141000</x:v>
      </x:c>
      <x:c r="J31" s="38" t="n">
        <x:v>0</x:v>
      </x:c>
      <x:c r="K31" s="38" t="n">
        <x:v>9000</x:v>
      </x:c>
      <x:c r="L31" s="38" t="n">
        <x:v>0</x:v>
      </x:c>
      <x:c r="M31" s="38" t="n">
        <x:f>MAX(H31-L31-K31,0)</x:f>
        <x:v>141000</x:v>
      </x:c>
      <x:c r="N31" s="38" t="n">
        <x:f>M31+J31</x:f>
        <x:v>141000</x:v>
      </x:c>
      <x:c r="O31" s="40" t="n">
        <x:f>IFERROR(M31/H31,0)</x:f>
        <x:v>0.94</x:v>
      </x:c>
      <x:c r="P31" s="40" t="n">
        <x:f>IFERROR(N31/H31,0)</x:f>
        <x:v>0.94</x:v>
      </x:c>
      <x:c r="Q31" s="23" t="str">
        <x:v>Active</x:v>
      </x:c>
      <x:c r="R31" s="23" t="str">
        <x:v>No Churn</x:v>
      </x:c>
      <x:c r="S31" s="44" t="n">
        <x:v>46354</x:v>
      </x:c>
      <x:c r="T31" s="23" t="n">
        <x:v>60</x:v>
      </x:c>
      <x:c r="U31" s="46" t="n">
        <x:v>0.48</x:v>
      </x:c>
      <x:c r="V31" s="23" t="n">
        <x:v>8</x:v>
      </x:c>
      <x:c r="W31" s="23" t="str">
        <x:f>IF(Q31="Churned","Lost",IF(OR(T31&lt;Inputs!$B$11,U31&lt;Inputs!$B$13,V31&gt;Inputs!$B$15),"High",IF(OR(T31&lt;Inputs!$B$12,U31&lt;Inputs!$B$14,V31&gt;Inputs!$B$16),"Medium","Low")))</x:f>
        <x:v>Medium</x:v>
      </x:c>
      <x:c r="X31" s="23" t="str">
        <x:f>IF(W31="Lost","Document root cause and replace ARR",IF(W31="High","Executive save plan + adoption intervention",IF(W31="Medium","CSM action plan before renewal","Monitor / expansion candidate")))</x:f>
        <x:v>CSM action plan before renewal</x:v>
      </x:c>
      <x:c r="Y31" s="23" t="n">
        <x:f>IF(W31="Lost",0,(100-T31)*0.35+(1-U31)*100*0.30+V31*2+IF(S31-TODAY()&lt;=Inputs!$B$17,20,0)+IF(W31="High",25,IF(W31="Medium",10,0)))</x:f>
        <x:v>55.6</x:v>
      </x:c>
    </x:row>
    <x:row r="32">
      <x:c r="A32" s="23" t="str">
        <x:v>C031</x:v>
      </x:c>
      <x:c r="B32" s="23" t="str">
        <x:v>Frontier Dental</x:v>
      </x:c>
      <x:c r="C32" s="42" t="n">
        <x:v>46023</x:v>
      </x:c>
      <x:c r="D32" s="23" t="str">
        <x:v>SMB</x:v>
      </x:c>
      <x:c r="E32" s="23" t="str">
        <x:v>Healthcare</x:v>
      </x:c>
      <x:c r="F32" s="23" t="str">
        <x:v>North America</x:v>
      </x:c>
      <x:c r="G32" s="23" t="str">
        <x:v>Leo Park</x:v>
      </x:c>
      <x:c r="H32" s="38" t="n">
        <x:v>51000</x:v>
      </x:c>
      <x:c r="I32" s="38" t="n">
        <x:v>50000</x:v>
      </x:c>
      <x:c r="J32" s="38" t="n">
        <x:v>0</x:v>
      </x:c>
      <x:c r="K32" s="38" t="n">
        <x:v>1000</x:v>
      </x:c>
      <x:c r="L32" s="38" t="n">
        <x:v>0</x:v>
      </x:c>
      <x:c r="M32" s="38" t="n">
        <x:f>MAX(H32-L32-K32,0)</x:f>
        <x:v>50000</x:v>
      </x:c>
      <x:c r="N32" s="38" t="n">
        <x:f>M32+J32</x:f>
        <x:v>50000</x:v>
      </x:c>
      <x:c r="O32" s="40" t="n">
        <x:f>IFERROR(M32/H32,0)</x:f>
        <x:v>0.9803921568627451</x:v>
      </x:c>
      <x:c r="P32" s="40" t="n">
        <x:f>IFERROR(N32/H32,0)</x:f>
        <x:v>0.9803921568627451</x:v>
      </x:c>
      <x:c r="Q32" s="23" t="str">
        <x:v>Active</x:v>
      </x:c>
      <x:c r="R32" s="23" t="str">
        <x:v>No Churn</x:v>
      </x:c>
      <x:c r="S32" s="44" t="n">
        <x:v>46384</x:v>
      </x:c>
      <x:c r="T32" s="23" t="n">
        <x:v>78</x:v>
      </x:c>
      <x:c r="U32" s="46" t="n">
        <x:v>0.72</x:v>
      </x:c>
      <x:c r="V32" s="23" t="n">
        <x:v>2</x:v>
      </x:c>
      <x:c r="W32" s="23" t="str">
        <x:f>IF(Q32="Churned","Lost",IF(OR(T32&lt;Inputs!$B$11,U32&lt;Inputs!$B$13,V32&gt;Inputs!$B$15),"High",IF(OR(T32&lt;Inputs!$B$12,U32&lt;Inputs!$B$14,V32&gt;Inputs!$B$16),"Medium","Low")))</x:f>
        <x:v>Low</x:v>
      </x:c>
      <x:c r="X32" s="23" t="str">
        <x:f>IF(W32="Lost","Document root cause and replace ARR",IF(W32="High","Executive save plan + adoption intervention",IF(W32="Medium","CSM action plan before renewal","Monitor / expansion candidate")))</x:f>
        <x:v>Monitor / expansion candidate</x:v>
      </x:c>
      <x:c r="Y32" s="23" t="n">
        <x:f>IF(W32="Lost",0,(100-T32)*0.35+(1-U32)*100*0.30+V32*2+IF(S32-TODAY()&lt;=Inputs!$B$17,20,0)+IF(W32="High",25,IF(W32="Medium",10,0)))</x:f>
        <x:v>20.1</x:v>
      </x:c>
    </x:row>
    <x:row r="33">
      <x:c r="A33" s="23" t="str">
        <x:v>C032</x:v>
      </x:c>
      <x:c r="B33" s="23" t="str">
        <x:v>Garnet Software</x:v>
      </x:c>
      <x:c r="C33" s="42" t="n">
        <x:v>46054</x:v>
      </x:c>
      <x:c r="D33" s="23" t="str">
        <x:v>Enterprise</x:v>
      </x:c>
      <x:c r="E33" s="23" t="str">
        <x:v>Software</x:v>
      </x:c>
      <x:c r="F33" s="23" t="str">
        <x:v>North America</x:v>
      </x:c>
      <x:c r="G33" s="23" t="str">
        <x:v>Jordan Chen</x:v>
      </x:c>
      <x:c r="H33" s="38" t="n">
        <x:v>390000</x:v>
      </x:c>
      <x:c r="I33" s="38" t="n">
        <x:v>406000</x:v>
      </x:c>
      <x:c r="J33" s="38" t="n">
        <x:v>20000</x:v>
      </x:c>
      <x:c r="K33" s="38" t="n">
        <x:v>4000</x:v>
      </x:c>
      <x:c r="L33" s="38" t="n">
        <x:v>0</x:v>
      </x:c>
      <x:c r="M33" s="38" t="n">
        <x:f>MAX(H33-L33-K33,0)</x:f>
        <x:v>386000</x:v>
      </x:c>
      <x:c r="N33" s="38" t="n">
        <x:f>M33+J33</x:f>
        <x:v>406000</x:v>
      </x:c>
      <x:c r="O33" s="40" t="n">
        <x:f>IFERROR(M33/H33,0)</x:f>
        <x:v>0.9897435897435898</x:v>
      </x:c>
      <x:c r="P33" s="40" t="n">
        <x:f>IFERROR(N33/H33,0)</x:f>
        <x:v>1.041025641025641</x:v>
      </x:c>
      <x:c r="Q33" s="23" t="str">
        <x:v>Active</x:v>
      </x:c>
      <x:c r="R33" s="23" t="str">
        <x:v>No Churn</x:v>
      </x:c>
      <x:c r="S33" s="44" t="n">
        <x:v>46050</x:v>
      </x:c>
      <x:c r="T33" s="23" t="n">
        <x:v>83</x:v>
      </x:c>
      <x:c r="U33" s="46" t="n">
        <x:v>0.79</x:v>
      </x:c>
      <x:c r="V33" s="23" t="n">
        <x:v>3</x:v>
      </x:c>
      <x:c r="W33" s="23" t="str">
        <x:f>IF(Q33="Churned","Lost",IF(OR(T33&lt;Inputs!$B$11,U33&lt;Inputs!$B$13,V33&gt;Inputs!$B$15),"High",IF(OR(T33&lt;Inputs!$B$12,U33&lt;Inputs!$B$14,V33&gt;Inputs!$B$16),"Medium","Low")))</x:f>
        <x:v>Low</x:v>
      </x:c>
      <x:c r="X33" s="23" t="str">
        <x:f>IF(W33="Lost","Document root cause and replace ARR",IF(W33="High","Executive save plan + adoption intervention",IF(W33="Medium","CSM action plan before renewal","Monitor / expansion candidate")))</x:f>
        <x:v>Monitor / expansion candidate</x:v>
      </x:c>
      <x:c r="Y33" s="23" t="n">
        <x:f>IF(W33="Lost",0,(100-T33)*0.35+(1-U33)*100*0.30+V33*2+IF(S33-TODAY()&lt;=Inputs!$B$17,20,0)+IF(W33="High",25,IF(W33="Medium",10,0)))</x:f>
        <x:v>38.25</x:v>
      </x:c>
    </x:row>
    <x:row r="34">
      <x:c r="A34" s="23" t="str">
        <x:v>C033</x:v>
      </x:c>
      <x:c r="B34" s="23" t="str">
        <x:v>Horizon Parts</x:v>
      </x:c>
      <x:c r="C34" s="42" t="n">
        <x:v>46082</x:v>
      </x:c>
      <x:c r="D34" s="23" t="str">
        <x:v>Mid-Market</x:v>
      </x:c>
      <x:c r="E34" s="23" t="str">
        <x:v>Distribution</x:v>
      </x:c>
      <x:c r="F34" s="23" t="str">
        <x:v>North America</x:v>
      </x:c>
      <x:c r="G34" s="23" t="str">
        <x:v>Nora Patel</x:v>
      </x:c>
      <x:c r="H34" s="38" t="n">
        <x:v>142000</x:v>
      </x:c>
      <x:c r="I34" s="38" t="n">
        <x:v>140000</x:v>
      </x:c>
      <x:c r="J34" s="38" t="n">
        <x:v>4000</x:v>
      </x:c>
      <x:c r="K34" s="38" t="n">
        <x:v>6000</x:v>
      </x:c>
      <x:c r="L34" s="38" t="n">
        <x:v>0</x:v>
      </x:c>
      <x:c r="M34" s="38" t="n">
        <x:f>MAX(H34-L34-K34,0)</x:f>
        <x:v>136000</x:v>
      </x:c>
      <x:c r="N34" s="38" t="n">
        <x:f>M34+J34</x:f>
        <x:v>140000</x:v>
      </x:c>
      <x:c r="O34" s="40" t="n">
        <x:f>IFERROR(M34/H34,0)</x:f>
        <x:v>0.9577464788732394</x:v>
      </x:c>
      <x:c r="P34" s="40" t="n">
        <x:f>IFERROR(N34/H34,0)</x:f>
        <x:v>0.9859154929577465</x:v>
      </x:c>
      <x:c r="Q34" s="23" t="str">
        <x:v>Active</x:v>
      </x:c>
      <x:c r="R34" s="23" t="str">
        <x:v>No Churn</x:v>
      </x:c>
      <x:c r="S34" s="44" t="n">
        <x:v>46081</x:v>
      </x:c>
      <x:c r="T34" s="23" t="n">
        <x:v>55</x:v>
      </x:c>
      <x:c r="U34" s="46" t="n">
        <x:v>0.42</x:v>
      </x:c>
      <x:c r="V34" s="23" t="n">
        <x:v>13</x:v>
      </x:c>
      <x:c r="W34" s="23" t="str">
        <x:f>IF(Q34="Churned","Lost",IF(OR(T34&lt;Inputs!$B$11,U34&lt;Inputs!$B$13,V34&gt;Inputs!$B$15),"High",IF(OR(T34&lt;Inputs!$B$12,U34&lt;Inputs!$B$14,V34&gt;Inputs!$B$16),"Medium","Low")))</x:f>
        <x:v>High</x:v>
      </x:c>
      <x:c r="X34" s="23" t="str">
        <x:f>IF(W34="Lost","Document root cause and replace ARR",IF(W34="High","Executive save plan + adoption intervention",IF(W34="Medium","CSM action plan before renewal","Monitor / expansion candidate")))</x:f>
        <x:v>Executive save plan + adoption intervention</x:v>
      </x:c>
      <x:c r="Y34" s="23" t="n">
        <x:f>IF(W34="Lost",0,(100-T34)*0.35+(1-U34)*100*0.30+V34*2+IF(S34-TODAY()&lt;=Inputs!$B$17,20,0)+IF(W34="High",25,IF(W34="Medium",10,0)))</x:f>
        <x:v>104.15</x:v>
      </x:c>
    </x:row>
    <x:row r="35">
      <x:c r="A35" s="23" t="str">
        <x:v>C034</x:v>
      </x:c>
      <x:c r="B35" s="23" t="str">
        <x:v>Ivy Claims</x:v>
      </x:c>
      <x:c r="C35" s="42" t="n">
        <x:v>46113</x:v>
      </x:c>
      <x:c r="D35" s="23" t="str">
        <x:v>SMB</x:v>
      </x:c>
      <x:c r="E35" s="23" t="str">
        <x:v>Insurance</x:v>
      </x:c>
      <x:c r="F35" s="23" t="str">
        <x:v>North America</x:v>
      </x:c>
      <x:c r="G35" s="23" t="str">
        <x:v>Leo Park</x:v>
      </x:c>
      <x:c r="H35" s="38" t="n">
        <x:v>45000</x:v>
      </x:c>
      <x:c r="I35" s="38" t="n">
        <x:v>45000</x:v>
      </x:c>
      <x:c r="J35" s="38" t="n">
        <x:v>1000</x:v>
      </x:c>
      <x:c r="K35" s="38" t="n">
        <x:v>1000</x:v>
      </x:c>
      <x:c r="L35" s="38" t="n">
        <x:v>0</x:v>
      </x:c>
      <x:c r="M35" s="38" t="n">
        <x:f>MAX(H35-L35-K35,0)</x:f>
        <x:v>44000</x:v>
      </x:c>
      <x:c r="N35" s="38" t="n">
        <x:f>M35+J35</x:f>
        <x:v>45000</x:v>
      </x:c>
      <x:c r="O35" s="40" t="n">
        <x:f>IFERROR(M35/H35,0)</x:f>
        <x:v>0.9777777777777777</x:v>
      </x:c>
      <x:c r="P35" s="40" t="n">
        <x:f>IFERROR(N35/H35,0)</x:f>
        <x:v>1</x:v>
      </x:c>
      <x:c r="Q35" s="23" t="str">
        <x:v>Active</x:v>
      </x:c>
      <x:c r="R35" s="23" t="str">
        <x:v>No Churn</x:v>
      </x:c>
      <x:c r="S35" s="44" t="n">
        <x:v>46109</x:v>
      </x:c>
      <x:c r="T35" s="23" t="n">
        <x:v>67</x:v>
      </x:c>
      <x:c r="U35" s="46" t="n">
        <x:v>0.54</x:v>
      </x:c>
      <x:c r="V35" s="23" t="n">
        <x:v>6</x:v>
      </x:c>
      <x:c r="W35" s="23" t="str">
        <x:f>IF(Q35="Churned","Lost",IF(OR(T35&lt;Inputs!$B$11,U35&lt;Inputs!$B$13,V35&gt;Inputs!$B$15),"High",IF(OR(T35&lt;Inputs!$B$12,U35&lt;Inputs!$B$14,V35&gt;Inputs!$B$16),"Medium","Low")))</x:f>
        <x:v>Medium</x:v>
      </x:c>
      <x:c r="X35" s="23" t="str">
        <x:f>IF(W35="Lost","Document root cause and replace ARR",IF(W35="High","Executive save plan + adoption intervention",IF(W35="Medium","CSM action plan before renewal","Monitor / expansion candidate")))</x:f>
        <x:v>CSM action plan before renewal</x:v>
      </x:c>
      <x:c r="Y35" s="23" t="n">
        <x:f>IF(W35="Lost",0,(100-T35)*0.35+(1-U35)*100*0.30+V35*2+IF(S35-TODAY()&lt;=Inputs!$B$17,20,0)+IF(W35="High",25,IF(W35="Medium",10,0)))</x:f>
        <x:v>67.35</x:v>
      </x:c>
    </x:row>
    <x:row r="36">
      <x:c r="A36" s="23" t="str">
        <x:v>C035</x:v>
      </x:c>
      <x:c r="B36" s="23" t="str">
        <x:v>Jasper Foods</x:v>
      </x:c>
      <x:c r="C36" s="42" t="n">
        <x:v>46143</x:v>
      </x:c>
      <x:c r="D36" s="23" t="str">
        <x:v>Enterprise</x:v>
      </x:c>
      <x:c r="E36" s="23" t="str">
        <x:v>Distribution</x:v>
      </x:c>
      <x:c r="F36" s="23" t="str">
        <x:v>APAC</x:v>
      </x:c>
      <x:c r="G36" s="23" t="str">
        <x:v>Nora Patel</x:v>
      </x:c>
      <x:c r="H36" s="38" t="n">
        <x:v>270000</x:v>
      </x:c>
      <x:c r="I36" s="38" t="n">
        <x:v>0</x:v>
      </x:c>
      <x:c r="J36" s="38" t="n">
        <x:v>0</x:v>
      </x:c>
      <x:c r="K36" s="38" t="n">
        <x:v>0</x:v>
      </x:c>
      <x:c r="L36" s="38" t="n">
        <x:v>270000</x:v>
      </x:c>
      <x:c r="M36" s="38" t="n">
        <x:f>MAX(H36-L36-K36,0)</x:f>
        <x:v>0</x:v>
      </x:c>
      <x:c r="N36" s="38" t="n">
        <x:f>M36+J36</x:f>
        <x:v>0</x:v>
      </x:c>
      <x:c r="O36" s="40" t="n">
        <x:f>IFERROR(M36/H36,0)</x:f>
        <x:v>0</x:v>
      </x:c>
      <x:c r="P36" s="40" t="n">
        <x:f>IFERROR(N36/H36,0)</x:f>
        <x:v>0</x:v>
      </x:c>
      <x:c r="Q36" s="23" t="str">
        <x:v>Churned</x:v>
      </x:c>
      <x:c r="R36" s="23" t="str">
        <x:v>M&amp;A consolidation</x:v>
      </x:c>
      <x:c r="S36" s="44" t="n">
        <x:v>46140</x:v>
      </x:c>
      <x:c r="T36" s="23" t="n">
        <x:v>40</x:v>
      </x:c>
      <x:c r="U36" s="46" t="n">
        <x:v>0.31</x:v>
      </x:c>
      <x:c r="V36" s="23" t="n">
        <x:v>8</x:v>
      </x:c>
      <x:c r="W36" s="23" t="str">
        <x:f>IF(Q36="Churned","Lost",IF(OR(T36&lt;Inputs!$B$11,U36&lt;Inputs!$B$13,V36&gt;Inputs!$B$15),"High",IF(OR(T36&lt;Inputs!$B$12,U36&lt;Inputs!$B$14,V36&gt;Inputs!$B$16),"Medium","Low")))</x:f>
        <x:v>Lost</x:v>
      </x:c>
      <x:c r="X36" s="23" t="str">
        <x:f>IF(W36="Lost","Document root cause and replace ARR",IF(W36="High","Executive save plan + adoption intervention",IF(W36="Medium","CSM action plan before renewal","Monitor / expansion candidate")))</x:f>
        <x:v>Document root cause and replace ARR</x:v>
      </x:c>
      <x:c r="Y36" s="23" t="n">
        <x:f>IF(W36="Lost",0,(100-T36)*0.35+(1-U36)*100*0.30+V36*2+IF(S36-TODAY()&lt;=Inputs!$B$17,20,0)+IF(W36="High",25,IF(W36="Medium",10,0)))</x:f>
        <x:v>0</x:v>
      </x:c>
    </x:row>
    <x:row r="37">
      <x:c r="A37" s="23" t="str">
        <x:v>C036</x:v>
      </x:c>
      <x:c r="B37" s="23" t="str">
        <x:v>Kingsley Components</x:v>
      </x:c>
      <x:c r="C37" s="42" t="n">
        <x:v>46174</x:v>
      </x:c>
      <x:c r="D37" s="23" t="str">
        <x:v>Mid-Market</x:v>
      </x:c>
      <x:c r="E37" s="23" t="str">
        <x:v>Manufacturing</x:v>
      </x:c>
      <x:c r="F37" s="23" t="str">
        <x:v>North America</x:v>
      </x:c>
      <x:c r="G37" s="23" t="str">
        <x:v>Jordan Chen</x:v>
      </x:c>
      <x:c r="H37" s="38" t="n">
        <x:v>160000</x:v>
      </x:c>
      <x:c r="I37" s="38" t="n">
        <x:v>160000</x:v>
      </x:c>
      <x:c r="J37" s="38" t="n">
        <x:v>0</x:v>
      </x:c>
      <x:c r="K37" s="38" t="n">
        <x:v>0</x:v>
      </x:c>
      <x:c r="L37" s="38" t="n">
        <x:v>0</x:v>
      </x:c>
      <x:c r="M37" s="38" t="n">
        <x:f>MAX(H37-L37-K37,0)</x:f>
        <x:v>160000</x:v>
      </x:c>
      <x:c r="N37" s="38" t="n">
        <x:f>M37+J37</x:f>
        <x:v>160000</x:v>
      </x:c>
      <x:c r="O37" s="40" t="n">
        <x:f>IFERROR(M37/H37,0)</x:f>
        <x:v>1</x:v>
      </x:c>
      <x:c r="P37" s="40" t="n">
        <x:f>IFERROR(N37/H37,0)</x:f>
        <x:v>1</x:v>
      </x:c>
      <x:c r="Q37" s="23" t="str">
        <x:v>Active</x:v>
      </x:c>
      <x:c r="R37" s="23" t="str">
        <x:v>No Churn</x:v>
      </x:c>
      <x:c r="S37" s="44" t="n">
        <x:v>46170</x:v>
      </x:c>
      <x:c r="T37" s="23" t="n">
        <x:v>74</x:v>
      </x:c>
      <x:c r="U37" s="46" t="n">
        <x:v>0.68</x:v>
      </x:c>
      <x:c r="V37" s="23" t="n">
        <x:v>4</x:v>
      </x:c>
      <x:c r="W37" s="23" t="str">
        <x:f>IF(Q37="Churned","Lost",IF(OR(T37&lt;Inputs!$B$11,U37&lt;Inputs!$B$13,V37&gt;Inputs!$B$15),"High",IF(OR(T37&lt;Inputs!$B$12,U37&lt;Inputs!$B$14,V37&gt;Inputs!$B$16),"Medium","Low")))</x:f>
        <x:v>Low</x:v>
      </x:c>
      <x:c r="X37" s="23" t="str">
        <x:f>IF(W37="Lost","Document root cause and replace ARR",IF(W37="High","Executive save plan + adoption intervention",IF(W37="Medium","CSM action plan before renewal","Monitor / expansion candidate")))</x:f>
        <x:v>Monitor / expansion candidate</x:v>
      </x:c>
      <x:c r="Y37" s="23" t="n">
        <x:f>IF(W37="Lost",0,(100-T37)*0.35+(1-U37)*100*0.30+V37*2+IF(S37-TODAY()&lt;=Inputs!$B$17,20,0)+IF(W37="High",25,IF(W37="Medium",10,0)))</x:f>
        <x:v>46.699999999999996</x:v>
      </x:c>
    </x:row>
  </x:sheetData>
  <x:conditionalFormatting sqref="W2:W37">
    <x:cfRule type="expression" dxfId="0" priority="1">
      <x:formula>$W2="High"</x:formula>
    </x:cfRule>
    <x:cfRule type="expression" dxfId="1" priority="2">
      <x:formula>$W2="Medium"</x:formula>
    </x:cfRule>
    <x:cfRule type="expression" dxfId="2" priority="3">
      <x:formula>$W2="Low"</x:formula>
    </x:cfRule>
  </x:conditionalFormatting>
  <x:dataValidations count="2">
    <x:dataValidation type="list" sqref="D2:D37">
      <x:formula1>"Enterprise,Mid-Market,SMB"</x:formula1>
    </x:dataValidation>
    <x:dataValidation type="list" sqref="Q2:Q37">
      <x:formula1>"Active,Churned"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5e54f60d9441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84" t="str">
        <x:v>Cohort Retention Analysis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2" customHeight="1">
      <x:c r="A2" s="9" t="str">
        <x:v>ARR, logo, GRR, and NRR by customer cohort.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8" customHeight="1">
      <x:c r="A4" s="16" t="str">
        <x:v>Cohort</x:v>
      </x:c>
      <x:c r="B4" s="16" t="str">
        <x:v>Customer Count</x:v>
      </x:c>
      <x:c r="C4" s="16" t="str">
        <x:v>Beginning ARR</x:v>
      </x:c>
      <x:c r="D4" s="16" t="str">
        <x:v>Ending ARR</x:v>
      </x:c>
      <x:c r="E4" s="16" t="str">
        <x:v>Expansion</x:v>
      </x:c>
      <x:c r="F4" s="16" t="str">
        <x:v>Contraction</x:v>
      </x:c>
      <x:c r="G4" s="16" t="str">
        <x:v>Churned ARR</x:v>
      </x:c>
      <x:c r="H4" s="16" t="str">
        <x:v>Gross Retained ARR</x:v>
      </x:c>
      <x:c r="I4" s="16" t="str">
        <x:v>Net Retained ARR</x:v>
      </x:c>
      <x:c r="J4" s="16" t="str">
        <x:v>Logo Retention %</x:v>
      </x:c>
      <x:c r="K4" s="16" t="str">
        <x:v>GRR %</x:v>
      </x:c>
      <x:c r="L4" s="16" t="str">
        <x:v>NRR %</x:v>
      </x:c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42" t="n">
        <x:v>46023</x:v>
      </x:c>
      <x:c r="B5" s="23" t="n">
        <x:f>COUNTIFS(Customer_MRR_Data!$C:$C,A5)</x:f>
        <x:v>6</x:v>
      </x:c>
      <x:c r="C5" s="38" t="n">
        <x:f>SUMIFS(Customer_MRR_Data!$H:$H,Customer_MRR_Data!$C:$C,A5)</x:f>
        <x:v>1173000</x:v>
      </x:c>
      <x:c r="D5" s="38" t="n">
        <x:f>SUMIFS(Customer_MRR_Data!$I:$I,Customer_MRR_Data!$C:$C,A5)</x:f>
        <x:v>1244000</x:v>
      </x:c>
      <x:c r="E5" s="38" t="n">
        <x:f>SUMIFS(Customer_MRR_Data!$J:$J,Customer_MRR_Data!$C:$C,A5)</x:f>
        <x:v>72000</x:v>
      </x:c>
      <x:c r="F5" s="38" t="n">
        <x:f>SUMIFS(Customer_MRR_Data!$K:$K,Customer_MRR_Data!$C:$C,A5)</x:f>
        <x:v>1000</x:v>
      </x:c>
      <x:c r="G5" s="38" t="n">
        <x:f>SUMIFS(Customer_MRR_Data!$L:$L,Customer_MRR_Data!$C:$C,A5)</x:f>
        <x:v>0</x:v>
      </x:c>
      <x:c r="H5" s="38" t="n">
        <x:f>SUMIFS(Customer_MRR_Data!$M:$M,Customer_MRR_Data!$C:$C,A5)</x:f>
        <x:v>1172000</x:v>
      </x:c>
      <x:c r="I5" s="38" t="n">
        <x:f>SUMIFS(Customer_MRR_Data!$N:$N,Customer_MRR_Data!$C:$C,A5)</x:f>
        <x:v>1244000</x:v>
      </x:c>
      <x:c r="J5" s="40" t="n">
        <x:f>IFERROR(COUNTIFS(Customer_MRR_Data!$C:$C,A5,Customer_MRR_Data!$Q:$Q,"Active")/B5,0)</x:f>
        <x:v>1</x:v>
      </x:c>
      <x:c r="K5" s="40" t="n">
        <x:f>IFERROR(H5/C5,0)</x:f>
        <x:v>0.9991474850809889</x:v>
      </x:c>
      <x:c r="L5" s="40" t="n">
        <x:f>IFERROR(I5/C5,0)</x:f>
        <x:v>1.0605285592497868</x:v>
      </x:c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42" t="n">
        <x:v>46054</x:v>
      </x:c>
      <x:c r="B6" s="23" t="n">
        <x:f>COUNTIFS(Customer_MRR_Data!$C:$C,A6)</x:f>
        <x:v>6</x:v>
      </x:c>
      <x:c r="C6" s="38" t="n">
        <x:f>SUMIFS(Customer_MRR_Data!$H:$H,Customer_MRR_Data!$C:$C,A6)</x:f>
        <x:v>1019000</x:v>
      </x:c>
      <x:c r="D6" s="38" t="n">
        <x:f>SUMIFS(Customer_MRR_Data!$I:$I,Customer_MRR_Data!$C:$C,A6)</x:f>
        <x:v>691000</x:v>
      </x:c>
      <x:c r="E6" s="38" t="n">
        <x:f>SUMIFS(Customer_MRR_Data!$J:$J,Customer_MRR_Data!$C:$C,A6)</x:f>
        <x:v>29000</x:v>
      </x:c>
      <x:c r="F6" s="38" t="n">
        <x:f>SUMIFS(Customer_MRR_Data!$K:$K,Customer_MRR_Data!$C:$C,A6)</x:f>
        <x:v>15000</x:v>
      </x:c>
      <x:c r="G6" s="38" t="n">
        <x:f>SUMIFS(Customer_MRR_Data!$L:$L,Customer_MRR_Data!$C:$C,A6)</x:f>
        <x:v>342000</x:v>
      </x:c>
      <x:c r="H6" s="38" t="n">
        <x:f>SUMIFS(Customer_MRR_Data!$M:$M,Customer_MRR_Data!$C:$C,A6)</x:f>
        <x:v>662000</x:v>
      </x:c>
      <x:c r="I6" s="38" t="n">
        <x:f>SUMIFS(Customer_MRR_Data!$N:$N,Customer_MRR_Data!$C:$C,A6)</x:f>
        <x:v>691000</x:v>
      </x:c>
      <x:c r="J6" s="40" t="n">
        <x:f>IFERROR(COUNTIFS(Customer_MRR_Data!$C:$C,A6,Customer_MRR_Data!$Q:$Q,"Active")/B6,0)</x:f>
        <x:v>0.5</x:v>
      </x:c>
      <x:c r="K6" s="40" t="n">
        <x:f>IFERROR(H6/C6,0)</x:f>
        <x:v>0.6496565260058881</x:v>
      </x:c>
      <x:c r="L6" s="40" t="n">
        <x:f>IFERROR(I6/C6,0)</x:f>
        <x:v>0.6781157998037292</x:v>
      </x:c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42" t="n">
        <x:v>46082</x:v>
      </x:c>
      <x:c r="B7" s="23" t="n">
        <x:f>COUNTIFS(Customer_MRR_Data!$C:$C,A7)</x:f>
        <x:v>6</x:v>
      </x:c>
      <x:c r="C7" s="38" t="n">
        <x:f>SUMIFS(Customer_MRR_Data!$H:$H,Customer_MRR_Data!$C:$C,A7)</x:f>
        <x:v>1040000</x:v>
      </x:c>
      <x:c r="D7" s="38" t="n">
        <x:f>SUMIFS(Customer_MRR_Data!$I:$I,Customer_MRR_Data!$C:$C,A7)</x:f>
        <x:v>1042000</x:v>
      </x:c>
      <x:c r="E7" s="38" t="n">
        <x:f>SUMIFS(Customer_MRR_Data!$J:$J,Customer_MRR_Data!$C:$C,A7)</x:f>
        <x:v>62000</x:v>
      </x:c>
      <x:c r="F7" s="38" t="n">
        <x:f>SUMIFS(Customer_MRR_Data!$K:$K,Customer_MRR_Data!$C:$C,A7)</x:f>
        <x:v>13000</x:v>
      </x:c>
      <x:c r="G7" s="38" t="n">
        <x:f>SUMIFS(Customer_MRR_Data!$L:$L,Customer_MRR_Data!$C:$C,A7)</x:f>
        <x:v>47000</x:v>
      </x:c>
      <x:c r="H7" s="38" t="n">
        <x:f>SUMIFS(Customer_MRR_Data!$M:$M,Customer_MRR_Data!$C:$C,A7)</x:f>
        <x:v>980000</x:v>
      </x:c>
      <x:c r="I7" s="38" t="n">
        <x:f>SUMIFS(Customer_MRR_Data!$N:$N,Customer_MRR_Data!$C:$C,A7)</x:f>
        <x:v>1042000</x:v>
      </x:c>
      <x:c r="J7" s="40" t="n">
        <x:f>IFERROR(COUNTIFS(Customer_MRR_Data!$C:$C,A7,Customer_MRR_Data!$Q:$Q,"Active")/B7,0)</x:f>
        <x:v>0.8333333333333334</x:v>
      </x:c>
      <x:c r="K7" s="40" t="n">
        <x:f>IFERROR(H7/C7,0)</x:f>
        <x:v>0.9423076923076923</x:v>
      </x:c>
      <x:c r="L7" s="40" t="n">
        <x:f>IFERROR(I7/C7,0)</x:f>
        <x:v>1.001923076923077</x:v>
      </x:c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42" t="n">
        <x:v>46113</x:v>
      </x:c>
      <x:c r="B8" s="23" t="n">
        <x:f>COUNTIFS(Customer_MRR_Data!$C:$C,A8)</x:f>
        <x:v>6</x:v>
      </x:c>
      <x:c r="C8" s="38" t="n">
        <x:f>SUMIFS(Customer_MRR_Data!$H:$H,Customer_MRR_Data!$C:$C,A8)</x:f>
        <x:v>1061000</x:v>
      </x:c>
      <x:c r="D8" s="38" t="n">
        <x:f>SUMIFS(Customer_MRR_Data!$I:$I,Customer_MRR_Data!$C:$C,A8)</x:f>
        <x:v>1003000</x:v>
      </x:c>
      <x:c r="E8" s="38" t="n">
        <x:f>SUMIFS(Customer_MRR_Data!$J:$J,Customer_MRR_Data!$C:$C,A8)</x:f>
        <x:v>12000</x:v>
      </x:c>
      <x:c r="F8" s="38" t="n">
        <x:f>SUMIFS(Customer_MRR_Data!$K:$K,Customer_MRR_Data!$C:$C,A8)</x:f>
        <x:v>22000</x:v>
      </x:c>
      <x:c r="G8" s="38" t="n">
        <x:f>SUMIFS(Customer_MRR_Data!$L:$L,Customer_MRR_Data!$C:$C,A8)</x:f>
        <x:v>48000</x:v>
      </x:c>
      <x:c r="H8" s="38" t="n">
        <x:f>SUMIFS(Customer_MRR_Data!$M:$M,Customer_MRR_Data!$C:$C,A8)</x:f>
        <x:v>991000</x:v>
      </x:c>
      <x:c r="I8" s="38" t="n">
        <x:f>SUMIFS(Customer_MRR_Data!$N:$N,Customer_MRR_Data!$C:$C,A8)</x:f>
        <x:v>1003000</x:v>
      </x:c>
      <x:c r="J8" s="40" t="n">
        <x:f>IFERROR(COUNTIFS(Customer_MRR_Data!$C:$C,A8,Customer_MRR_Data!$Q:$Q,"Active")/B8,0)</x:f>
        <x:v>0.8333333333333334</x:v>
      </x:c>
      <x:c r="K8" s="40" t="n">
        <x:f>IFERROR(H8/C8,0)</x:f>
        <x:v>0.9340245051837889</x:v>
      </x:c>
      <x:c r="L8" s="40" t="n">
        <x:f>IFERROR(I8/C8,0)</x:f>
        <x:v>0.9453345900094251</x:v>
      </x:c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42" t="n">
        <x:v>46143</x:v>
      </x:c>
      <x:c r="B9" s="23" t="n">
        <x:f>COUNTIFS(Customer_MRR_Data!$C:$C,A9)</x:f>
        <x:v>6</x:v>
      </x:c>
      <x:c r="C9" s="38" t="n">
        <x:f>SUMIFS(Customer_MRR_Data!$H:$H,Customer_MRR_Data!$C:$C,A9)</x:f>
        <x:v>1343000</x:v>
      </x:c>
      <x:c r="D9" s="38" t="n">
        <x:f>SUMIFS(Customer_MRR_Data!$I:$I,Customer_MRR_Data!$C:$C,A9)</x:f>
        <x:v>1098000</x:v>
      </x:c>
      <x:c r="E9" s="38" t="n">
        <x:f>SUMIFS(Customer_MRR_Data!$J:$J,Customer_MRR_Data!$C:$C,A9)</x:f>
        <x:v>40000</x:v>
      </x:c>
      <x:c r="F9" s="38" t="n">
        <x:f>SUMIFS(Customer_MRR_Data!$K:$K,Customer_MRR_Data!$C:$C,A9)</x:f>
        <x:v>15000</x:v>
      </x:c>
      <x:c r="G9" s="38" t="n">
        <x:f>SUMIFS(Customer_MRR_Data!$L:$L,Customer_MRR_Data!$C:$C,A9)</x:f>
        <x:v>270000</x:v>
      </x:c>
      <x:c r="H9" s="38" t="n">
        <x:f>SUMIFS(Customer_MRR_Data!$M:$M,Customer_MRR_Data!$C:$C,A9)</x:f>
        <x:v>1058000</x:v>
      </x:c>
      <x:c r="I9" s="38" t="n">
        <x:f>SUMIFS(Customer_MRR_Data!$N:$N,Customer_MRR_Data!$C:$C,A9)</x:f>
        <x:v>1098000</x:v>
      </x:c>
      <x:c r="J9" s="40" t="n">
        <x:f>IFERROR(COUNTIFS(Customer_MRR_Data!$C:$C,A9,Customer_MRR_Data!$Q:$Q,"Active")/B9,0)</x:f>
        <x:v>0.8333333333333334</x:v>
      </x:c>
      <x:c r="K9" s="40" t="n">
        <x:f>IFERROR(H9/C9,0)</x:f>
        <x:v>0.7877885331347729</x:v>
      </x:c>
      <x:c r="L9" s="40" t="n">
        <x:f>IFERROR(I9/C9,0)</x:f>
        <x:v>0.8175725986597171</x:v>
      </x:c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42" t="n">
        <x:v>46174</x:v>
      </x:c>
      <x:c r="B10" s="23" t="n">
        <x:f>COUNTIFS(Customer_MRR_Data!$C:$C,A10)</x:f>
        <x:v>6</x:v>
      </x:c>
      <x:c r="C10" s="38" t="n">
        <x:f>SUMIFS(Customer_MRR_Data!$H:$H,Customer_MRR_Data!$C:$C,A10)</x:f>
        <x:v>759000</x:v>
      </x:c>
      <x:c r="D10" s="38" t="n">
        <x:f>SUMIFS(Customer_MRR_Data!$I:$I,Customer_MRR_Data!$C:$C,A10)</x:f>
        <x:v>748000</x:v>
      </x:c>
      <x:c r="E10" s="38" t="n">
        <x:f>SUMIFS(Customer_MRR_Data!$J:$J,Customer_MRR_Data!$C:$C,A10)</x:f>
        <x:v>1000</x:v>
      </x:c>
      <x:c r="F10" s="38" t="n">
        <x:f>SUMIFS(Customer_MRR_Data!$K:$K,Customer_MRR_Data!$C:$C,A10)</x:f>
        <x:v>12000</x:v>
      </x:c>
      <x:c r="G10" s="38" t="n">
        <x:f>SUMIFS(Customer_MRR_Data!$L:$L,Customer_MRR_Data!$C:$C,A10)</x:f>
        <x:v>0</x:v>
      </x:c>
      <x:c r="H10" s="38" t="n">
        <x:f>SUMIFS(Customer_MRR_Data!$M:$M,Customer_MRR_Data!$C:$C,A10)</x:f>
        <x:v>747000</x:v>
      </x:c>
      <x:c r="I10" s="38" t="n">
        <x:f>SUMIFS(Customer_MRR_Data!$N:$N,Customer_MRR_Data!$C:$C,A10)</x:f>
        <x:v>748000</x:v>
      </x:c>
      <x:c r="J10" s="40" t="n">
        <x:f>IFERROR(COUNTIFS(Customer_MRR_Data!$C:$C,A10,Customer_MRR_Data!$Q:$Q,"Active")/B10,0)</x:f>
        <x:v>1</x:v>
      </x:c>
      <x:c r="K10" s="40" t="n">
        <x:f>IFERROR(H10/C10,0)</x:f>
        <x:v>0.9841897233201581</x:v>
      </x:c>
      <x:c r="L10" s="40" t="n">
        <x:f>IFERROR(I10/C10,0)</x:f>
        <x:v>0.9855072463768116</x:v>
      </x:c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51" t="str">
        <x:v>Total</x:v>
      </x:c>
      <x:c r="B11" s="51" t="n">
        <x:f>SUM(B5:B10)</x:f>
        <x:v>36</x:v>
      </x:c>
      <x:c r="C11" s="52" t="n">
        <x:f>SUM(C5:C10)</x:f>
        <x:v>6395000</x:v>
      </x:c>
      <x:c r="D11" s="52" t="n">
        <x:f>SUM(D5:D10)</x:f>
        <x:v>5826000</x:v>
      </x:c>
      <x:c r="E11" s="52" t="n">
        <x:f>SUM(E5:E10)</x:f>
        <x:v>216000</x:v>
      </x:c>
      <x:c r="F11" s="52" t="n">
        <x:f>SUM(F5:F10)</x:f>
        <x:v>78000</x:v>
      </x:c>
      <x:c r="G11" s="52" t="n">
        <x:f>SUM(G5:G10)</x:f>
        <x:v>707000</x:v>
      </x:c>
      <x:c r="H11" s="52" t="n">
        <x:f>SUM(H5:H10)</x:f>
        <x:v>5610000</x:v>
      </x:c>
      <x:c r="I11" s="52" t="n">
        <x:f>SUM(I5:I10)</x:f>
        <x:v>5826000</x:v>
      </x:c>
      <x:c r="J11" s="53" t="n">
        <x:f>COUNTIFS(Customer_MRR_Data!$Q:$Q,"Active")/COUNTA(Customer_MRR_Data!$A$2:$A$37)</x:f>
        <x:v>0.8333333333333334</x:v>
      </x:c>
      <x:c r="K11" s="53" t="n">
        <x:f>H11/C11</x:f>
        <x:v>0.8772478498827209</x:v>
      </x:c>
      <x:c r="L11" s="53" t="n">
        <x:f>I11/C11</x:f>
        <x:v>0.911024237685692</x:v>
      </x:c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d106f0a64fb452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4" customHeight="1">
      <x:c r="A1" s="84" t="str">
        <x:v>NRR Bridge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2" customHeight="1">
      <x:c r="A2" s="9" t="str">
        <x:v>Beginning ARR to ending ARR via expansion, contraction, and churn.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8" customHeight="1">
      <x:c r="A4" s="16" t="str">
        <x:v>Bridge Item</x:v>
      </x:c>
      <x:c r="B4" s="16" t="str">
        <x:v>Amount ($)</x:v>
      </x:c>
      <x:c r="C4" s="16" t="str">
        <x:v>% of Beginning ARR</x:v>
      </x:c>
      <x:c r="D4" s="86"/>
      <x:c r="E4" s="86"/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23" t="str">
        <x:v>Beginning ARR</x:v>
      </x:c>
      <x:c r="B5" s="38" t="n">
        <x:f>SUM(Customer_MRR_Data!$H:$H)</x:f>
        <x:v>6395000</x:v>
      </x:c>
      <x:c r="C5" s="40" t="n">
        <x:f>B5/$B$5</x:f>
        <x:v>1</x:v>
      </x:c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23" t="str">
        <x:v>Expansion</x:v>
      </x:c>
      <x:c r="B6" s="38" t="n">
        <x:f>SUM(Customer_MRR_Data!$J:$J)</x:f>
        <x:v>216000</x:v>
      </x:c>
      <x:c r="C6" s="40" t="n">
        <x:f>B6/$B$5</x:f>
        <x:v>0.03377638780297107</x:v>
      </x:c>
      <x:c r="D6" s="86"/>
      <x:c r="E6" s="86"/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23" t="str">
        <x:v>Contraction</x:v>
      </x:c>
      <x:c r="B7" s="38" t="n">
        <x:f>-SUM(Customer_MRR_Data!$K:$K)</x:f>
        <x:v>-78000</x:v>
      </x:c>
      <x:c r="C7" s="40" t="n">
        <x:f>B7/$B$5</x:f>
        <x:v>-0.012197028928850665</x:v>
      </x:c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23" t="str">
        <x:v>Churned ARR</x:v>
      </x:c>
      <x:c r="B8" s="38" t="n">
        <x:f>-SUM(Customer_MRR_Data!$L:$L)</x:f>
        <x:v>-707000</x:v>
      </x:c>
      <x:c r="C8" s="40" t="n">
        <x:f>B8/$B$5</x:f>
        <x:v>-0.11055512118842846</x:v>
      </x:c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51" t="str">
        <x:v>Ending ARR</x:v>
      </x:c>
      <x:c r="B9" s="52" t="n">
        <x:f>SUM(Customer_MRR_Data!$I:$I)</x:f>
        <x:v>5826000</x:v>
      </x:c>
      <x:c r="C9" s="53" t="n">
        <x:f>B9/$B$5</x:f>
        <x:v>0.911024237685692</x:v>
      </x:c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23" t="str">
        <x:v>Net Revenue Retention</x:v>
      </x:c>
      <x:c r="B10" s="40" t="n">
        <x:f>B9/B5</x:f>
        <x:v>0.911024237685692</x:v>
      </x:c>
      <x:c r="C10" s="23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23" t="str">
        <x:v>Gross Revenue Retention</x:v>
      </x:c>
      <x:c r="B11" s="40" t="n">
        <x:f>SUM(Customer_MRR_Data!$M:$M)/B5</x:f>
        <x:v>0.8772478498827209</x:v>
      </x:c>
      <x:c r="C11" s="23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0d4397a2a614615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84" t="str">
        <x:v>Churn &amp; Contraction Analysis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2" customHeight="1">
      <x:c r="A2" s="9" t="str">
        <x:v>Root causes and segment-level retention performance.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0" customHeight="1">
      <x:c r="A4" s="62" t="str">
        <x:v>Churn Reason Summary</x:v>
      </x:c>
      <x:c r="B4" s="62"/>
      <x:c r="C4" s="62"/>
      <x:c r="D4" s="62"/>
      <x:c r="E4" s="62"/>
      <x:c r="F4" s="62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 ht="28" customHeight="1">
      <x:c r="A5" s="16" t="str">
        <x:v>Churn Reason</x:v>
      </x:c>
      <x:c r="B5" s="16" t="str">
        <x:v>Customers</x:v>
      </x:c>
      <x:c r="C5" s="16" t="str">
        <x:v>Churned ARR</x:v>
      </x:c>
      <x:c r="D5" s="16" t="str">
        <x:v>% of Churned ARR</x:v>
      </x:c>
      <x:c r="E5" s="16" t="str">
        <x:v>Recommended Management Action</x:v>
      </x:c>
      <x:c r="F5" s="16" t="str">
        <x:v>Priority</x:v>
      </x:c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23" t="str">
        <x:v>Poor onboarding</x:v>
      </x:c>
      <x:c r="B6" s="23" t="n">
        <x:f>COUNTIFS(Customer_MRR_Data!$R:$R,A6)</x:f>
        <x:v>1</x:v>
      </x:c>
      <x:c r="C6" s="38" t="n">
        <x:f>SUMIFS(Customer_MRR_Data!$L:$L,Customer_MRR_Data!$R:$R,A6)</x:f>
        <x:v>48000</x:v>
      </x:c>
      <x:c r="D6" s="40" t="n">
        <x:f>IFERROR(C6/SUM(Customer_MRR_Data!$L:$L),0)</x:f>
        <x:v>0.06789250353606789</x:v>
      </x:c>
      <x:c r="E6" s="23" t="str">
        <x:v>Redesign onboarding journey</x:v>
      </x:c>
      <x:c r="F6" s="23" t="str">
        <x:f>IF(D6&gt;=25%,"High",IF(D6&gt;=10%,"Medium","Low"))</x:f>
        <x:v>Low</x:v>
      </x:c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23" t="str">
        <x:v>Price / value mismatch</x:v>
      </x:c>
      <x:c r="B7" s="23" t="n">
        <x:f>COUNTIFS(Customer_MRR_Data!$R:$R,A7)</x:f>
        <x:v>1</x:v>
      </x:c>
      <x:c r="C7" s="38" t="n">
        <x:f>SUMIFS(Customer_MRR_Data!$L:$L,Customer_MRR_Data!$R:$R,A7)</x:f>
        <x:v>175000</x:v>
      </x:c>
      <x:c r="D7" s="40" t="n">
        <x:f>IFERROR(C7/SUM(Customer_MRR_Data!$L:$L),0)</x:f>
        <x:v>0.24752475247524752</x:v>
      </x:c>
      <x:c r="E7" s="23" t="str">
        <x:v>Reassess packaging / value proof</x:v>
      </x:c>
      <x:c r="F7" s="23" t="str">
        <x:f>IF(D7&gt;=25%,"High",IF(D7&gt;=10%,"Medium","Low"))</x:f>
        <x:v>Medium</x:v>
      </x:c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23" t="str">
        <x:v>Budget cut</x:v>
      </x:c>
      <x:c r="B8" s="23" t="n">
        <x:f>COUNTIFS(Customer_MRR_Data!$R:$R,A8)</x:f>
        <x:v>1</x:v>
      </x:c>
      <x:c r="C8" s="38" t="n">
        <x:f>SUMIFS(Customer_MRR_Data!$L:$L,Customer_MRR_Data!$R:$R,A8)</x:f>
        <x:v>42000</x:v>
      </x:c>
      <x:c r="D8" s="40" t="n">
        <x:f>IFERROR(C8/SUM(Customer_MRR_Data!$L:$L),0)</x:f>
        <x:v>0.0594059405940594</x:v>
      </x:c>
      <x:c r="E8" s="23" t="str">
        <x:v>Segment budget-risk customers</x:v>
      </x:c>
      <x:c r="F8" s="23" t="str">
        <x:f>IF(D8&gt;=25%,"High",IF(D8&gt;=10%,"Medium","Low"))</x:f>
        <x:v>Low</x:v>
      </x:c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23" t="str">
        <x:v>Service issue</x:v>
      </x:c>
      <x:c r="B9" s="23" t="n">
        <x:f>COUNTIFS(Customer_MRR_Data!$R:$R,A9)</x:f>
        <x:v>1</x:v>
      </x:c>
      <x:c r="C9" s="38" t="n">
        <x:f>SUMIFS(Customer_MRR_Data!$L:$L,Customer_MRR_Data!$R:$R,A9)</x:f>
        <x:v>125000</x:v>
      </x:c>
      <x:c r="D9" s="40" t="n">
        <x:f>IFERROR(C9/SUM(Customer_MRR_Data!$L:$L),0)</x:f>
        <x:v>0.1768033946251768</x:v>
      </x:c>
      <x:c r="E9" s="23" t="str">
        <x:v>Escalate service recovery</x:v>
      </x:c>
      <x:c r="F9" s="23" t="str">
        <x:f>IF(D9&gt;=25%,"High",IF(D9&gt;=10%,"Medium","Low"))</x:f>
        <x:v>Medium</x:v>
      </x:c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23" t="str">
        <x:v>Competitor loss</x:v>
      </x:c>
      <x:c r="B10" s="23" t="n">
        <x:f>COUNTIFS(Customer_MRR_Data!$R:$R,A10)</x:f>
        <x:v>1</x:v>
      </x:c>
      <x:c r="C10" s="38" t="n">
        <x:f>SUMIFS(Customer_MRR_Data!$L:$L,Customer_MRR_Data!$R:$R,A10)</x:f>
        <x:v>47000</x:v>
      </x:c>
      <x:c r="D10" s="40" t="n">
        <x:f>IFERROR(C10/SUM(Customer_MRR_Data!$L:$L),0)</x:f>
        <x:v>0.06647807637906648</x:v>
      </x:c>
      <x:c r="E10" s="23" t="str">
        <x:v>Competitive win-back review</x:v>
      </x:c>
      <x:c r="F10" s="23" t="str">
        <x:f>IF(D10&gt;=25%,"High",IF(D10&gt;=10%,"Medium","Low"))</x:f>
        <x:v>Low</x:v>
      </x:c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23" t="str">
        <x:v>M&amp;A consolidation</x:v>
      </x:c>
      <x:c r="B11" s="23" t="n">
        <x:f>COUNTIFS(Customer_MRR_Data!$R:$R,A11)</x:f>
        <x:v>1</x:v>
      </x:c>
      <x:c r="C11" s="38" t="n">
        <x:f>SUMIFS(Customer_MRR_Data!$L:$L,Customer_MRR_Data!$R:$R,A11)</x:f>
        <x:v>270000</x:v>
      </x:c>
      <x:c r="D11" s="40" t="n">
        <x:f>IFERROR(C11/SUM(Customer_MRR_Data!$L:$L),0)</x:f>
        <x:v>0.38189533239038187</x:v>
      </x:c>
      <x:c r="E11" s="23" t="str">
        <x:v>Track consolidation-driven losses</x:v>
      </x:c>
      <x:c r="F11" s="23" t="str">
        <x:f>IF(D11&gt;=25%,"High",IF(D11&gt;=10%,"Medium","Low"))</x:f>
        <x:v>High</x:v>
      </x:c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 ht="20" customHeight="1">
      <x:c r="A14" s="62" t="str">
        <x:v>Segment Retention Summary</x:v>
      </x:c>
      <x:c r="B14" s="62"/>
      <x:c r="C14" s="62"/>
      <x:c r="D14" s="62"/>
      <x:c r="E14" s="62"/>
      <x:c r="F14" s="62"/>
      <x:c r="G14" s="62"/>
      <x:c r="H14" s="62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 ht="28" customHeight="1">
      <x:c r="A15" s="16" t="str">
        <x:v>Segment</x:v>
      </x:c>
      <x:c r="B15" s="16" t="str">
        <x:v>Beginning ARR</x:v>
      </x:c>
      <x:c r="C15" s="16" t="str">
        <x:v>Ending ARR</x:v>
      </x:c>
      <x:c r="D15" s="16" t="str">
        <x:v>Expansion</x:v>
      </x:c>
      <x:c r="E15" s="16" t="str">
        <x:v>Contraction</x:v>
      </x:c>
      <x:c r="F15" s="16" t="str">
        <x:v>Churned ARR</x:v>
      </x:c>
      <x:c r="G15" s="16" t="str">
        <x:v>GRR %</x:v>
      </x:c>
      <x:c r="H15" s="16" t="str">
        <x:v>NRR %</x:v>
      </x:c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23" t="str">
        <x:v>Enterprise</x:v>
      </x:c>
      <x:c r="B16" s="38" t="n">
        <x:f>SUMIFS(Customer_MRR_Data!$H:$H,Customer_MRR_Data!$D:$D,A16)</x:f>
        <x:v>4030000</x:v>
      </x:c>
      <x:c r="C16" s="38" t="n">
        <x:f>SUMIFS(Customer_MRR_Data!$I:$I,Customer_MRR_Data!$D:$D,A16)</x:f>
        <x:v>3892000</x:v>
      </x:c>
      <x:c r="D16" s="38" t="n">
        <x:f>SUMIFS(Customer_MRR_Data!$J:$J,Customer_MRR_Data!$D:$D,A16)</x:f>
        <x:v>174000</x:v>
      </x:c>
      <x:c r="E16" s="38" t="n">
        <x:f>SUMIFS(Customer_MRR_Data!$K:$K,Customer_MRR_Data!$D:$D,A16)</x:f>
        <x:v>42000</x:v>
      </x:c>
      <x:c r="F16" s="38" t="n">
        <x:f>SUMIFS(Customer_MRR_Data!$L:$L,Customer_MRR_Data!$D:$D,A16)</x:f>
        <x:v>270000</x:v>
      </x:c>
      <x:c r="G16" s="40" t="n">
        <x:f>IFERROR((B16-E16-F16)/B16,0)</x:f>
        <x:v>0.9225806451612903</x:v>
      </x:c>
      <x:c r="H16" s="40" t="n">
        <x:f>IFERROR((B16-E16-F16+D16)/B16,0)</x:f>
        <x:v>0.96575682382134</x:v>
      </x:c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23" t="str">
        <x:v>Mid-Market</x:v>
      </x:c>
      <x:c r="B17" s="38" t="n">
        <x:f>SUMIFS(Customer_MRR_Data!$H:$H,Customer_MRR_Data!$D:$D,A17)</x:f>
        <x:v>1840000</x:v>
      </x:c>
      <x:c r="C17" s="38" t="n">
        <x:f>SUMIFS(Customer_MRR_Data!$I:$I,Customer_MRR_Data!$D:$D,A17)</x:f>
        <x:v>1544000</x:v>
      </x:c>
      <x:c r="D17" s="38" t="n">
        <x:f>SUMIFS(Customer_MRR_Data!$J:$J,Customer_MRR_Data!$D:$D,A17)</x:f>
        <x:v>37000</x:v>
      </x:c>
      <x:c r="E17" s="38" t="n">
        <x:f>SUMIFS(Customer_MRR_Data!$K:$K,Customer_MRR_Data!$D:$D,A17)</x:f>
        <x:v>33000</x:v>
      </x:c>
      <x:c r="F17" s="38" t="n">
        <x:f>SUMIFS(Customer_MRR_Data!$L:$L,Customer_MRR_Data!$D:$D,A17)</x:f>
        <x:v>300000</x:v>
      </x:c>
      <x:c r="G17" s="40" t="n">
        <x:f>IFERROR((B17-E17-F17)/B17,0)</x:f>
        <x:v>0.8190217391304347</x:v>
      </x:c>
      <x:c r="H17" s="40" t="n">
        <x:f>IFERROR((B17-E17-F17+D17)/B17,0)</x:f>
        <x:v>0.8391304347826087</x:v>
      </x:c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23" t="str">
        <x:v>SMB</x:v>
      </x:c>
      <x:c r="B18" s="38" t="n">
        <x:f>SUMIFS(Customer_MRR_Data!$H:$H,Customer_MRR_Data!$D:$D,A18)</x:f>
        <x:v>525000</x:v>
      </x:c>
      <x:c r="C18" s="38" t="n">
        <x:f>SUMIFS(Customer_MRR_Data!$I:$I,Customer_MRR_Data!$D:$D,A18)</x:f>
        <x:v>390000</x:v>
      </x:c>
      <x:c r="D18" s="38" t="n">
        <x:f>SUMIFS(Customer_MRR_Data!$J:$J,Customer_MRR_Data!$D:$D,A18)</x:f>
        <x:v>5000</x:v>
      </x:c>
      <x:c r="E18" s="38" t="n">
        <x:f>SUMIFS(Customer_MRR_Data!$K:$K,Customer_MRR_Data!$D:$D,A18)</x:f>
        <x:v>3000</x:v>
      </x:c>
      <x:c r="F18" s="38" t="n">
        <x:f>SUMIFS(Customer_MRR_Data!$L:$L,Customer_MRR_Data!$D:$D,A18)</x:f>
        <x:v>137000</x:v>
      </x:c>
      <x:c r="G18" s="40" t="n">
        <x:f>IFERROR((B18-E18-F18)/B18,0)</x:f>
        <x:v>0.7333333333333333</x:v>
      </x:c>
      <x:c r="H18" s="40" t="n">
        <x:f>IFERROR((B18-E18-F18+D18)/B18,0)</x:f>
        <x:v>0.7428571428571429</x:v>
      </x:c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M1"/>
    <x:mergeCell ref="A2:M2"/>
    <x:mergeCell ref="A4:F4"/>
    <x:mergeCell ref="A14:H14"/>
  </x:mergeCells>
  <x:pageMargins left="0.7" right="0.7" top="0.75" bottom="0.75" header="0.3" footer="0.3"/>
  <x:drawing xmlns:r="http://schemas.openxmlformats.org/officeDocument/2006/relationships" r:id="R1c70cf4dc6094499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34" customHeight="1">
      <x:c r="A1" s="84" t="str">
        <x:v>Renewal Risk Register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2" customHeight="1">
      <x:c r="A2" s="9" t="str">
        <x:v>Top at-risk accounts by health, usage, support load, and renewal timing.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8" customHeight="1">
      <x:c r="A4" s="16" t="str">
        <x:v>Rank</x:v>
      </x:c>
      <x:c r="B4" s="16" t="str">
        <x:v>Customer</x:v>
      </x:c>
      <x:c r="C4" s="16" t="str">
        <x:v>Segment</x:v>
      </x:c>
      <x:c r="D4" s="16" t="str">
        <x:v>CSM</x:v>
      </x:c>
      <x:c r="E4" s="16" t="str">
        <x:v>Renewal Date</x:v>
      </x:c>
      <x:c r="F4" s="16" t="str">
        <x:v>Health Score</x:v>
      </x:c>
      <x:c r="G4" s="16" t="str">
        <x:v>Usage %</x:v>
      </x:c>
      <x:c r="H4" s="16" t="str">
        <x:v>ARR at Risk</x:v>
      </x:c>
      <x:c r="I4" s="16" t="str">
        <x:v>Risk</x:v>
      </x:c>
      <x:c r="J4" s="16" t="str">
        <x:v>Recommended Action</x:v>
      </x:c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23" t="n">
        <x:v>1</x:v>
      </x:c>
      <x:c r="B5" s="23" t="str">
        <x:f>INDEX(Customer_MRR_Data!$B:$B,MATCH(LARGE(Customer_MRR_Data!$Y:$Y,A5),Customer_MRR_Data!$Y:$Y,0))</x:f>
        <x:v>Apex Claims</x:v>
      </x:c>
      <x:c r="C5" s="23" t="str">
        <x:f>INDEX(Customer_MRR_Data!$D:$D,MATCH($B5,Customer_MRR_Data!$B:$B,0))</x:f>
        <x:v>Mid-Market</x:v>
      </x:c>
      <x:c r="D5" s="23" t="str">
        <x:f>INDEX(Customer_MRR_Data!$G:$G,MATCH($B5,Customer_MRR_Data!$B:$B,0))</x:f>
        <x:v>Maya Singh</x:v>
      </x:c>
      <x:c r="E5" s="44" t="n">
        <x:f>INDEX(Customer_MRR_Data!$S:$S,MATCH($B5,Customer_MRR_Data!$B:$B,0))</x:f>
        <x:v>46231</x:v>
      </x:c>
      <x:c r="F5" s="23" t="n">
        <x:f>INDEX(Customer_MRR_Data!$T:$T,MATCH($B5,Customer_MRR_Data!$B:$B,0))</x:f>
        <x:v>52</x:v>
      </x:c>
      <x:c r="G5" s="46" t="n">
        <x:f>INDEX(Customer_MRR_Data!$U:$U,MATCH($B5,Customer_MRR_Data!$B:$B,0))</x:f>
        <x:v>0.41</x:v>
      </x:c>
      <x:c r="H5" s="38" t="n">
        <x:f>INDEX(Customer_MRR_Data!$H:$H,MATCH($B5,Customer_MRR_Data!$B:$B,0))</x:f>
        <x:v>132000</x:v>
      </x:c>
      <x:c r="I5" s="23" t="str">
        <x:f>INDEX(Customer_MRR_Data!$W:$W,MATCH($B5,Customer_MRR_Data!$B:$B,0))</x:f>
        <x:v>High</x:v>
      </x:c>
      <x:c r="J5" s="23" t="str">
        <x:f>INDEX(Customer_MRR_Data!$X:$X,MATCH($B5,Customer_MRR_Data!$B:$B,0))</x:f>
        <x:v>Executive save plan + adoption intervention</x:v>
      </x:c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23" t="n">
        <x:v>2</x:v>
      </x:c>
      <x:c r="B6" s="23" t="str">
        <x:f>INDEX(Customer_MRR_Data!$B:$B,MATCH(LARGE(Customer_MRR_Data!$Y:$Y,A6),Customer_MRR_Data!$Y:$Y,0))</x:f>
        <x:v>Horizon Parts</x:v>
      </x:c>
      <x:c r="C6" s="23" t="str">
        <x:f>INDEX(Customer_MRR_Data!$D:$D,MATCH($B6,Customer_MRR_Data!$B:$B,0))</x:f>
        <x:v>Mid-Market</x:v>
      </x:c>
      <x:c r="D6" s="23" t="str">
        <x:f>INDEX(Customer_MRR_Data!$G:$G,MATCH($B6,Customer_MRR_Data!$B:$B,0))</x:f>
        <x:v>Nora Patel</x:v>
      </x:c>
      <x:c r="E6" s="44" t="n">
        <x:f>INDEX(Customer_MRR_Data!$S:$S,MATCH($B6,Customer_MRR_Data!$B:$B,0))</x:f>
        <x:v>46081</x:v>
      </x:c>
      <x:c r="F6" s="23" t="n">
        <x:f>INDEX(Customer_MRR_Data!$T:$T,MATCH($B6,Customer_MRR_Data!$B:$B,0))</x:f>
        <x:v>55</x:v>
      </x:c>
      <x:c r="G6" s="46" t="n">
        <x:f>INDEX(Customer_MRR_Data!$U:$U,MATCH($B6,Customer_MRR_Data!$B:$B,0))</x:f>
        <x:v>0.42</x:v>
      </x:c>
      <x:c r="H6" s="38" t="n">
        <x:f>INDEX(Customer_MRR_Data!$H:$H,MATCH($B6,Customer_MRR_Data!$B:$B,0))</x:f>
        <x:v>142000</x:v>
      </x:c>
      <x:c r="I6" s="23" t="str">
        <x:f>INDEX(Customer_MRR_Data!$W:$W,MATCH($B6,Customer_MRR_Data!$B:$B,0))</x:f>
        <x:v>High</x:v>
      </x:c>
      <x:c r="J6" s="23" t="str">
        <x:f>INDEX(Customer_MRR_Data!$X:$X,MATCH($B6,Customer_MRR_Data!$B:$B,0))</x:f>
        <x:v>Executive save plan + adoption intervention</x:v>
      </x:c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23" t="n">
        <x:v>3</x:v>
      </x:c>
      <x:c r="B7" s="23" t="str">
        <x:f>INDEX(Customer_MRR_Data!$B:$B,MATCH(LARGE(Customer_MRR_Data!$Y:$Y,A7),Customer_MRR_Data!$Y:$Y,0))</x:f>
        <x:v>Pioneer Freight</x:v>
      </x:c>
      <x:c r="C7" s="23" t="str">
        <x:f>INDEX(Customer_MRR_Data!$D:$D,MATCH($B7,Customer_MRR_Data!$B:$B,0))</x:f>
        <x:v>Enterprise</x:v>
      </x:c>
      <x:c r="D7" s="23" t="str">
        <x:f>INDEX(Customer_MRR_Data!$G:$G,MATCH($B7,Customer_MRR_Data!$B:$B,0))</x:f>
        <x:v>Nora Patel</x:v>
      </x:c>
      <x:c r="E7" s="44" t="n">
        <x:f>INDEX(Customer_MRR_Data!$S:$S,MATCH($B7,Customer_MRR_Data!$B:$B,0))</x:f>
        <x:v>46285</x:v>
      </x:c>
      <x:c r="F7" s="23" t="n">
        <x:f>INDEX(Customer_MRR_Data!$T:$T,MATCH($B7,Customer_MRR_Data!$B:$B,0))</x:f>
        <x:v>54</x:v>
      </x:c>
      <x:c r="G7" s="46" t="n">
        <x:f>INDEX(Customer_MRR_Data!$U:$U,MATCH($B7,Customer_MRR_Data!$B:$B,0))</x:f>
        <x:v>0.39</x:v>
      </x:c>
      <x:c r="H7" s="38" t="n">
        <x:f>INDEX(Customer_MRR_Data!$H:$H,MATCH($B7,Customer_MRR_Data!$B:$B,0))</x:f>
        <x:v>340000</x:v>
      </x:c>
      <x:c r="I7" s="23" t="str">
        <x:f>INDEX(Customer_MRR_Data!$W:$W,MATCH($B7,Customer_MRR_Data!$B:$B,0))</x:f>
        <x:v>High</x:v>
      </x:c>
      <x:c r="J7" s="23" t="str">
        <x:f>INDEX(Customer_MRR_Data!$X:$X,MATCH($B7,Customer_MRR_Data!$B:$B,0))</x:f>
        <x:v>Executive save plan + adoption intervention</x:v>
      </x:c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23" t="n">
        <x:v>4</x:v>
      </x:c>
      <x:c r="B8" s="23" t="str">
        <x:f>INDEX(Customer_MRR_Data!$B:$B,MATCH(LARGE(Customer_MRR_Data!$Y:$Y,A8),Customer_MRR_Data!$Y:$Y,0))</x:f>
        <x:v>Cedar Logistics</x:v>
      </x:c>
      <x:c r="C8" s="23" t="str">
        <x:f>INDEX(Customer_MRR_Data!$D:$D,MATCH($B8,Customer_MRR_Data!$B:$B,0))</x:f>
        <x:v>Enterprise</x:v>
      </x:c>
      <x:c r="D8" s="23" t="str">
        <x:f>INDEX(Customer_MRR_Data!$G:$G,MATCH($B8,Customer_MRR_Data!$B:$B,0))</x:f>
        <x:v>Jordan Chen</x:v>
      </x:c>
      <x:c r="E8" s="44" t="n">
        <x:f>INDEX(Customer_MRR_Data!$S:$S,MATCH($B8,Customer_MRR_Data!$B:$B,0))</x:f>
        <x:v>46241</x:v>
      </x:c>
      <x:c r="F8" s="23" t="n">
        <x:f>INDEX(Customer_MRR_Data!$T:$T,MATCH($B8,Customer_MRR_Data!$B:$B,0))</x:f>
        <x:v>61</x:v>
      </x:c>
      <x:c r="G8" s="46" t="n">
        <x:f>INDEX(Customer_MRR_Data!$U:$U,MATCH($B8,Customer_MRR_Data!$B:$B,0))</x:f>
        <x:v>0.49</x:v>
      </x:c>
      <x:c r="H8" s="38" t="n">
        <x:f>INDEX(Customer_MRR_Data!$H:$H,MATCH($B8,Customer_MRR_Data!$B:$B,0))</x:f>
        <x:v>310000</x:v>
      </x:c>
      <x:c r="I8" s="23" t="str">
        <x:f>INDEX(Customer_MRR_Data!$W:$W,MATCH($B8,Customer_MRR_Data!$B:$B,0))</x:f>
        <x:v>High</x:v>
      </x:c>
      <x:c r="J8" s="23" t="str">
        <x:f>INDEX(Customer_MRR_Data!$X:$X,MATCH($B8,Customer_MRR_Data!$B:$B,0))</x:f>
        <x:v>Executive save plan + adoption intervention</x:v>
      </x:c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23" t="n">
        <x:v>5</x:v>
      </x:c>
      <x:c r="B9" s="23" t="str">
        <x:f>INDEX(Customer_MRR_Data!$B:$B,MATCH(LARGE(Customer_MRR_Data!$Y:$Y,A9),Customer_MRR_Data!$Y:$Y,0))</x:f>
        <x:v>Union Billing</x:v>
      </x:c>
      <x:c r="C9" s="23" t="str">
        <x:f>INDEX(Customer_MRR_Data!$D:$D,MATCH($B9,Customer_MRR_Data!$B:$B,0))</x:f>
        <x:v>SMB</x:v>
      </x:c>
      <x:c r="D9" s="23" t="str">
        <x:f>INDEX(Customer_MRR_Data!$G:$G,MATCH($B9,Customer_MRR_Data!$B:$B,0))</x:f>
        <x:v>Leo Park</x:v>
      </x:c>
      <x:c r="E9" s="44" t="n">
        <x:f>INDEX(Customer_MRR_Data!$S:$S,MATCH($B9,Customer_MRR_Data!$B:$B,0))</x:f>
        <x:v>46078</x:v>
      </x:c>
      <x:c r="F9" s="23" t="n">
        <x:f>INDEX(Customer_MRR_Data!$T:$T,MATCH($B9,Customer_MRR_Data!$B:$B,0))</x:f>
        <x:v>59</x:v>
      </x:c>
      <x:c r="G9" s="46" t="n">
        <x:f>INDEX(Customer_MRR_Data!$U:$U,MATCH($B9,Customer_MRR_Data!$B:$B,0))</x:f>
        <x:v>0.46</x:v>
      </x:c>
      <x:c r="H9" s="38" t="n">
        <x:f>INDEX(Customer_MRR_Data!$H:$H,MATCH($B9,Customer_MRR_Data!$B:$B,0))</x:f>
        <x:v>66000</x:v>
      </x:c>
      <x:c r="I9" s="23" t="str">
        <x:f>INDEX(Customer_MRR_Data!$W:$W,MATCH($B9,Customer_MRR_Data!$B:$B,0))</x:f>
        <x:v>Medium</x:v>
      </x:c>
      <x:c r="J9" s="23" t="str">
        <x:f>INDEX(Customer_MRR_Data!$X:$X,MATCH($B9,Customer_MRR_Data!$B:$B,0))</x:f>
        <x:v>CSM action plan before renewal</x:v>
      </x:c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23" t="n">
        <x:v>6</x:v>
      </x:c>
      <x:c r="B10" s="23" t="str">
        <x:f>INDEX(Customer_MRR_Data!$B:$B,MATCH(LARGE(Customer_MRR_Data!$Y:$Y,A10),Customer_MRR_Data!$Y:$Y,0))</x:f>
        <x:v>BlueRiver Health</x:v>
      </x:c>
      <x:c r="C10" s="23" t="str">
        <x:f>INDEX(Customer_MRR_Data!$D:$D,MATCH($B10,Customer_MRR_Data!$B:$B,0))</x:f>
        <x:v>Mid-Market</x:v>
      </x:c>
      <x:c r="D10" s="23" t="str">
        <x:f>INDEX(Customer_MRR_Data!$G:$G,MATCH($B10,Customer_MRR_Data!$B:$B,0))</x:f>
        <x:v>Maya Singh</x:v>
      </x:c>
      <x:c r="E10" s="44" t="n">
        <x:f>INDEX(Customer_MRR_Data!$S:$S,MATCH($B10,Customer_MRR_Data!$B:$B,0))</x:f>
        <x:v>46209</x:v>
      </x:c>
      <x:c r="F10" s="23" t="n">
        <x:f>INDEX(Customer_MRR_Data!$T:$T,MATCH($B10,Customer_MRR_Data!$B:$B,0))</x:f>
        <x:v>68</x:v>
      </x:c>
      <x:c r="G10" s="46" t="n">
        <x:f>INDEX(Customer_MRR_Data!$U:$U,MATCH($B10,Customer_MRR_Data!$B:$B,0))</x:f>
        <x:v>0.58</x:v>
      </x:c>
      <x:c r="H10" s="38" t="n">
        <x:f>INDEX(Customer_MRR_Data!$H:$H,MATCH($B10,Customer_MRR_Data!$B:$B,0))</x:f>
        <x:v>155000</x:v>
      </x:c>
      <x:c r="I10" s="23" t="str">
        <x:f>INDEX(Customer_MRR_Data!$W:$W,MATCH($B10,Customer_MRR_Data!$B:$B,0))</x:f>
        <x:v>Medium</x:v>
      </x:c>
      <x:c r="J10" s="23" t="str">
        <x:f>INDEX(Customer_MRR_Data!$X:$X,MATCH($B10,Customer_MRR_Data!$B:$B,0))</x:f>
        <x:v>CSM action plan before renewal</x:v>
      </x:c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23" t="n">
        <x:v>7</x:v>
      </x:c>
      <x:c r="B11" s="23" t="str">
        <x:f>INDEX(Customer_MRR_Data!$B:$B,MATCH(LARGE(Customer_MRR_Data!$Y:$Y,A11),Customer_MRR_Data!$Y:$Y,0))</x:f>
        <x:v>Keystone Plastics</x:v>
      </x:c>
      <x:c r="C11" s="23" t="str">
        <x:f>INDEX(Customer_MRR_Data!$D:$D,MATCH($B11,Customer_MRR_Data!$B:$B,0))</x:f>
        <x:v>Enterprise</x:v>
      </x:c>
      <x:c r="D11" s="23" t="str">
        <x:f>INDEX(Customer_MRR_Data!$G:$G,MATCH($B11,Customer_MRR_Data!$B:$B,0))</x:f>
        <x:v>Jordan Chen</x:v>
      </x:c>
      <x:c r="E11" s="44" t="n">
        <x:f>INDEX(Customer_MRR_Data!$S:$S,MATCH($B11,Customer_MRR_Data!$B:$B,0))</x:f>
        <x:v>46127</x:v>
      </x:c>
      <x:c r="F11" s="23" t="n">
        <x:f>INDEX(Customer_MRR_Data!$T:$T,MATCH($B11,Customer_MRR_Data!$B:$B,0))</x:f>
        <x:v>66</x:v>
      </x:c>
      <x:c r="G11" s="46" t="n">
        <x:f>INDEX(Customer_MRR_Data!$U:$U,MATCH($B11,Customer_MRR_Data!$B:$B,0))</x:f>
        <x:v>0.56</x:v>
      </x:c>
      <x:c r="H11" s="38" t="n">
        <x:f>INDEX(Customer_MRR_Data!$H:$H,MATCH($B11,Customer_MRR_Data!$B:$B,0))</x:f>
        <x:v>260000</x:v>
      </x:c>
      <x:c r="I11" s="23" t="str">
        <x:f>INDEX(Customer_MRR_Data!$W:$W,MATCH($B11,Customer_MRR_Data!$B:$B,0))</x:f>
        <x:v>Medium</x:v>
      </x:c>
      <x:c r="J11" s="23" t="str">
        <x:f>INDEX(Customer_MRR_Data!$X:$X,MATCH($B11,Customer_MRR_Data!$B:$B,0))</x:f>
        <x:v>CSM action plan before renewal</x:v>
      </x:c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23" t="n">
        <x:v>8</x:v>
      </x:c>
      <x:c r="B12" s="23" t="str">
        <x:f>INDEX(Customer_MRR_Data!$B:$B,MATCH(LARGE(Customer_MRR_Data!$Y:$Y,A12),Customer_MRR_Data!$Y:$Y,0))</x:f>
        <x:v>Yardline Medical</x:v>
      </x:c>
      <x:c r="C12" s="23" t="str">
        <x:f>INDEX(Customer_MRR_Data!$D:$D,MATCH($B12,Customer_MRR_Data!$B:$B,0))</x:f>
        <x:v>SMB</x:v>
      </x:c>
      <x:c r="D12" s="23" t="str">
        <x:f>INDEX(Customer_MRR_Data!$G:$G,MATCH($B12,Customer_MRR_Data!$B:$B,0))</x:f>
        <x:v>Leo Park</x:v>
      </x:c>
      <x:c r="E12" s="44" t="n">
        <x:f>INDEX(Customer_MRR_Data!$S:$S,MATCH($B12,Customer_MRR_Data!$B:$B,0))</x:f>
        <x:v>46170</x:v>
      </x:c>
      <x:c r="F12" s="23" t="n">
        <x:f>INDEX(Customer_MRR_Data!$T:$T,MATCH($B12,Customer_MRR_Data!$B:$B,0))</x:f>
        <x:v>64</x:v>
      </x:c>
      <x:c r="G12" s="46" t="n">
        <x:f>INDEX(Customer_MRR_Data!$U:$U,MATCH($B12,Customer_MRR_Data!$B:$B,0))</x:f>
        <x:v>0.55</x:v>
      </x:c>
      <x:c r="H12" s="38" t="n">
        <x:f>INDEX(Customer_MRR_Data!$H:$H,MATCH($B12,Customer_MRR_Data!$B:$B,0))</x:f>
        <x:v>52000</x:v>
      </x:c>
      <x:c r="I12" s="23" t="str">
        <x:f>INDEX(Customer_MRR_Data!$W:$W,MATCH($B12,Customer_MRR_Data!$B:$B,0))</x:f>
        <x:v>Medium</x:v>
      </x:c>
      <x:c r="J12" s="23" t="str">
        <x:f>INDEX(Customer_MRR_Data!$X:$X,MATCH($B12,Customer_MRR_Data!$B:$B,0))</x:f>
        <x:v>CSM action plan before renewal</x:v>
      </x:c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23" t="n">
        <x:v>9</x:v>
      </x:c>
      <x:c r="B13" s="23" t="str">
        <x:f>INDEX(Customer_MRR_Data!$B:$B,MATCH(LARGE(Customer_MRR_Data!$Y:$Y,A13),Customer_MRR_Data!$Y:$Y,0))</x:f>
        <x:v>Ivy Claims</x:v>
      </x:c>
      <x:c r="C13" s="23" t="str">
        <x:f>INDEX(Customer_MRR_Data!$D:$D,MATCH($B13,Customer_MRR_Data!$B:$B,0))</x:f>
        <x:v>SMB</x:v>
      </x:c>
      <x:c r="D13" s="23" t="str">
        <x:f>INDEX(Customer_MRR_Data!$G:$G,MATCH($B13,Customer_MRR_Data!$B:$B,0))</x:f>
        <x:v>Leo Park</x:v>
      </x:c>
      <x:c r="E13" s="44" t="n">
        <x:f>INDEX(Customer_MRR_Data!$S:$S,MATCH($B13,Customer_MRR_Data!$B:$B,0))</x:f>
        <x:v>46109</x:v>
      </x:c>
      <x:c r="F13" s="23" t="n">
        <x:f>INDEX(Customer_MRR_Data!$T:$T,MATCH($B13,Customer_MRR_Data!$B:$B,0))</x:f>
        <x:v>67</x:v>
      </x:c>
      <x:c r="G13" s="46" t="n">
        <x:f>INDEX(Customer_MRR_Data!$U:$U,MATCH($B13,Customer_MRR_Data!$B:$B,0))</x:f>
        <x:v>0.54</x:v>
      </x:c>
      <x:c r="H13" s="38" t="n">
        <x:f>INDEX(Customer_MRR_Data!$H:$H,MATCH($B13,Customer_MRR_Data!$B:$B,0))</x:f>
        <x:v>45000</x:v>
      </x:c>
      <x:c r="I13" s="23" t="str">
        <x:f>INDEX(Customer_MRR_Data!$W:$W,MATCH($B13,Customer_MRR_Data!$B:$B,0))</x:f>
        <x:v>Medium</x:v>
      </x:c>
      <x:c r="J13" s="23" t="str">
        <x:f>INDEX(Customer_MRR_Data!$X:$X,MATCH($B13,Customer_MRR_Data!$B:$B,0))</x:f>
        <x:v>CSM action plan before renewal</x:v>
      </x:c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23" t="n">
        <x:v>10</x:v>
      </x:c>
      <x:c r="B14" s="23" t="str">
        <x:f>INDEX(Customer_MRR_Data!$B:$B,MATCH(LARGE(Customer_MRR_Data!$Y:$Y,A14),Customer_MRR_Data!$Y:$Y,0))</x:f>
        <x:v>Lakeview Supply</x:v>
      </x:c>
      <x:c r="C14" s="23" t="str">
        <x:f>INDEX(Customer_MRR_Data!$D:$D,MATCH($B14,Customer_MRR_Data!$B:$B,0))</x:f>
        <x:v>SMB</x:v>
      </x:c>
      <x:c r="D14" s="23" t="str">
        <x:f>INDEX(Customer_MRR_Data!$G:$G,MATCH($B14,Customer_MRR_Data!$B:$B,0))</x:f>
        <x:v>Leo Park</x:v>
      </x:c>
      <x:c r="E14" s="44" t="n">
        <x:f>INDEX(Customer_MRR_Data!$S:$S,MATCH($B14,Customer_MRR_Data!$B:$B,0))</x:f>
        <x:v>46158</x:v>
      </x:c>
      <x:c r="F14" s="23" t="n">
        <x:f>INDEX(Customer_MRR_Data!$T:$T,MATCH($B14,Customer_MRR_Data!$B:$B,0))</x:f>
        <x:v>69</x:v>
      </x:c>
      <x:c r="G14" s="46" t="n">
        <x:f>INDEX(Customer_MRR_Data!$U:$U,MATCH($B14,Customer_MRR_Data!$B:$B,0))</x:f>
        <x:v>0.57</x:v>
      </x:c>
      <x:c r="H14" s="38" t="n">
        <x:f>INDEX(Customer_MRR_Data!$H:$H,MATCH($B14,Customer_MRR_Data!$B:$B,0))</x:f>
        <x:v>54000</x:v>
      </x:c>
      <x:c r="I14" s="23" t="str">
        <x:f>INDEX(Customer_MRR_Data!$W:$W,MATCH($B14,Customer_MRR_Data!$B:$B,0))</x:f>
        <x:v>Medium</x:v>
      </x:c>
      <x:c r="J14" s="23" t="str">
        <x:f>INDEX(Customer_MRR_Data!$X:$X,MATCH($B14,Customer_MRR_Data!$B:$B,0))</x:f>
        <x:v>CSM action plan before renewal</x:v>
      </x:c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23" t="n">
        <x:v>11</x:v>
      </x:c>
      <x:c r="B15" s="23" t="str">
        <x:f>INDEX(Customer_MRR_Data!$B:$B,MATCH(LARGE(Customer_MRR_Data!$Y:$Y,A15),Customer_MRR_Data!$Y:$Y,0))</x:f>
        <x:v>Granite Payroll</x:v>
      </x:c>
      <x:c r="C15" s="23" t="str">
        <x:f>INDEX(Customer_MRR_Data!$D:$D,MATCH($B15,Customer_MRR_Data!$B:$B,0))</x:f>
        <x:v>SMB</x:v>
      </x:c>
      <x:c r="D15" s="23" t="str">
        <x:f>INDEX(Customer_MRR_Data!$G:$G,MATCH($B15,Customer_MRR_Data!$B:$B,0))</x:f>
        <x:v>Leo Park</x:v>
      </x:c>
      <x:c r="E15" s="44" t="n">
        <x:f>INDEX(Customer_MRR_Data!$S:$S,MATCH($B15,Customer_MRR_Data!$B:$B,0))</x:f>
        <x:v>46367</x:v>
      </x:c>
      <x:c r="F15" s="23" t="n">
        <x:f>INDEX(Customer_MRR_Data!$T:$T,MATCH($B15,Customer_MRR_Data!$B:$B,0))</x:f>
        <x:v>57</x:v>
      </x:c>
      <x:c r="G15" s="46" t="n">
        <x:f>INDEX(Customer_MRR_Data!$U:$U,MATCH($B15,Customer_MRR_Data!$B:$B,0))</x:f>
        <x:v>0.44</x:v>
      </x:c>
      <x:c r="H15" s="38" t="n">
        <x:f>INDEX(Customer_MRR_Data!$H:$H,MATCH($B15,Customer_MRR_Data!$B:$B,0))</x:f>
        <x:v>62000</x:v>
      </x:c>
      <x:c r="I15" s="23" t="str">
        <x:f>INDEX(Customer_MRR_Data!$W:$W,MATCH($B15,Customer_MRR_Data!$B:$B,0))</x:f>
        <x:v>Medium</x:v>
      </x:c>
      <x:c r="J15" s="23" t="str">
        <x:f>INDEX(Customer_MRR_Data!$X:$X,MATCH($B15,Customer_MRR_Data!$B:$B,0))</x:f>
        <x:v>CSM action plan before renewal</x:v>
      </x:c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23" t="n">
        <x:v>12</x:v>
      </x:c>
      <x:c r="B16" s="23" t="str">
        <x:f>INDEX(Customer_MRR_Data!$B:$B,MATCH(LARGE(Customer_MRR_Data!$Y:$Y,A16),Customer_MRR_Data!$Y:$Y,0))</x:f>
        <x:v>Evergreen Fleet</x:v>
      </x:c>
      <x:c r="C16" s="23" t="str">
        <x:f>INDEX(Customer_MRR_Data!$D:$D,MATCH($B16,Customer_MRR_Data!$B:$B,0))</x:f>
        <x:v>Mid-Market</x:v>
      </x:c>
      <x:c r="D16" s="23" t="str">
        <x:f>INDEX(Customer_MRR_Data!$G:$G,MATCH($B16,Customer_MRR_Data!$B:$B,0))</x:f>
        <x:v>Nora Patel</x:v>
      </x:c>
      <x:c r="E16" s="44" t="n">
        <x:f>INDEX(Customer_MRR_Data!$S:$S,MATCH($B16,Customer_MRR_Data!$B:$B,0))</x:f>
        <x:v>46354</x:v>
      </x:c>
      <x:c r="F16" s="23" t="n">
        <x:f>INDEX(Customer_MRR_Data!$T:$T,MATCH($B16,Customer_MRR_Data!$B:$B,0))</x:f>
        <x:v>60</x:v>
      </x:c>
      <x:c r="G16" s="46" t="n">
        <x:f>INDEX(Customer_MRR_Data!$U:$U,MATCH($B16,Customer_MRR_Data!$B:$B,0))</x:f>
        <x:v>0.48</x:v>
      </x:c>
      <x:c r="H16" s="38" t="n">
        <x:f>INDEX(Customer_MRR_Data!$H:$H,MATCH($B16,Customer_MRR_Data!$B:$B,0))</x:f>
        <x:v>150000</x:v>
      </x:c>
      <x:c r="I16" s="23" t="str">
        <x:f>INDEX(Customer_MRR_Data!$W:$W,MATCH($B16,Customer_MRR_Data!$B:$B,0))</x:f>
        <x:v>Medium</x:v>
      </x:c>
      <x:c r="J16" s="23" t="str">
        <x:f>INDEX(Customer_MRR_Data!$X:$X,MATCH($B16,Customer_MRR_Data!$B:$B,0))</x:f>
        <x:v>CSM action plan before renewal</x:v>
      </x:c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84" t="str">
        <x:v>NRR Improvement Scenarios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2" customHeight="1">
      <x:c r="A2" s="9" t="str">
        <x:v>Scenario logic for retention/expansion improvement and financial impact.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8" customHeight="1">
      <x:c r="A4" s="16" t="str">
        <x:v>Scenario</x:v>
      </x:c>
      <x:c r="B4" s="16" t="str">
        <x:v>NRR Improvement</x:v>
      </x:c>
      <x:c r="C4" s="16" t="str">
        <x:v>GRR Improvement</x:v>
      </x:c>
      <x:c r="D4" s="16" t="str">
        <x:v>Incremental Ending ARR</x:v>
      </x:c>
      <x:c r="E4" s="16" t="str">
        <x:v>Contribution Margin</x:v>
      </x:c>
      <x:c r="F4" s="16" t="str">
        <x:v>Incremental EBITDA</x:v>
      </x:c>
      <x:c r="G4" s="16" t="str">
        <x:v>Exit Multiple</x:v>
      </x:c>
      <x:c r="H4" s="16" t="str">
        <x:v>Enterprise Value Impact</x:v>
      </x:c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23" t="str">
        <x:v>Conservative</x:v>
      </x:c>
      <x:c r="B5" s="40" t="n">
        <x:v>0.02</x:v>
      </x:c>
      <x:c r="C5" s="40" t="n">
        <x:v>0.01</x:v>
      </x:c>
      <x:c r="D5" s="38" t="n">
        <x:f>SUM(Customer_MRR_Data!$H:$H)*B5</x:f>
        <x:v>127900</x:v>
      </x:c>
      <x:c r="E5" s="40" t="n">
        <x:f>Inputs!$B$9</x:f>
        <x:v>0.7</x:v>
      </x:c>
      <x:c r="F5" s="38" t="n">
        <x:f>D5*E5</x:f>
        <x:v>89530</x:v>
      </x:c>
      <x:c r="G5" s="66" t="n">
        <x:f>Inputs!$B$10</x:f>
        <x:v>12</x:v>
      </x:c>
      <x:c r="H5" s="38" t="n">
        <x:f>F5*G5</x:f>
        <x:v>1074360</x:v>
      </x:c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23" t="str">
        <x:v>Base</x:v>
      </x:c>
      <x:c r="B6" s="40" t="n">
        <x:v>0.04</x:v>
      </x:c>
      <x:c r="C6" s="40" t="n">
        <x:v>0.02</x:v>
      </x:c>
      <x:c r="D6" s="38" t="n">
        <x:f>SUM(Customer_MRR_Data!$H:$H)*B6</x:f>
        <x:v>255800</x:v>
      </x:c>
      <x:c r="E6" s="40" t="n">
        <x:f>Inputs!$B$9</x:f>
        <x:v>0.7</x:v>
      </x:c>
      <x:c r="F6" s="38" t="n">
        <x:f>D6*E6</x:f>
        <x:v>179060</x:v>
      </x:c>
      <x:c r="G6" s="66" t="n">
        <x:f>Inputs!$B$10</x:f>
        <x:v>12</x:v>
      </x:c>
      <x:c r="H6" s="38" t="n">
        <x:f>F6*G6</x:f>
        <x:v>2148720</x:v>
      </x:c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23" t="str">
        <x:v>Upside</x:v>
      </x:c>
      <x:c r="B7" s="40" t="n">
        <x:v>0.06</x:v>
      </x:c>
      <x:c r="C7" s="40" t="n">
        <x:v>0.03</x:v>
      </x:c>
      <x:c r="D7" s="38" t="n">
        <x:f>SUM(Customer_MRR_Data!$H:$H)*B7</x:f>
        <x:v>383700</x:v>
      </x:c>
      <x:c r="E7" s="40" t="n">
        <x:f>Inputs!$B$9</x:f>
        <x:v>0.7</x:v>
      </x:c>
      <x:c r="F7" s="38" t="n">
        <x:f>D7*E7</x:f>
        <x:v>268590</x:v>
      </x:c>
      <x:c r="G7" s="66" t="n">
        <x:f>Inputs!$B$10</x:f>
        <x:v>12</x:v>
      </x:c>
      <x:c r="H7" s="38" t="n">
        <x:f>F7*G7</x:f>
        <x:v>3223080</x:v>
      </x:c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86"/>
      <x:c r="B8" s="86"/>
      <x:c r="C8" s="86"/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eeb119ee4a941b6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4" customHeight="1">
      <x:c r="A1" s="84" t="str">
        <x:v>EBITDA &amp; Enterprise Value Impact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2" customHeight="1">
      <x:c r="A2" s="9" t="str">
        <x:v>How retention improvement converts to EBITDA and valuation impact.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8" customHeight="1">
      <x:c r="A4" s="16" t="str">
        <x:v>Metric</x:v>
      </x:c>
      <x:c r="B4" s="16" t="str">
        <x:v>Current</x:v>
      </x:c>
      <x:c r="C4" s="16" t="str">
        <x:v>Target</x:v>
      </x:c>
      <x:c r="D4" s="16" t="str">
        <x:v>Delta</x:v>
      </x:c>
      <x:c r="E4" s="86"/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23" t="str">
        <x:v>Beginning ARR</x:v>
      </x:c>
      <x:c r="B5" s="38" t="n">
        <x:f>SUM(Customer_MRR_Data!$H:$H)</x:f>
        <x:v>6395000</x:v>
      </x:c>
      <x:c r="C5" s="38" t="n">
        <x:f>B5</x:f>
        <x:v>6395000</x:v>
      </x:c>
      <x:c r="D5" s="38" t="n">
        <x:f>C5-B5</x:f>
        <x:v>0</x:v>
      </x:c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23" t="str">
        <x:v>Ending ARR</x:v>
      </x:c>
      <x:c r="B6" s="38" t="n">
        <x:f>SUM(Customer_MRR_Data!$I:$I)</x:f>
        <x:v>5826000</x:v>
      </x:c>
      <x:c r="C6" s="38" t="n">
        <x:f>B5*Inputs!$B$7</x:f>
        <x:v>6906600</x:v>
      </x:c>
      <x:c r="D6" s="38" t="n">
        <x:f>C6-B6</x:f>
        <x:v>1080600</x:v>
      </x:c>
      <x:c r="E6" s="86"/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23" t="str">
        <x:v>GRR</x:v>
      </x:c>
      <x:c r="B7" s="40" t="n">
        <x:f>SUM(Customer_MRR_Data!$M:$M)/SUM(Customer_MRR_Data!$H:$H)</x:f>
        <x:v>0.8772478498827209</x:v>
      </x:c>
      <x:c r="C7" s="40" t="n">
        <x:f>Inputs!$B$8</x:f>
        <x:v>0.92</x:v>
      </x:c>
      <x:c r="D7" s="40" t="n">
        <x:f>C7-B7</x:f>
        <x:v>0.042752150117279175</x:v>
      </x:c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23" t="str">
        <x:v>NRR</x:v>
      </x:c>
      <x:c r="B8" s="40" t="n">
        <x:f>SUM(Customer_MRR_Data!$N:$N)/SUM(Customer_MRR_Data!$H:$H)</x:f>
        <x:v>0.911024237685692</x:v>
      </x:c>
      <x:c r="C8" s="40" t="n">
        <x:f>Inputs!$B$7</x:f>
        <x:v>1.08</x:v>
      </x:c>
      <x:c r="D8" s="40" t="n">
        <x:f>C8-B8</x:f>
        <x:v>0.1689757623143081</x:v>
      </x:c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23" t="str">
        <x:v>Incremental ARR from NRR Lift</x:v>
      </x:c>
      <x:c r="B9" s="38" t="n">
        <x:f>0</x:f>
        <x:v>0</x:v>
      </x:c>
      <x:c r="C9" s="38" t="n">
        <x:f>SUM(Customer_MRR_Data!$H:$H)*(C8-B8)</x:f>
        <x:v>1080600.0000000005</x:v>
      </x:c>
      <x:c r="D9" s="38" t="n">
        <x:f>C9-B9</x:f>
        <x:v>1080600.0000000005</x:v>
      </x:c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23" t="str">
        <x:v>Contribution Margin</x:v>
      </x:c>
      <x:c r="B10" s="40" t="n">
        <x:f>Inputs!$B$9</x:f>
        <x:v>0.7</x:v>
      </x:c>
      <x:c r="C10" s="40" t="n">
        <x:f>Inputs!$B$9</x:f>
        <x:v>0.7</x:v>
      </x:c>
      <x:c r="D10" s="40" t="n">
        <x:f>C10-B10</x:f>
        <x:v>0</x:v>
      </x:c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23" t="str">
        <x:v>Incremental EBITDA</x:v>
      </x:c>
      <x:c r="B11" s="38" t="n">
        <x:f>0</x:f>
        <x:v>0</x:v>
      </x:c>
      <x:c r="C11" s="38" t="n">
        <x:f>C9*C10</x:f>
        <x:v>756420.0000000002</x:v>
      </x:c>
      <x:c r="D11" s="38" t="n">
        <x:f>C11-B11</x:f>
        <x:v>756420.0000000002</x:v>
      </x:c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23" t="str">
        <x:v>Exit Multiple</x:v>
      </x:c>
      <x:c r="B12" s="66" t="n">
        <x:f>Inputs!$B$10</x:f>
        <x:v>12</x:v>
      </x:c>
      <x:c r="C12" s="66" t="n">
        <x:f>Inputs!$B$10</x:f>
        <x:v>12</x:v>
      </x:c>
      <x:c r="D12" s="66" t="n">
        <x:f>C12-B12</x:f>
        <x:v>0</x:v>
      </x:c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51" t="str">
        <x:v>Enterprise Value Impact</x:v>
      </x:c>
      <x:c r="B13" s="52" t="n">
        <x:f>0</x:f>
        <x:v>0</x:v>
      </x:c>
      <x:c r="C13" s="52" t="n">
        <x:f>C11*C12</x:f>
        <x:v>9077040.000000004</x:v>
      </x:c>
      <x:c r="D13" s="52" t="n">
        <x:f>C13-B13</x:f>
        <x:v>9077040.000000004</x:v>
      </x:c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 ht="34" customHeight="1">
      <x:c r="A1" s="84" t="str">
        <x:v>Sources &amp; Assumptions</x:v>
      </x:c>
      <x:c r="B1" s="94"/>
      <x:c r="C1" s="94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2" customHeight="1">
      <x:c r="A2" s="9" t="str">
        <x:v>Plain-English assumptions and source posture.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8" customHeight="1">
      <x:c r="A4" s="16" t="str">
        <x:v>Item</x:v>
      </x:c>
      <x:c r="B4" s="16" t="str">
        <x:v>Source / Basis</x:v>
      </x:c>
      <x:c r="C4" s="16" t="str">
        <x:v>Notes</x:v>
      </x:c>
      <x:c r="D4" s="86"/>
      <x:c r="E4" s="86"/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23" t="str">
        <x:v>Sample customer data</x:v>
      </x:c>
      <x:c r="B5" s="23" t="str">
        <x:v>Illustrative Ops2EBITDA synthetic dataset</x:v>
      </x:c>
      <x:c r="C5" s="23" t="str">
        <x:v>Replace with CRM, billing, customer success, and support exports.</x:v>
      </x:c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23" t="str">
        <x:v>Retention formulas</x:v>
      </x:c>
      <x:c r="B6" s="23" t="str">
        <x:v>Standard SaaS / recurring revenue metrics</x:v>
      </x:c>
      <x:c r="C6" s="23" t="str">
        <x:v>GRR = gross retained ARR / beginning ARR; NRR = net retained ARR / beginning ARR.</x:v>
      </x:c>
      <x:c r="D6" s="86"/>
      <x:c r="E6" s="86"/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23" t="str">
        <x:v>Contribution margin</x:v>
      </x:c>
      <x:c r="B7" s="23" t="str">
        <x:v>User input on Inputs sheet</x:v>
      </x:c>
      <x:c r="C7" s="23" t="str">
        <x:v>Use incremental contribution margin, not gross margin, where possible.</x:v>
      </x:c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23" t="str">
        <x:v>Exit multiple</x:v>
      </x:c>
      <x:c r="B8" s="23" t="str">
        <x:v>User input on Inputs sheet</x:v>
      </x:c>
      <x:c r="C8" s="23" t="str">
        <x:v>Use company-specific valuation assumptions or sponsor underwriting case.</x:v>
      </x:c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23" t="str">
        <x:v>Risk scoring</x:v>
      </x:c>
      <x:c r="B9" s="23" t="str">
        <x:v>Illustrative logic based on health score, usage, support tickets, and renewal timing</x:v>
      </x:c>
      <x:c r="C9" s="23" t="str">
        <x:v>Calibrate to actual churn predictors and business model.</x:v>
      </x:c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H1"/>
    <x:mergeCell ref="A2:H2"/>
  </x:mergeCells>
  <x:pageMargins left="0.7" right="0.7" top="0.75" bottom="0.75" header="0.3" footer="0.3"/>
</x:worksheet>
</file>