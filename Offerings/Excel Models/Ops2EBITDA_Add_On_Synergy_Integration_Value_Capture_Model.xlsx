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9018b6289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6252cf8c7074829"/>
    <x:sheet xmlns:r="http://schemas.openxmlformats.org/officeDocument/2006/relationships" name="Instructions" sheetId="2" r:id="R3430a39da0d541e0"/>
    <x:sheet xmlns:r="http://schemas.openxmlformats.org/officeDocument/2006/relationships" name="Inputs" sheetId="3" r:id="Rfb32e7a3731b4975"/>
    <x:sheet xmlns:r="http://schemas.openxmlformats.org/officeDocument/2006/relationships" name="Target_Financials" sheetId="4" r:id="Rac3d48464c5d4ab2"/>
    <x:sheet xmlns:r="http://schemas.openxmlformats.org/officeDocument/2006/relationships" name="Synergy_Tracker" sheetId="5" r:id="R4dec886baab54e70"/>
    <x:sheet xmlns:r="http://schemas.openxmlformats.org/officeDocument/2006/relationships" name="Integration_Milestones" sheetId="6" r:id="R33d466550f8548a2"/>
    <x:sheet xmlns:r="http://schemas.openxmlformats.org/officeDocument/2006/relationships" name="Workstream_Detail" sheetId="7" r:id="R6e1e15a577614867"/>
    <x:sheet xmlns:r="http://schemas.openxmlformats.org/officeDocument/2006/relationships" name="EBITDA_Bridge" sheetId="8" r:id="R20689af86c0e440f"/>
    <x:sheet xmlns:r="http://schemas.openxmlformats.org/officeDocument/2006/relationships" name="Sources" sheetId="9" r:id="R2e8c396f0912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0.0x"/>
    <x:numFmt numFmtId="202" formatCode="0.0%"/>
    <x:numFmt numFmtId="203" formatCode="yyyy-mm-dd"/>
    <x:numFmt numFmtId="204" formatCode="0%"/>
  </x:numFmts>
  <x:fonts count="22">
    <x:font>
      <x:sz val="11"/>
      <x:name val="Carlito"/>
    </x:font>
    <x:font>
      <x:b/>
      <x:sz val="18"/>
      <x:color rgb="161413"/>
      <x:name val="Carlito"/>
    </x:font>
    <x:font>
      <x:b/>
      <x:sz val="11"/>
      <x:color rgb="161413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b/>
      <x:sz val="22"/>
      <x:color rgb="161413"/>
      <x:name val="Carlito"/>
    </x:font>
    <x:font>
      <x:sz val="14"/>
      <x:color rgb="161413"/>
      <x:name val="Carlito"/>
    </x:font>
    <x:font>
      <x:sz val="11"/>
      <x:color rgb="161413"/>
      <x:name val="Carlito"/>
    </x:font>
    <x:font>
      <x:b/>
      <x:sz val="10"/>
      <x:color rgb="928B7E"/>
      <x:name val="Carlito"/>
    </x:font>
    <x:font>
      <x:b/>
      <x:sz val="16"/>
      <x:color rgb="161413"/>
      <x:name val="Carlito"/>
    </x:font>
    <x:font>
      <x:sz val="11"/>
      <x:color rgb="FFFFFF"/>
      <x:name val="Carlito"/>
    </x:font>
    <x:font>
      <x:b/>
      <x:sz val="22"/>
      <x:color rgb="161413"/>
      <x:name val="Aptos"/>
    </x:font>
    <x:font>
      <x:sz val="11"/>
      <x:color rgb="161413"/>
      <x:name val="Aptos"/>
    </x:font>
    <x:font>
      <x:sz val="14"/>
      <x:color rgb="161413"/>
      <x:name val="Aptos"/>
    </x:font>
    <x:font>
      <x:b/>
      <x:sz val="10"/>
      <x:color rgb="161413"/>
      <x:name val="Aptos"/>
    </x:font>
    <x:font>
      <x:sz val="11"/>
      <x:color rgb="161413"/>
      <x:name val="Aptos"/>
    </x:font>
    <x:font>
      <x:b/>
      <x:sz val="16"/>
      <x:color rgb="161413"/>
      <x:name val="Aptos"/>
    </x:font>
    <x:font>
      <x:b/>
      <x:sz val="11"/>
      <x:color rgb="161413"/>
      <x:name val="Aptos"/>
    </x:font>
    <x:font>
      <x:b/>
      <x:sz val="18"/>
      <x:color rgb="161413"/>
      <x:name val="Aptos"/>
    </x:font>
    <x:font>
      <x:b/>
      <x:sz val="18"/>
      <x:color rgb="161413"/>
      <x:name val="Georgia"/>
    </x:font>
    <x:font>
      <x:sz val="11"/>
      <x:color rgb="0000FF"/>
      <x:name val="Aptos"/>
    </x:font>
    <x:font>
      <x:sz val="11"/>
      <x:color rgb="0000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4EFE6"/>
      </x:patternFill>
    </x:fill>
    <x:fill>
      <x:patternFill patternType="solid">
        <x:fgColor rgb="B8862F"/>
      </x:patternFill>
    </x:fill>
    <x:fill>
      <x:patternFill patternType="solid">
        <x:fgColor rgb="161413"/>
      </x:patternFill>
    </x:fill>
    <x:fill>
      <x:patternFill patternType="solid">
        <x:fgColor rgb="EFE8DD"/>
      </x:patternFill>
    </x:fill>
    <x:fill>
      <x:patternFill patternType="solid">
        <x:fgColor rgb="FBF8F2"/>
      </x:patternFill>
    </x:fill>
  </x:fills>
  <x:borders count="2">
    <x:border/>
    <x:border/>
  </x:borders>
  <x:cellStyleXfs count="1">
    <x:xf numFmtId="0" fontId="0" fillId="0" borderId="0"/>
  </x:cellStyleXfs>
  <x:cellXfs count="2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2" fillId="5" borderId="0" xfId="0" applyNumberFormat="1" applyFont="1" applyFill="1" applyBorder="1"/>
    <x:xf numFmtId="200" fontId="2" fillId="5" borderId="1" xfId="0" applyNumberFormat="1" applyFont="1" applyFill="1" applyBorder="1"/>
    <x:xf numFmtId="202" fontId="2" fillId="5" borderId="0" xfId="0" applyNumberFormat="1" applyFont="1" applyFill="1" applyBorder="1"/>
    <x:xf numFmtId="202" fontId="2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200" fontId="9" fillId="6" borderId="0" xfId="0" applyNumberFormat="1" applyFont="1" applyFill="1" applyBorder="1"/>
    <x:xf numFmtId="200" fontId="9" fillId="6" borderId="1" xfId="0" applyNumberFormat="1" applyFont="1" applyFill="1" applyBorder="1"/>
    <x:xf numFmtId="202" fontId="9" fillId="6" borderId="0" xfId="0" applyNumberFormat="1" applyFont="1" applyFill="1" applyBorder="1"/>
    <x:xf numFmtId="202" fontId="9" fillId="6" borderId="1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/>
    </x:xf>
    <x:xf numFmtId="0" fontId="12" fillId="0" borderId="0" xfId="0" applyNumberFormat="1" applyFont="1" applyFill="1" applyBorder="1"/>
    <x:xf numFmtId="0" fontId="13" fillId="2" borderId="0" xfId="0" applyNumberFormat="1" applyFont="1" applyFill="1" applyBorder="1" applyAlignment="1">
      <x:alignment horizontal="left"/>
    </x:xf>
    <x:xf numFmtId="0" fontId="14" fillId="6" borderId="0" xfId="0" applyNumberFormat="1" applyFont="1" applyFill="1" applyBorder="1"/>
    <x:xf numFmtId="0" fontId="12" fillId="6" borderId="0" xfId="0" applyNumberFormat="1" applyFont="1" applyFill="1" applyBorder="1"/>
    <x:xf numFmtId="0" fontId="15" fillId="4" borderId="0" xfId="0" applyNumberFormat="1" applyFont="1" applyFill="1" applyBorder="1" applyAlignment="1">
      <x:alignment vertical="top" wrapText="1"/>
    </x:xf>
    <x:xf numFmtId="200" fontId="16" fillId="6" borderId="0" xfId="0" applyNumberFormat="1" applyFont="1" applyFill="1" applyBorder="1"/>
    <x:xf numFmtId="202" fontId="16" fillId="6" borderId="0" xfId="0" applyNumberFormat="1" applyFont="1" applyFill="1" applyBorder="1"/>
    <x:xf numFmtId="0" fontId="17" fillId="3" borderId="0" xfId="0" applyNumberFormat="1" applyFont="1" applyFill="1" applyBorder="1" applyAlignment="1">
      <x:alignment horizontal="left" vertical="center"/>
    </x:xf>
    <x:xf numFmtId="0" fontId="17" fillId="4" borderId="0" xfId="0" applyNumberFormat="1" applyFont="1" applyFill="1" applyBorder="1" applyAlignment="1">
      <x:alignment horizontal="center" vertical="center"/>
    </x:xf>
    <x:xf numFmtId="200" fontId="12" fillId="0" borderId="0" xfId="0" applyNumberFormat="1" applyFont="1" applyFill="1" applyBorder="1"/>
    <x:xf numFmtId="202" fontId="12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left"/>
    </x:xf>
    <x:xf numFmtId="0" fontId="12" fillId="0" borderId="1" xfId="0" applyNumberFormat="1" applyFont="1" applyFill="1" applyBorder="1"/>
    <x:xf numFmtId="0" fontId="13" fillId="2" borderId="1" xfId="0" applyNumberFormat="1" applyFont="1" applyFill="1" applyBorder="1" applyAlignment="1">
      <x:alignment horizontal="left"/>
    </x:xf>
    <x:xf numFmtId="0" fontId="14" fillId="6" borderId="1" xfId="0" applyNumberFormat="1" applyFont="1" applyFill="1" applyBorder="1"/>
    <x:xf numFmtId="0" fontId="12" fillId="6" borderId="1" xfId="0" applyNumberFormat="1" applyFont="1" applyFill="1" applyBorder="1"/>
    <x:xf numFmtId="0" fontId="15" fillId="4" borderId="1" xfId="0" applyNumberFormat="1" applyFont="1" applyFill="1" applyBorder="1" applyAlignment="1">
      <x:alignment vertical="top" wrapText="1"/>
    </x:xf>
    <x:xf numFmtId="200" fontId="16" fillId="6" borderId="1" xfId="0" applyNumberFormat="1" applyFont="1" applyFill="1" applyBorder="1"/>
    <x:xf numFmtId="202" fontId="16" fillId="6" borderId="1" xfId="0" applyNumberFormat="1" applyFont="1" applyFill="1" applyBorder="1"/>
    <x:xf numFmtId="0" fontId="17" fillId="3" borderId="1" xfId="0" applyNumberFormat="1" applyFont="1" applyFill="1" applyBorder="1" applyAlignment="1">
      <x:alignment horizontal="left" vertical="center"/>
    </x:xf>
    <x:xf numFmtId="0" fontId="17" fillId="4" borderId="1" xfId="0" applyNumberFormat="1" applyFont="1" applyFill="1" applyBorder="1" applyAlignment="1">
      <x:alignment horizontal="center" vertical="center"/>
    </x:xf>
    <x:xf numFmtId="200" fontId="12" fillId="0" borderId="1" xfId="0" applyNumberFormat="1" applyFont="1" applyFill="1" applyBorder="1"/>
    <x:xf numFmtId="202" fontId="12" fillId="0" borderId="1" xfId="0" applyNumberFormat="1" applyFont="1" applyFill="1" applyBorder="1"/>
    <x:xf numFmtId="0" fontId="11" fillId="2" borderId="0" xfId="0" applyNumberFormat="1" applyFont="1" applyFill="1" applyBorder="1" applyAlignment="1">
      <x:alignment horizontal="left" vertical="top"/>
    </x:xf>
    <x:xf numFmtId="0" fontId="12" fillId="0" borderId="0" xfId="0" applyNumberFormat="1" applyFont="1" applyFill="1" applyBorder="1" applyAlignment="1">
      <x:alignment vertical="top"/>
    </x:xf>
    <x:xf numFmtId="0" fontId="13" fillId="2" borderId="0" xfId="0" applyNumberFormat="1" applyFont="1" applyFill="1" applyBorder="1" applyAlignment="1">
      <x:alignment horizontal="left" vertical="top"/>
    </x:xf>
    <x:xf numFmtId="0" fontId="14" fillId="6" borderId="0" xfId="0" applyNumberFormat="1" applyFont="1" applyFill="1" applyBorder="1" applyAlignment="1">
      <x:alignment vertical="top"/>
    </x:xf>
    <x:xf numFmtId="0" fontId="12" fillId="6" borderId="0" xfId="0" applyNumberFormat="1" applyFont="1" applyFill="1" applyBorder="1" applyAlignment="1">
      <x:alignment vertical="top"/>
    </x:xf>
    <x:xf numFmtId="200" fontId="16" fillId="6" borderId="0" xfId="0" applyNumberFormat="1" applyFont="1" applyFill="1" applyBorder="1" applyAlignment="1">
      <x:alignment vertical="top"/>
    </x:xf>
    <x:xf numFmtId="202" fontId="16" fillId="6" borderId="0" xfId="0" applyNumberFormat="1" applyFont="1" applyFill="1" applyBorder="1" applyAlignment="1">
      <x:alignment vertical="top"/>
    </x:xf>
    <x:xf numFmtId="0" fontId="17" fillId="3" borderId="0" xfId="0" applyNumberFormat="1" applyFont="1" applyFill="1" applyBorder="1" applyAlignment="1">
      <x:alignment horizontal="left" vertical="top"/>
    </x:xf>
    <x:xf numFmtId="0" fontId="17" fillId="4" borderId="0" xfId="0" applyNumberFormat="1" applyFont="1" applyFill="1" applyBorder="1" applyAlignment="1">
      <x:alignment horizontal="center" vertical="top"/>
    </x:xf>
    <x:xf numFmtId="200" fontId="12" fillId="0" borderId="0" xfId="0" applyNumberFormat="1" applyFont="1" applyFill="1" applyBorder="1" applyAlignment="1">
      <x:alignment vertical="top"/>
    </x:xf>
    <x:xf numFmtId="202" fontId="12" fillId="0" borderId="0" xfId="0" applyNumberFormat="1" applyFont="1" applyFill="1" applyBorder="1" applyAlignment="1">
      <x:alignment vertical="top"/>
    </x:xf>
    <x:xf numFmtId="0" fontId="11" fillId="2" borderId="1" xfId="0" applyNumberFormat="1" applyFont="1" applyFill="1" applyBorder="1" applyAlignment="1">
      <x:alignment horizontal="left" vertical="top"/>
    </x:xf>
    <x:xf numFmtId="0" fontId="12" fillId="0" borderId="1" xfId="0" applyNumberFormat="1" applyFont="1" applyFill="1" applyBorder="1" applyAlignment="1">
      <x:alignment vertical="top"/>
    </x:xf>
    <x:xf numFmtId="0" fontId="13" fillId="2" borderId="1" xfId="0" applyNumberFormat="1" applyFont="1" applyFill="1" applyBorder="1" applyAlignment="1">
      <x:alignment horizontal="left" vertical="top"/>
    </x:xf>
    <x:xf numFmtId="0" fontId="14" fillId="6" borderId="1" xfId="0" applyNumberFormat="1" applyFont="1" applyFill="1" applyBorder="1" applyAlignment="1">
      <x:alignment vertical="top"/>
    </x:xf>
    <x:xf numFmtId="0" fontId="12" fillId="6" borderId="1" xfId="0" applyNumberFormat="1" applyFont="1" applyFill="1" applyBorder="1" applyAlignment="1">
      <x:alignment vertical="top"/>
    </x:xf>
    <x:xf numFmtId="200" fontId="16" fillId="6" borderId="1" xfId="0" applyNumberFormat="1" applyFont="1" applyFill="1" applyBorder="1" applyAlignment="1">
      <x:alignment vertical="top"/>
    </x:xf>
    <x:xf numFmtId="202" fontId="16" fillId="6" borderId="1" xfId="0" applyNumberFormat="1" applyFont="1" applyFill="1" applyBorder="1" applyAlignment="1">
      <x:alignment vertical="top"/>
    </x:xf>
    <x:xf numFmtId="0" fontId="17" fillId="3" borderId="1" xfId="0" applyNumberFormat="1" applyFont="1" applyFill="1" applyBorder="1" applyAlignment="1">
      <x:alignment horizontal="left" vertical="top"/>
    </x:xf>
    <x:xf numFmtId="0" fontId="17" fillId="4" borderId="1" xfId="0" applyNumberFormat="1" applyFont="1" applyFill="1" applyBorder="1" applyAlignment="1">
      <x:alignment horizontal="center" vertical="top"/>
    </x:xf>
    <x:xf numFmtId="200" fontId="12" fillId="0" borderId="1" xfId="0" applyNumberFormat="1" applyFont="1" applyFill="1" applyBorder="1" applyAlignment="1">
      <x:alignment vertical="top"/>
    </x:xf>
    <x:xf numFmtId="202" fontId="12" fillId="0" borderId="1" xfId="0" applyNumberFormat="1" applyFont="1" applyFill="1" applyBorder="1" applyAlignment="1">
      <x:alignment vertical="top"/>
    </x:xf>
    <x:xf numFmtId="0" fontId="18" fillId="2" borderId="0" xfId="0" applyNumberFormat="1" applyFont="1" applyFill="1" applyBorder="1" applyAlignment="1">
      <x:alignment horizontal="left"/>
    </x:xf>
    <x:xf numFmtId="0" fontId="17" fillId="4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8" fillId="2" borderId="1" xfId="0" applyNumberFormat="1" applyFont="1" applyFill="1" applyBorder="1" applyAlignment="1">
      <x:alignment horizontal="left"/>
    </x:xf>
    <x:xf numFmtId="0" fontId="17" fillId="4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wrapText="1"/>
    </x:xf>
    <x:xf numFmtId="0" fontId="18" fillId="2" borderId="0" xfId="0" applyNumberFormat="1" applyFont="1" applyFill="1" applyBorder="1" applyAlignment="1">
      <x:alignment horizontal="left" vertical="top"/>
    </x:xf>
    <x:xf numFmtId="0" fontId="17" fillId="4" borderId="0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8" fillId="2" borderId="1" xfId="0" applyNumberFormat="1" applyFont="1" applyFill="1" applyBorder="1" applyAlignment="1">
      <x:alignment horizontal="left" vertical="top"/>
    </x:xf>
    <x:xf numFmtId="0" fontId="17" fillId="4" borderId="1" xfId="0" applyNumberFormat="1" applyFont="1" applyFill="1" applyBorder="1" applyAlignment="1">
      <x:alignment horizontal="center" vertical="top" wrapText="1"/>
    </x:xf>
    <x:xf numFmtId="0" fontId="12" fillId="0" borderId="1" xfId="0" applyNumberFormat="1" applyFont="1" applyFill="1" applyBorder="1" applyAlignment="1">
      <x:alignment vertical="top" wrapText="1"/>
    </x:xf>
    <x:xf numFmtId="201" fontId="12" fillId="0" borderId="0" xfId="0" applyNumberFormat="1" applyFont="1" applyFill="1" applyBorder="1"/>
    <x:xf numFmtId="203" fontId="12" fillId="0" borderId="0" xfId="0" applyNumberFormat="1" applyFont="1" applyFill="1" applyBorder="1"/>
    <x:xf numFmtId="204" fontId="12" fillId="0" borderId="0" xfId="0" applyNumberFormat="1" applyFont="1" applyFill="1" applyBorder="1"/>
    <x:xf numFmtId="201" fontId="12" fillId="0" borderId="1" xfId="0" applyNumberFormat="1" applyFont="1" applyFill="1" applyBorder="1"/>
    <x:xf numFmtId="203" fontId="12" fillId="0" borderId="1" xfId="0" applyNumberFormat="1" applyFont="1" applyFill="1" applyBorder="1"/>
    <x:xf numFmtId="204" fontId="12" fillId="0" borderId="1" xfId="0" applyNumberFormat="1" applyFont="1" applyFill="1" applyBorder="1"/>
    <x:xf numFmtId="201" fontId="12" fillId="0" borderId="0" xfId="0" applyNumberFormat="1" applyFont="1" applyFill="1" applyBorder="1" applyAlignment="1">
      <x:alignment vertical="top"/>
    </x:xf>
    <x:xf numFmtId="203" fontId="12" fillId="0" borderId="0" xfId="0" applyNumberFormat="1" applyFont="1" applyFill="1" applyBorder="1" applyAlignment="1">
      <x:alignment vertical="top"/>
    </x:xf>
    <x:xf numFmtId="204" fontId="12" fillId="0" borderId="0" xfId="0" applyNumberFormat="1" applyFont="1" applyFill="1" applyBorder="1" applyAlignment="1">
      <x:alignment vertical="top"/>
    </x:xf>
    <x:xf numFmtId="201" fontId="12" fillId="0" borderId="1" xfId="0" applyNumberFormat="1" applyFont="1" applyFill="1" applyBorder="1" applyAlignment="1">
      <x:alignment vertical="top"/>
    </x:xf>
    <x:xf numFmtId="203" fontId="12" fillId="0" borderId="1" xfId="0" applyNumberFormat="1" applyFont="1" applyFill="1" applyBorder="1" applyAlignment="1">
      <x:alignment vertical="top"/>
    </x:xf>
    <x:xf numFmtId="204" fontId="12" fillId="0" borderId="1" xfId="0" applyNumberFormat="1" applyFont="1" applyFill="1" applyBorder="1" applyAlignment="1">
      <x:alignment vertical="top"/>
    </x:xf>
    <x:xf numFmtId="203" fontId="12" fillId="0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 applyAlignment="1">
      <x:alignment wrapText="1"/>
    </x:xf>
    <x:xf numFmtId="202" fontId="12" fillId="0" borderId="0" xfId="0" applyNumberFormat="1" applyFont="1" applyFill="1" applyBorder="1" applyAlignment="1">
      <x:alignment wrapText="1"/>
    </x:xf>
    <x:xf numFmtId="204" fontId="12" fillId="0" borderId="0" xfId="0" applyNumberFormat="1" applyFont="1" applyFill="1" applyBorder="1" applyAlignment="1">
      <x:alignment wrapText="1"/>
    </x:xf>
    <x:xf numFmtId="203" fontId="12" fillId="0" borderId="1" xfId="0" applyNumberFormat="1" applyFont="1" applyFill="1" applyBorder="1" applyAlignment="1">
      <x:alignment wrapText="1"/>
    </x:xf>
    <x:xf numFmtId="200" fontId="12" fillId="0" borderId="1" xfId="0" applyNumberFormat="1" applyFont="1" applyFill="1" applyBorder="1" applyAlignment="1">
      <x:alignment wrapText="1"/>
    </x:xf>
    <x:xf numFmtId="202" fontId="12" fillId="0" borderId="1" xfId="0" applyNumberFormat="1" applyFont="1" applyFill="1" applyBorder="1" applyAlignment="1">
      <x:alignment wrapText="1"/>
    </x:xf>
    <x:xf numFmtId="204" fontId="12" fillId="0" borderId="1" xfId="0" applyNumberFormat="1" applyFont="1" applyFill="1" applyBorder="1" applyAlignment="1">
      <x:alignment wrapText="1"/>
    </x:xf>
    <x:xf numFmtId="203" fontId="12" fillId="0" borderId="0" xfId="0" applyNumberFormat="1" applyFont="1" applyFill="1" applyBorder="1" applyAlignment="1">
      <x:alignment vertical="top" wrapText="1"/>
    </x:xf>
    <x:xf numFmtId="200" fontId="12" fillId="0" borderId="0" xfId="0" applyNumberFormat="1" applyFont="1" applyFill="1" applyBorder="1" applyAlignment="1">
      <x:alignment vertical="top" wrapText="1"/>
    </x:xf>
    <x:xf numFmtId="202" fontId="12" fillId="0" borderId="0" xfId="0" applyNumberFormat="1" applyFont="1" applyFill="1" applyBorder="1" applyAlignment="1">
      <x:alignment vertical="top" wrapText="1"/>
    </x:xf>
    <x:xf numFmtId="204" fontId="12" fillId="0" borderId="0" xfId="0" applyNumberFormat="1" applyFont="1" applyFill="1" applyBorder="1" applyAlignment="1">
      <x:alignment vertical="top" wrapText="1"/>
    </x:xf>
    <x:xf numFmtId="203" fontId="12" fillId="0" borderId="1" xfId="0" applyNumberFormat="1" applyFont="1" applyFill="1" applyBorder="1" applyAlignment="1">
      <x:alignment vertical="top" wrapText="1"/>
    </x:xf>
    <x:xf numFmtId="200" fontId="12" fillId="0" borderId="1" xfId="0" applyNumberFormat="1" applyFont="1" applyFill="1" applyBorder="1" applyAlignment="1">
      <x:alignment vertical="top" wrapText="1"/>
    </x:xf>
    <x:xf numFmtId="202" fontId="12" fillId="0" borderId="1" xfId="0" applyNumberFormat="1" applyFont="1" applyFill="1" applyBorder="1" applyAlignment="1">
      <x:alignment vertical="top" wrapText="1"/>
    </x:xf>
    <x:xf numFmtId="204" fontId="12" fillId="0" borderId="1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/>
    <x:xf numFmtId="200" fontId="17" fillId="5" borderId="0" xfId="0" applyNumberFormat="1" applyFont="1" applyFill="1" applyBorder="1"/>
    <x:xf numFmtId="202" fontId="17" fillId="5" borderId="0" xfId="0" applyNumberFormat="1" applyFont="1" applyFill="1" applyBorder="1"/>
    <x:xf numFmtId="0" fontId="17" fillId="5" borderId="1" xfId="0" applyNumberFormat="1" applyFont="1" applyFill="1" applyBorder="1"/>
    <x:xf numFmtId="200" fontId="17" fillId="5" borderId="1" xfId="0" applyNumberFormat="1" applyFont="1" applyFill="1" applyBorder="1"/>
    <x:xf numFmtId="202" fontId="17" fillId="5" borderId="1" xfId="0" applyNumberFormat="1" applyFont="1" applyFill="1" applyBorder="1"/>
    <x:xf numFmtId="0" fontId="17" fillId="5" borderId="0" xfId="0" applyNumberFormat="1" applyFont="1" applyFill="1" applyBorder="1" applyAlignment="1">
      <x:alignment vertical="top"/>
    </x:xf>
    <x:xf numFmtId="200" fontId="17" fillId="5" borderId="0" xfId="0" applyNumberFormat="1" applyFont="1" applyFill="1" applyBorder="1" applyAlignment="1">
      <x:alignment vertical="top"/>
    </x:xf>
    <x:xf numFmtId="202" fontId="17" fillId="5" borderId="0" xfId="0" applyNumberFormat="1" applyFont="1" applyFill="1" applyBorder="1" applyAlignment="1">
      <x:alignment vertical="top"/>
    </x:xf>
    <x:xf numFmtId="0" fontId="17" fillId="5" borderId="1" xfId="0" applyNumberFormat="1" applyFont="1" applyFill="1" applyBorder="1" applyAlignment="1">
      <x:alignment vertical="top"/>
    </x:xf>
    <x:xf numFmtId="200" fontId="17" fillId="5" borderId="1" xfId="0" applyNumberFormat="1" applyFont="1" applyFill="1" applyBorder="1" applyAlignment="1">
      <x:alignment vertical="top"/>
    </x:xf>
    <x:xf numFmtId="202" fontId="17" fillId="5" borderId="1" xfId="0" applyNumberFormat="1" applyFont="1" applyFill="1" applyBorder="1" applyAlignment="1">
      <x:alignment vertical="top"/>
    </x:xf>
    <x:xf numFmtId="0" fontId="19" fillId="2" borderId="0" xfId="0" applyNumberFormat="1" applyFont="1" applyFill="1" applyBorder="1" applyAlignment="1">
      <x:alignment horizontal="left" vertical="top"/>
    </x:xf>
    <x:xf numFmtId="0" fontId="19" fillId="2" borderId="1" xfId="0" applyNumberFormat="1" applyFont="1" applyFill="1" applyBorder="1" applyAlignment="1">
      <x:alignment horizontal="left" vertical="top"/>
    </x:xf>
    <x:xf numFmtId="200" fontId="20" fillId="0" borderId="0" xfId="0" applyNumberFormat="1" applyFont="1" applyFill="1" applyBorder="1" applyAlignment="1">
      <x:alignment vertical="top"/>
    </x:xf>
    <x:xf numFmtId="201" fontId="20" fillId="0" borderId="0" xfId="0" applyNumberFormat="1" applyFont="1" applyFill="1" applyBorder="1" applyAlignment="1">
      <x:alignment vertical="top"/>
    </x:xf>
    <x:xf numFmtId="202" fontId="20" fillId="0" borderId="0" xfId="0" applyNumberFormat="1" applyFont="1" applyFill="1" applyBorder="1" applyAlignment="1">
      <x:alignment vertical="top"/>
    </x:xf>
    <x:xf numFmtId="203" fontId="20" fillId="0" borderId="0" xfId="0" applyNumberFormat="1" applyFont="1" applyFill="1" applyBorder="1" applyAlignment="1">
      <x:alignment vertical="top"/>
    </x:xf>
    <x:xf numFmtId="0" fontId="20" fillId="0" borderId="0" xfId="0" applyNumberFormat="1" applyFont="1" applyFill="1" applyBorder="1" applyAlignment="1">
      <x:alignment vertical="top"/>
    </x:xf>
    <x:xf numFmtId="200" fontId="20" fillId="0" borderId="1" xfId="0" applyNumberFormat="1" applyFont="1" applyFill="1" applyBorder="1" applyAlignment="1">
      <x:alignment vertical="top"/>
    </x:xf>
    <x:xf numFmtId="201" fontId="20" fillId="0" borderId="1" xfId="0" applyNumberFormat="1" applyFont="1" applyFill="1" applyBorder="1" applyAlignment="1">
      <x:alignment vertical="top"/>
    </x:xf>
    <x:xf numFmtId="202" fontId="20" fillId="0" borderId="1" xfId="0" applyNumberFormat="1" applyFont="1" applyFill="1" applyBorder="1" applyAlignment="1">
      <x:alignment vertical="top"/>
    </x:xf>
    <x:xf numFmtId="203" fontId="20" fillId="0" borderId="1" xfId="0" applyNumberFormat="1" applyFont="1" applyFill="1" applyBorder="1" applyAlignment="1">
      <x:alignment vertical="top"/>
    </x:xf>
    <x:xf numFmtId="0" fontId="20" fillId="0" borderId="1" xfId="0" applyNumberFormat="1" applyFont="1" applyFill="1" applyBorder="1" applyAlignment="1">
      <x:alignment vertical="top"/>
    </x:xf>
    <x:xf numFmtId="200" fontId="20" fillId="0" borderId="0" xfId="0" applyNumberFormat="1" applyFont="1" applyFill="1" applyBorder="1" applyAlignment="1">
      <x:alignment vertical="top" wrapText="1"/>
    </x:xf>
    <x:xf numFmtId="202" fontId="20" fillId="0" borderId="0" xfId="0" applyNumberFormat="1" applyFont="1" applyFill="1" applyBorder="1" applyAlignment="1">
      <x:alignment vertical="top" wrapText="1"/>
    </x:xf>
    <x:xf numFmtId="200" fontId="20" fillId="0" borderId="1" xfId="0" applyNumberFormat="1" applyFont="1" applyFill="1" applyBorder="1" applyAlignment="1">
      <x:alignment vertical="top" wrapText="1"/>
    </x:xf>
    <x:xf numFmtId="202" fontId="20" fillId="0" borderId="1" xfId="0" applyNumberFormat="1" applyFont="1" applyFill="1" applyBorder="1" applyAlignment="1">
      <x:alignment vertical="top" wrapText="1"/>
    </x:xf>
    <x:xf numFmtId="204" fontId="20" fillId="0" borderId="0" xfId="0" applyNumberFormat="1" applyFont="1" applyFill="1" applyBorder="1" applyAlignment="1">
      <x:alignment vertical="top" wrapText="1"/>
    </x:xf>
    <x:xf numFmtId="204" fontId="20" fillId="0" borderId="1" xfId="0" applyNumberFormat="1" applyFont="1" applyFill="1" applyBorder="1" applyAlignment="1">
      <x:alignment vertical="top" wrapText="1"/>
    </x:xf>
    <x:xf numFmtId="200" fontId="21" fillId="0" borderId="0" xfId="0" applyNumberFormat="1" applyFont="1" applyFill="1" applyBorder="1" applyAlignment="1">
      <x:alignment vertical="top" wrapText="1"/>
    </x:xf>
    <x:xf numFmtId="200" fontId="21" fillId="0" borderId="1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B42318"/>
      </x:font>
      <x:fill>
        <x:patternFill patternType="solid">
          <x:bgColor rgb="F4CCCC"/>
        </x:patternFill>
      </x:fill>
    </x:dxf>
    <x:dxf>
      <x:font>
        <x:b/>
        <x:color rgb="1F7A4C"/>
      </x:font>
      <x:fill>
        <x:patternFill patternType="solid">
          <x:bgColor rgb="D9EAD3"/>
        </x:patternFill>
      </x:fill>
    </x:dxf>
    <x:dxf>
      <x:font>
        <x:b/>
      </x:font>
      <x:fill>
        <x:patternFill patternType="solid">
          <x:bgColor rgb="FCE5CD"/>
        </x:patternFill>
      </x:fill>
    </x:dxf>
    <x:dxf>
      <x:font>
        <x:b/>
        <x:color rgb="B42318"/>
      </x:font>
      <x:fill>
        <x:patternFill patternType="solid">
          <x:bgColor rgb="F4CCCC"/>
        </x:patternFill>
      </x:fill>
    </x:dxf>
    <x:dxf>
      <x:font>
        <x:b/>
        <x:color rgb="1F7A4C"/>
      </x:font>
      <x:fill>
        <x:patternFill patternType="solid">
          <x:bgColor rgb="D9EAD3"/>
        </x:patternFill>
      </x:fill>
    </x:dxf>
    <x:dxf>
      <x:font>
        <x:b/>
        <x:color rgb="B42318"/>
      </x:font>
      <x:fill>
        <x:patternFill patternType="solid">
          <x:bgColor rgb="F4CCCC"/>
        </x:patternFill>
      </x:fill>
    </x:dxf>
    <x:dxf>
      <x:font>
        <x:b/>
        <x:color rgb="B42318"/>
      </x:font>
      <x:fill>
        <x:patternFill patternType="solid">
          <x:bgColor rgb="F4CCCC"/>
        </x:patternFill>
      </x:fill>
    </x:dxf>
    <x:dxf>
      <x:font>
        <x:b/>
        <x:color rgb="B42318"/>
      </x:font>
      <x:fill>
        <x:patternFill patternType="solid">
          <x:bgColor rgb="F4CCCC"/>
        </x:patternFill>
      </x:fill>
    </x:dxf>
    <x:dxf>
      <x:font>
        <x:b/>
        <x:color rgb="1F7A4C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c1f68176f4238" /><Relationship Type="http://schemas.openxmlformats.org/officeDocument/2006/relationships/theme" Target="/xl/theme/theme1.xml" Id="R5fff56f62f814a25" /><Relationship Type="http://schemas.openxmlformats.org/officeDocument/2006/relationships/sharedStrings" Target="/xl/sharedStrings.xml" Id="Rcdc38cc17c4d427f" /><Relationship Type="http://schemas.openxmlformats.org/officeDocument/2006/relationships/worksheet" Target="/xl/worksheets/sheet1.xml" Id="Rf6252cf8c7074829" /><Relationship Type="http://schemas.openxmlformats.org/officeDocument/2006/relationships/worksheet" Target="/xl/worksheets/sheet2.xml" Id="R3430a39da0d541e0" /><Relationship Type="http://schemas.openxmlformats.org/officeDocument/2006/relationships/worksheet" Target="/xl/worksheets/sheet3.xml" Id="Rfb32e7a3731b4975" /><Relationship Type="http://schemas.openxmlformats.org/officeDocument/2006/relationships/worksheet" Target="/xl/worksheets/sheet4.xml" Id="Rac3d48464c5d4ab2" /><Relationship Type="http://schemas.openxmlformats.org/officeDocument/2006/relationships/worksheet" Target="/xl/worksheets/sheet5.xml" Id="R4dec886baab54e70" /><Relationship Type="http://schemas.openxmlformats.org/officeDocument/2006/relationships/worksheet" Target="/xl/worksheets/sheet6.xml" Id="R33d466550f8548a2" /><Relationship Type="http://schemas.openxmlformats.org/officeDocument/2006/relationships/worksheet" Target="/xl/worksheets/sheet7.xml" Id="R6e1e15a577614867" /><Relationship Type="http://schemas.openxmlformats.org/officeDocument/2006/relationships/worksheet" Target="/xl/worksheets/sheet8.xml" Id="R20689af86c0e440f" /><Relationship Type="http://schemas.openxmlformats.org/officeDocument/2006/relationships/worksheet" Target="/xl/worksheets/sheet9.xml" Id="R2e8c396f09124e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3c3f6a31d44f7d" /><Relationship Type="http://schemas.openxmlformats.org/officeDocument/2006/relationships/chart" Target="/xl/drawings/charts/chart2.xml" Id="R442998a9273e442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52b51430c5140b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Net Target</c:v>
          </c:tx>
          <c:cat>
            <c:strRef>
              <c:f>'Dashboard'!$A$13:$A$20</c:f>
              <c:strCache>
                <c:ptCount val="0"/>
              </c:strCache>
            </c:strRef>
          </c:cat>
          <c:val>
            <c:numRef>
              <c:f>'Dashboard'!$D$13:$D$20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Validated EBITDA</c:v>
          </c:tx>
          <c:cat>
            <c:strRef>
              <c:f>'Dashboard'!$A$13:$A$20</c:f>
              <c:strCache>
                <c:ptCount val="0"/>
              </c:strCache>
            </c:strRef>
          </c:cat>
          <c:val>
            <c:numRef>
              <c:f>'Dashboard'!$F$13:$F$20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doughnutChart>
        <c:ser>
          <c:idx val="0"/>
          <c:order val="0"/>
          <c:tx>
            <c:v>Net Target Mix</c:v>
          </c:tx>
          <c:cat>
            <c:strRef>
              <c:f>'Dashboard'!$A$13:$A$20</c:f>
              <c:strCache>
                <c:ptCount val="0"/>
              </c:strCache>
            </c:strRef>
          </c:cat>
          <c:val>
            <c:numRef>
              <c:f>'Dashboard'!$D$13:$D$20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Validated EBITDA</c:v>
          </c:tx>
          <c:cat>
            <c:strRef>
              <c:f>'EBITDA_Bridge'!$A$19:$A$26</c:f>
              <c:strCache>
                <c:ptCount val="0"/>
              </c:strCache>
            </c:strRef>
          </c:cat>
          <c:val>
            <c:numRef>
              <c:f>'EBITDA_Bridge'!$C$19:$C$26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3c3f6a31d44f7d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2998a9273e442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2b51430c5140b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ergyTrackerTable" displayName="SynergyTrackerTable" ref="A3:U23" headerRowCount="1">
  <x:tableColumns count="21">
    <x:tableColumn id="1" name="ID"/>
    <x:tableColumn id="2" name="Workstream"/>
    <x:tableColumn id="3" name="Initiative"/>
    <x:tableColumn id="4" name="Owner"/>
    <x:tableColumn id="5" name="Status"/>
    <x:tableColumn id="6" name="Priority"/>
    <x:tableColumn id="7" name="Start Date"/>
    <x:tableColumn id="8" name="Target Date"/>
    <x:tableColumn id="9" name="Gross Target ($)"/>
    <x:tableColumn id="10" name="Risk Haircut %"/>
    <x:tableColumn id="11" name="Net Target ($)"/>
    <x:tableColumn id="12" name="One-Time Cost ($)"/>
    <x:tableColumn id="13" name="Month 3 Realization %"/>
    <x:tableColumn id="14" name="Month 6 Realization %"/>
    <x:tableColumn id="15" name="Month 12 Realization %"/>
    <x:tableColumn id="16" name="Current Realization %"/>
    <x:tableColumn id="17" name="Run-Rate Captured ($)"/>
    <x:tableColumn id="18" name="Validated EBITDA ($)"/>
    <x:tableColumn id="19" name="Evidence Quality"/>
    <x:tableColumn id="20" name="Value at Exit ($)"/>
    <x:tableColumn id="2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IntegrationMilestonesTable" displayName="IntegrationMilestonesTable" ref="A3:L20" headerRowCount="1">
  <x:tableColumns count="12">
    <x:tableColumn id="1" name="Milestone ID"/>
    <x:tableColumn id="2" name="Phase"/>
    <x:tableColumn id="3" name="Workstream"/>
    <x:tableColumn id="4" name="Milestone"/>
    <x:tableColumn id="5" name="Owner"/>
    <x:tableColumn id="6" name="Due Date"/>
    <x:tableColumn id="7" name="Status"/>
    <x:tableColumn id="8" name="Dependency"/>
    <x:tableColumn id="9" name="Criticality"/>
    <x:tableColumn id="10" name="Days Until Due"/>
    <x:tableColumn id="11" name="Late?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b2d9647d0342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ef67c568dfe148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27da46ac7a5b49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2060e8f2198545c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4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6.399999618530273" hidden="0" customHeight="1">
      <x:c r="A1" s="188" t="str">
        <x:v>Ops2EBITDA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  <x:c r="S1" s="115"/>
      <x:c r="T1" s="115"/>
      <x:c r="U1" s="115"/>
      <x:c r="V1" s="115"/>
      <x:c r="W1" s="115"/>
      <x:c r="X1" s="115"/>
      <x:c r="Y1" s="115"/>
      <x:c r="Z1" s="115"/>
    </x:row>
    <x:row r="2" ht="16.799999237060547" hidden="0" customHeight="1">
      <x:c r="A2" s="116" t="str">
        <x:v>Add-On Synergy &amp; Integration Value Capture Model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  <x:c r="Q2" s="115"/>
      <x:c r="R2" s="115"/>
      <x:c r="S2" s="115"/>
      <x:c r="T2" s="115"/>
      <x:c r="U2" s="115"/>
      <x:c r="V2" s="115"/>
      <x:c r="W2" s="115"/>
      <x:c r="X2" s="115"/>
      <x:c r="Y2" s="115"/>
      <x:c r="Z2" s="115"/>
    </x:row>
    <x:row r="3" ht="15" hidden="0" customHeight="1">
      <x:c r="A3" s="115"/>
      <x:c r="B3" s="115"/>
      <x:c r="C3" s="115"/>
      <x:c r="D3" s="115"/>
      <x:c r="E3" s="115"/>
      <x:c r="F3" s="115"/>
      <x:c r="G3" s="115"/>
      <x:c r="H3" s="115"/>
      <x:c r="I3" s="115"/>
      <x:c r="J3" s="115"/>
      <x:c r="K3" s="115"/>
      <x:c r="L3" s="115"/>
      <x:c r="M3" s="115"/>
      <x:c r="N3" s="115"/>
      <x:c r="O3" s="115"/>
      <x:c r="P3" s="115"/>
      <x:c r="Q3" s="115"/>
      <x:c r="R3" s="115"/>
      <x:c r="S3" s="115"/>
      <x:c r="T3" s="115"/>
      <x:c r="U3" s="115"/>
      <x:c r="V3" s="115"/>
      <x:c r="W3" s="115"/>
      <x:c r="X3" s="115"/>
      <x:c r="Y3" s="115"/>
      <x:c r="Z3" s="115"/>
    </x:row>
    <x:row r="4" ht="79.19999694824219" hidden="0" customHeight="1">
      <x:c r="A4" s="117" t="str">
        <x:v>Gross Synergy Target</x:v>
      </x:c>
      <x:c r="B4" s="118"/>
      <x:c r="C4" s="118"/>
      <x:c r="D4" s="117" t="str">
        <x:v>Net Synergy Target</x:v>
      </x:c>
      <x:c r="E4" s="118"/>
      <x:c r="F4" s="118"/>
      <x:c r="G4" s="117" t="str">
        <x:v>Run-Rate Captured</x:v>
      </x:c>
      <x:c r="H4" s="118"/>
      <x:c r="I4" s="118"/>
      <x:c r="J4" s="115"/>
      <x:c r="K4" s="95" t="str">
        <x:f>"Current read: "&amp;TEXT(Dashboard!A8,"$#,##0")&amp;" of validated EBITDA captured, representing "&amp;TEXT(Dashboard!D8,"0.0%")&amp;" of net target. Primary management focus should be at-risk systems, revenue synergy, and any workstream below validation threshold."</x:f>
        <x:v>Current read: $2,826,655 of validated EBITDA captured, representing 0.0% of net target. Primary management focus should be at-risk systems, revenue synergy, and any workstream below validation threshold.</x:v>
      </x:c>
      <x:c r="L4" s="95"/>
      <x:c r="M4" s="95"/>
      <x:c r="N4" s="95"/>
      <x:c r="O4" s="115"/>
      <x:c r="P4" s="115"/>
      <x:c r="Q4" s="115"/>
      <x:c r="R4" s="115"/>
      <x:c r="S4" s="115"/>
      <x:c r="T4" s="115"/>
      <x:c r="U4" s="115"/>
      <x:c r="V4" s="115"/>
      <x:c r="W4" s="115"/>
      <x:c r="X4" s="115"/>
      <x:c r="Y4" s="115"/>
      <x:c r="Z4" s="115"/>
    </x:row>
    <x:row r="5" ht="19.200000762939453" hidden="0" customHeight="1">
      <x:c r="A5" s="119" t="n">
        <x:f>SUM(Synergy_Tracker!I4:I23)</x:f>
        <x:v>12590000</x:v>
      </x:c>
      <x:c r="B5" s="118"/>
      <x:c r="C5" s="118"/>
      <x:c r="D5" s="119" t="n">
        <x:f>SUM(Synergy_Tracker!K4:K23)</x:f>
        <x:v>10158800</x:v>
      </x:c>
      <x:c r="E5" s="118"/>
      <x:c r="F5" s="118"/>
      <x:c r="G5" s="119" t="n">
        <x:f>SUM(Synergy_Tracker!Q4:Q23)</x:f>
        <x:v>3463810</x:v>
      </x:c>
      <x:c r="H5" s="118"/>
      <x:c r="I5" s="118"/>
      <x:c r="J5" s="115"/>
      <x:c r="K5" s="95"/>
      <x:c r="L5" s="95"/>
      <x:c r="M5" s="95"/>
      <x:c r="N5" s="95"/>
      <x:c r="O5" s="115"/>
      <x:c r="P5" s="115"/>
      <x:c r="Q5" s="115"/>
      <x:c r="R5" s="115"/>
      <x:c r="S5" s="115"/>
      <x:c r="T5" s="115"/>
      <x:c r="U5" s="115"/>
      <x:c r="V5" s="115"/>
      <x:c r="W5" s="115"/>
      <x:c r="X5" s="115"/>
      <x:c r="Y5" s="115"/>
      <x:c r="Z5" s="115"/>
    </x:row>
    <x:row r="6" ht="15" hidden="0" customHeight="1">
      <x:c r="A6" s="115"/>
      <x:c r="B6" s="115"/>
      <x:c r="C6" s="115"/>
      <x:c r="D6" s="115"/>
      <x:c r="E6" s="115"/>
      <x:c r="F6" s="115"/>
      <x:c r="G6" s="115"/>
      <x:c r="H6" s="115"/>
      <x:c r="I6" s="115"/>
      <x:c r="J6" s="115"/>
      <x:c r="K6" s="95"/>
      <x:c r="L6" s="95"/>
      <x:c r="M6" s="95"/>
      <x:c r="N6" s="95"/>
      <x:c r="O6" s="115"/>
      <x:c r="P6" s="115"/>
      <x:c r="Q6" s="115"/>
      <x:c r="R6" s="115"/>
      <x:c r="S6" s="115"/>
      <x:c r="T6" s="115"/>
      <x:c r="U6" s="115"/>
      <x:c r="V6" s="115"/>
      <x:c r="W6" s="115"/>
      <x:c r="X6" s="115"/>
      <x:c r="Y6" s="115"/>
      <x:c r="Z6" s="115"/>
    </x:row>
    <x:row r="7" ht="15" hidden="0" customHeight="1">
      <x:c r="A7" s="117" t="str">
        <x:v>Validated EBITDA</x:v>
      </x:c>
      <x:c r="B7" s="118"/>
      <x:c r="C7" s="118"/>
      <x:c r="D7" s="117" t="str">
        <x:v>Validation %</x:v>
      </x:c>
      <x:c r="E7" s="118"/>
      <x:c r="F7" s="118"/>
      <x:c r="G7" s="117" t="str">
        <x:v>EV Uplift</x:v>
      </x:c>
      <x:c r="H7" s="118"/>
      <x:c r="I7" s="118"/>
      <x:c r="J7" s="115"/>
      <x:c r="K7" s="95"/>
      <x:c r="L7" s="95"/>
      <x:c r="M7" s="95"/>
      <x:c r="N7" s="95"/>
      <x:c r="O7" s="115"/>
      <x:c r="P7" s="115"/>
      <x:c r="Q7" s="115"/>
      <x:c r="R7" s="115"/>
      <x:c r="S7" s="115"/>
      <x:c r="T7" s="115"/>
      <x:c r="U7" s="115"/>
      <x:c r="V7" s="115"/>
      <x:c r="W7" s="115"/>
      <x:c r="X7" s="115"/>
      <x:c r="Y7" s="115"/>
      <x:c r="Z7" s="115"/>
    </x:row>
    <x:row r="8" ht="19.200000762939453" hidden="0" customHeight="1">
      <x:c r="A8" s="119" t="n">
        <x:f>SUM(Synergy_Tracker!R4:R23)</x:f>
        <x:v>2826655</x:v>
      </x:c>
      <x:c r="B8" s="118"/>
      <x:c r="C8" s="118"/>
      <x:c r="D8" s="120" t="n">
        <x:f>IF(B7=0,0,B9/B7)</x:f>
        <x:v>0</x:v>
      </x:c>
      <x:c r="E8" s="118"/>
      <x:c r="F8" s="118"/>
      <x:c r="G8" s="119" t="n">
        <x:f>EBITDA_Bridge!B13</x:f>
        <x:v>32506532.5</x:v>
      </x:c>
      <x:c r="H8" s="118"/>
      <x:c r="I8" s="118"/>
      <x:c r="J8" s="115"/>
      <x:c r="K8" s="95"/>
      <x:c r="L8" s="95"/>
      <x:c r="M8" s="95"/>
      <x:c r="N8" s="95"/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</x:row>
    <x:row r="9" ht="15" hidden="0" customHeight="1">
      <x:c r="A9" s="115"/>
      <x:c r="B9" s="115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5"/>
      <x:c r="S9" s="115"/>
      <x:c r="T9" s="115"/>
      <x:c r="U9" s="115"/>
      <x:c r="V9" s="115"/>
      <x:c r="W9" s="115"/>
      <x:c r="X9" s="115"/>
      <x:c r="Y9" s="115"/>
      <x:c r="Z9" s="115"/>
    </x:row>
    <x:row r="10" ht="15" hidden="0" customHeight="1">
      <x:c r="A10" s="115"/>
      <x:c r="B10" s="115"/>
      <x:c r="C10" s="115"/>
      <x:c r="D10" s="115"/>
      <x:c r="E10" s="115"/>
      <x:c r="F10" s="115"/>
      <x:c r="G10" s="115"/>
      <x:c r="H10" s="115"/>
      <x:c r="I10" s="115"/>
      <x:c r="J10" s="115"/>
      <x:c r="K10" s="115"/>
      <x:c r="L10" s="115"/>
      <x:c r="M10" s="115"/>
      <x:c r="N10" s="115"/>
      <x:c r="O10" s="115"/>
      <x:c r="P10" s="115"/>
      <x:c r="Q10" s="115"/>
      <x:c r="R10" s="115"/>
      <x:c r="S10" s="115"/>
      <x:c r="T10" s="115"/>
      <x:c r="U10" s="115"/>
      <x:c r="V10" s="115"/>
      <x:c r="W10" s="115"/>
      <x:c r="X10" s="115"/>
      <x:c r="Y10" s="115"/>
      <x:c r="Z10" s="115"/>
    </x:row>
    <x:row r="11" ht="15" hidden="0" customHeight="1">
      <x:c r="A11" s="121" t="str">
        <x:v>Priority Integration Workstreams</x:v>
      </x:c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5"/>
      <x:c r="R11" s="115"/>
      <x:c r="S11" s="115"/>
      <x:c r="T11" s="115"/>
      <x:c r="U11" s="115"/>
      <x:c r="V11" s="115"/>
      <x:c r="W11" s="115"/>
      <x:c r="X11" s="115"/>
      <x:c r="Y11" s="115"/>
      <x:c r="Z11" s="115"/>
    </x:row>
    <x:row r="12" ht="15" hidden="0" customHeight="1">
      <x:c r="A12" s="122" t="str">
        <x:v>Workstream</x:v>
      </x:c>
      <x:c r="B12" s="122" t="str">
        <x:v>Initiatives</x:v>
      </x:c>
      <x:c r="C12" s="122" t="str">
        <x:v># At Risk</x:v>
      </x:c>
      <x:c r="D12" s="122" t="str">
        <x:v>Net Target ($)</x:v>
      </x:c>
      <x:c r="E12" s="122" t="str">
        <x:v>Run-Rate Captured ($)</x:v>
      </x:c>
      <x:c r="F12" s="122" t="str">
        <x:v>Validated EBITDA ($)</x:v>
      </x:c>
      <x:c r="G12" s="122" t="str">
        <x:v>Validation %</x:v>
      </x:c>
      <x:c r="H12" s="122" t="str">
        <x:v>Exit Value ($)</x:v>
      </x:c>
      <x:c r="I12" s="122" t="str">
        <x:v>Status</x:v>
      </x:c>
      <x:c r="J12" s="122" t="str">
        <x:v>Gap to Target ($)</x:v>
      </x:c>
      <x:c r="K12" s="122" t="str">
        <x:v>Management Action</x:v>
      </x:c>
      <x:c r="L12" s="115"/>
      <x:c r="M12" s="115"/>
      <x:c r="N12" s="115"/>
      <x:c r="O12" s="115"/>
      <x:c r="P12" s="115"/>
      <x:c r="Q12" s="115"/>
      <x:c r="R12" s="115"/>
      <x:c r="S12" s="115"/>
      <x:c r="T12" s="115"/>
      <x:c r="U12" s="115"/>
      <x:c r="V12" s="115"/>
      <x:c r="W12" s="115"/>
      <x:c r="X12" s="115"/>
      <x:c r="Y12" s="115"/>
      <x:c r="Z12" s="115"/>
    </x:row>
    <x:row r="13" ht="15" hidden="0" customHeight="1">
      <x:c r="A13" s="115" t="str">
        <x:f>Workstream_Detail!A4</x:f>
        <x:v>Procurement</x:v>
      </x:c>
      <x:c r="B13" s="115" t="n">
        <x:f>Workstream_Detail!B4</x:f>
        <x:v>3</x:v>
      </x:c>
      <x:c r="C13" s="115" t="n">
        <x:f>Workstream_Detail!D4</x:f>
        <x:v>0</x:v>
      </x:c>
      <x:c r="D13" s="123" t="n">
        <x:f>Workstream_Detail!F4</x:f>
        <x:v>2198000</x:v>
      </x:c>
      <x:c r="E13" s="123" t="n">
        <x:f>Workstream_Detail!G4</x:f>
        <x:v>622750</x:v>
      </x:c>
      <x:c r="F13" s="123" t="n">
        <x:f>Workstream_Detail!H4</x:f>
        <x:v>371862.5</x:v>
      </x:c>
      <x:c r="G13" s="124" t="n">
        <x:f>Workstream_Detail!I4</x:f>
        <x:v>0.1691822111010009</x:v>
      </x:c>
      <x:c r="H13" s="123" t="n">
        <x:f>Workstream_Detail!J4</x:f>
        <x:v>4276418.75</x:v>
      </x:c>
      <x:c r="I13" s="123" t="str">
        <x:f>Workstream_Detail!K4</x:f>
        <x:v>Behind</x:v>
      </x:c>
      <x:c r="J13" s="123" t="n">
        <x:f>D13-F13</x:f>
        <x:v>1826137.5</x:v>
      </x:c>
      <x:c r="K13" s="115" t="str">
        <x:f>IF(I13="Behind","Escalate owner and rebuild recovery plan",IF(C13&gt;0,"Resolve at-risk milestones",IF(G13&lt;Inputs!$B$16,"Improve evidence and validation","Maintain cadence")))</x:f>
        <x:v>Escalate owner and rebuild recovery plan</x:v>
      </x:c>
      <x:c r="L13" s="115"/>
      <x:c r="M13" s="115"/>
      <x:c r="N13" s="115"/>
      <x:c r="O13" s="115"/>
      <x:c r="P13" s="115"/>
      <x:c r="Q13" s="115"/>
      <x:c r="R13" s="115"/>
      <x:c r="S13" s="115"/>
      <x:c r="T13" s="115"/>
      <x:c r="U13" s="115"/>
      <x:c r="V13" s="115"/>
      <x:c r="W13" s="115"/>
      <x:c r="X13" s="115"/>
      <x:c r="Y13" s="115"/>
      <x:c r="Z13" s="115"/>
    </x:row>
    <x:row r="14" ht="15" hidden="0" customHeight="1">
      <x:c r="A14" s="115" t="str">
        <x:f>Workstream_Detail!A5</x:f>
        <x:v>Supply Chain / Logistics</x:v>
      </x:c>
      <x:c r="B14" s="115" t="n">
        <x:f>Workstream_Detail!B5</x:f>
        <x:v>2</x:v>
      </x:c>
      <x:c r="C14" s="115" t="n">
        <x:f>Workstream_Detail!D5</x:f>
        <x:v>1</x:v>
      </x:c>
      <x:c r="D14" s="123" t="n">
        <x:f>Workstream_Detail!F5</x:f>
        <x:v>1102800</x:v>
      </x:c>
      <x:c r="E14" s="123" t="n">
        <x:f>Workstream_Detail!G5</x:f>
        <x:v>444680</x:v>
      </x:c>
      <x:c r="F14" s="123" t="n">
        <x:f>Workstream_Detail!H5</x:f>
        <x:v>416470</x:v>
      </x:c>
      <x:c r="G14" s="124" t="n">
        <x:f>Workstream_Detail!I5</x:f>
        <x:v>0.37764780558578165</x:v>
      </x:c>
      <x:c r="H14" s="123" t="n">
        <x:f>Workstream_Detail!J5</x:f>
        <x:v>4789405</x:v>
      </x:c>
      <x:c r="I14" s="123" t="str">
        <x:f>Workstream_Detail!K5</x:f>
        <x:v>Behind</x:v>
      </x:c>
      <x:c r="J14" s="123" t="n">
        <x:f>D14-F14</x:f>
        <x:v>686330</x:v>
      </x:c>
      <x:c r="K14" s="115" t="str">
        <x:f>IF(I14="Behind","Escalate owner and rebuild recovery plan",IF(C14&gt;0,"Resolve at-risk milestones",IF(G14&lt;Inputs!$B$16,"Improve evidence and validation","Maintain cadence")))</x:f>
        <x:v>Escalate owner and rebuild recovery plan</x:v>
      </x:c>
      <x:c r="L14" s="115"/>
      <x:c r="M14" s="115"/>
      <x:c r="N14" s="115"/>
      <x:c r="O14" s="115"/>
      <x:c r="P14" s="115"/>
      <x:c r="Q14" s="115"/>
      <x:c r="R14" s="115"/>
      <x:c r="S14" s="115"/>
      <x:c r="T14" s="115"/>
      <x:c r="U14" s="115"/>
      <x:c r="V14" s="115"/>
      <x:c r="W14" s="115"/>
      <x:c r="X14" s="115"/>
      <x:c r="Y14" s="115"/>
      <x:c r="Z14" s="115"/>
    </x:row>
    <x:row r="15" ht="15" hidden="0" customHeight="1">
      <x:c r="A15" s="115" t="str">
        <x:f>Workstream_Detail!A6</x:f>
        <x:v>G&amp;A / SG&amp;A</x:v>
      </x:c>
      <x:c r="B15" s="115" t="n">
        <x:f>Workstream_Detail!B6</x:f>
        <x:v>4</x:v>
      </x:c>
      <x:c r="C15" s="115" t="n">
        <x:f>Workstream_Detail!D6</x:f>
        <x:v>0</x:v>
      </x:c>
      <x:c r="D15" s="123" t="n">
        <x:f>Workstream_Detail!F6</x:f>
        <x:v>1724000</x:v>
      </x:c>
      <x:c r="E15" s="123" t="n">
        <x:f>Workstream_Detail!G6</x:f>
        <x:v>1019700</x:v>
      </x:c>
      <x:c r="F15" s="123" t="n">
        <x:f>Workstream_Detail!H6</x:f>
        <x:v>940050</x:v>
      </x:c>
      <x:c r="G15" s="124" t="n">
        <x:f>Workstream_Detail!I6</x:f>
        <x:v>0.5452726218097448</x:v>
      </x:c>
      <x:c r="H15" s="123" t="n">
        <x:f>Workstream_Detail!J6</x:f>
        <x:v>10810575</x:v>
      </x:c>
      <x:c r="I15" s="123" t="str">
        <x:f>Workstream_Detail!K6</x:f>
        <x:v>Behind</x:v>
      </x:c>
      <x:c r="J15" s="123" t="n">
        <x:f>D15-F15</x:f>
        <x:v>783950</x:v>
      </x:c>
      <x:c r="K15" s="115" t="str">
        <x:f>IF(I15="Behind","Escalate owner and rebuild recovery plan",IF(C15&gt;0,"Resolve at-risk milestones",IF(G15&lt;Inputs!$B$16,"Improve evidence and validation","Maintain cadence")))</x:f>
        <x:v>Escalate owner and rebuild recovery plan</x:v>
      </x:c>
      <x:c r="L15" s="115"/>
      <x:c r="M15" s="115"/>
      <x:c r="N15" s="115"/>
      <x:c r="O15" s="115"/>
      <x:c r="P15" s="115"/>
      <x:c r="Q15" s="115"/>
      <x:c r="R15" s="115"/>
      <x:c r="S15" s="115"/>
      <x:c r="T15" s="115"/>
      <x:c r="U15" s="115"/>
      <x:c r="V15" s="115"/>
      <x:c r="W15" s="115"/>
      <x:c r="X15" s="115"/>
      <x:c r="Y15" s="115"/>
      <x:c r="Z15" s="115"/>
    </x:row>
    <x:row r="16" ht="15" hidden="0" customHeight="1">
      <x:c r="A16" s="115" t="str">
        <x:f>Workstream_Detail!A7</x:f>
        <x:v>Systems / IT</x:v>
      </x:c>
      <x:c r="B16" s="115" t="n">
        <x:f>Workstream_Detail!B7</x:f>
        <x:v>3</x:v>
      </x:c>
      <x:c r="C16" s="115" t="n">
        <x:f>Workstream_Detail!D7</x:f>
        <x:v>1</x:v>
      </x:c>
      <x:c r="D16" s="123" t="n">
        <x:f>Workstream_Detail!F7</x:f>
        <x:v>982500</x:v>
      </x:c>
      <x:c r="E16" s="123" t="n">
        <x:f>Workstream_Detail!G7</x:f>
        <x:v>328040</x:v>
      </x:c>
      <x:c r="F16" s="123" t="n">
        <x:f>Workstream_Detail!H7</x:f>
        <x:v>285192.5</x:v>
      </x:c>
      <x:c r="G16" s="124" t="n">
        <x:f>Workstream_Detail!I7</x:f>
        <x:v>0.2902722646310433</x:v>
      </x:c>
      <x:c r="H16" s="123" t="n">
        <x:f>Workstream_Detail!J7</x:f>
        <x:v>3279713.75</x:v>
      </x:c>
      <x:c r="I16" s="123" t="str">
        <x:f>Workstream_Detail!K7</x:f>
        <x:v>Behind</x:v>
      </x:c>
      <x:c r="J16" s="123" t="n">
        <x:f>D16-F16</x:f>
        <x:v>697307.5</x:v>
      </x:c>
      <x:c r="K16" s="115" t="str">
        <x:f>IF(I16="Behind","Escalate owner and rebuild recovery plan",IF(C16&gt;0,"Resolve at-risk milestones",IF(G16&lt;Inputs!$B$16,"Improve evidence and validation","Maintain cadence")))</x:f>
        <x:v>Escalate owner and rebuild recovery plan</x:v>
      </x:c>
      <x:c r="L16" s="115"/>
      <x:c r="M16" s="115"/>
      <x:c r="N16" s="115"/>
      <x:c r="O16" s="115"/>
      <x:c r="P16" s="115"/>
      <x:c r="Q16" s="115"/>
      <x:c r="R16" s="115"/>
      <x:c r="S16" s="115"/>
      <x:c r="T16" s="115"/>
      <x:c r="U16" s="115"/>
      <x:c r="V16" s="115"/>
      <x:c r="W16" s="115"/>
      <x:c r="X16" s="115"/>
      <x:c r="Y16" s="115"/>
      <x:c r="Z16" s="115"/>
    </x:row>
    <x:row r="17" ht="15" hidden="0" customHeight="1">
      <x:c r="A17" s="115" t="str">
        <x:f>Workstream_Detail!A8</x:f>
        <x:v>Facilities / Footprint</x:v>
      </x:c>
      <x:c r="B17" s="115" t="n">
        <x:f>Workstream_Detail!B8</x:f>
        <x:v>2</x:v>
      </x:c>
      <x:c r="C17" s="115" t="n">
        <x:f>Workstream_Detail!D8</x:f>
        <x:v>0</x:v>
      </x:c>
      <x:c r="D17" s="123" t="n">
        <x:f>Workstream_Detail!F8</x:f>
        <x:v>746000</x:v>
      </x:c>
      <x:c r="E17" s="123" t="n">
        <x:f>Workstream_Detail!G8</x:f>
        <x:v>20800</x:v>
      </x:c>
      <x:c r="F17" s="123" t="n">
        <x:f>Workstream_Detail!H8</x:f>
        <x:v>7279.999999999999</x:v>
      </x:c>
      <x:c r="G17" s="124" t="n">
        <x:f>Workstream_Detail!I8</x:f>
        <x:v>0.009758713136729222</x:v>
      </x:c>
      <x:c r="H17" s="123" t="n">
        <x:f>Workstream_Detail!J8</x:f>
        <x:v>83719.99999999999</x:v>
      </x:c>
      <x:c r="I17" s="123" t="str">
        <x:f>Workstream_Detail!K8</x:f>
        <x:v>Behind</x:v>
      </x:c>
      <x:c r="J17" s="123" t="n">
        <x:f>D17-F17</x:f>
        <x:v>738720</x:v>
      </x:c>
      <x:c r="K17" s="115" t="str">
        <x:f>IF(I17="Behind","Escalate owner and rebuild recovery plan",IF(C17&gt;0,"Resolve at-risk milestones",IF(G17&lt;Inputs!$B$16,"Improve evidence and validation","Maintain cadence")))</x:f>
        <x:v>Escalate owner and rebuild recovery plan</x:v>
      </x:c>
      <x:c r="L17" s="115"/>
      <x:c r="M17" s="115"/>
      <x:c r="N17" s="115"/>
      <x:c r="O17" s="115"/>
      <x:c r="P17" s="115"/>
      <x:c r="Q17" s="115"/>
      <x:c r="R17" s="115"/>
      <x:c r="S17" s="115"/>
      <x:c r="T17" s="115"/>
      <x:c r="U17" s="115"/>
      <x:c r="V17" s="115"/>
      <x:c r="W17" s="115"/>
      <x:c r="X17" s="115"/>
      <x:c r="Y17" s="115"/>
      <x:c r="Z17" s="115"/>
    </x:row>
    <x:row r="18" ht="15" hidden="0" customHeight="1">
      <x:c r="A18" s="115" t="str">
        <x:f>Workstream_Detail!A9</x:f>
        <x:v>Finance / Back Office</x:v>
      </x:c>
      <x:c r="B18" s="115" t="n">
        <x:f>Workstream_Detail!B9</x:f>
        <x:v>2</x:v>
      </x:c>
      <x:c r="C18" s="115" t="n">
        <x:f>Workstream_Detail!D9</x:f>
        <x:v>0</x:v>
      </x:c>
      <x:c r="D18" s="123" t="n">
        <x:f>Workstream_Detail!F9</x:f>
        <x:v>691400</x:v>
      </x:c>
      <x:c r="E18" s="123" t="n">
        <x:f>Workstream_Detail!G9</x:f>
        <x:v>207680</x:v>
      </x:c>
      <x:c r="F18" s="123" t="n">
        <x:f>Workstream_Detail!H9</x:f>
        <x:v>155760</x:v>
      </x:c>
      <x:c r="G18" s="124" t="n">
        <x:f>Workstream_Detail!I9</x:f>
        <x:v>0.2252820364477871</x:v>
      </x:c>
      <x:c r="H18" s="123" t="n">
        <x:f>Workstream_Detail!J9</x:f>
        <x:v>1791240</x:v>
      </x:c>
      <x:c r="I18" s="123" t="str">
        <x:f>Workstream_Detail!K9</x:f>
        <x:v>Behind</x:v>
      </x:c>
      <x:c r="J18" s="123" t="n">
        <x:f>D18-F18</x:f>
        <x:v>535640</x:v>
      </x:c>
      <x:c r="K18" s="115" t="str">
        <x:f>IF(I18="Behind","Escalate owner and rebuild recovery plan",IF(C18&gt;0,"Resolve at-risk milestones",IF(G18&lt;Inputs!$B$16,"Improve evidence and validation","Maintain cadence")))</x:f>
        <x:v>Escalate owner and rebuild recovery plan</x:v>
      </x:c>
      <x:c r="L18" s="115"/>
      <x:c r="M18" s="115"/>
      <x:c r="N18" s="115"/>
      <x:c r="O18" s="115"/>
      <x:c r="P18" s="115"/>
      <x:c r="Q18" s="115"/>
      <x:c r="R18" s="115"/>
      <x:c r="S18" s="115"/>
      <x:c r="T18" s="115"/>
      <x:c r="U18" s="115"/>
      <x:c r="V18" s="115"/>
      <x:c r="W18" s="115"/>
      <x:c r="X18" s="115"/>
      <x:c r="Y18" s="115"/>
      <x:c r="Z18" s="115"/>
    </x:row>
    <x:row r="19" ht="15" hidden="0" customHeight="1">
      <x:c r="A19" s="115" t="str">
        <x:f>Workstream_Detail!A10</x:f>
        <x:v>Revenue / Cross-sell</x:v>
      </x:c>
      <x:c r="B19" s="115" t="n">
        <x:f>Workstream_Detail!B10</x:f>
        <x:v>2</x:v>
      </x:c>
      <x:c r="C19" s="115" t="n">
        <x:f>Workstream_Detail!D10</x:f>
        <x:v>0</x:v>
      </x:c>
      <x:c r="D19" s="123" t="n">
        <x:f>Workstream_Detail!F10</x:f>
        <x:v>1677500</x:v>
      </x:c>
      <x:c r="E19" s="123" t="n">
        <x:f>Workstream_Detail!G10</x:f>
        <x:v>147300</x:v>
      </x:c>
      <x:c r="F19" s="123" t="n">
        <x:f>Workstream_Detail!H10</x:f>
        <x:v>51555</x:v>
      </x:c>
      <x:c r="G19" s="124" t="n">
        <x:f>Workstream_Detail!I10</x:f>
        <x:v>0.03073323397913562</x:v>
      </x:c>
      <x:c r="H19" s="123" t="n">
        <x:f>Workstream_Detail!J10</x:f>
        <x:v>592882.5</x:v>
      </x:c>
      <x:c r="I19" s="123" t="str">
        <x:f>Workstream_Detail!K10</x:f>
        <x:v>Behind</x:v>
      </x:c>
      <x:c r="J19" s="123" t="n">
        <x:f>D19-F19</x:f>
        <x:v>1625945</x:v>
      </x:c>
      <x:c r="K19" s="115" t="str">
        <x:f>IF(I19="Behind","Escalate owner and rebuild recovery plan",IF(C19&gt;0,"Resolve at-risk milestones",IF(G19&lt;Inputs!$B$16,"Improve evidence and validation","Maintain cadence")))</x:f>
        <x:v>Escalate owner and rebuild recovery plan</x:v>
      </x:c>
      <x:c r="L19" s="115"/>
      <x:c r="M19" s="115"/>
      <x:c r="N19" s="115"/>
      <x:c r="O19" s="115"/>
      <x:c r="P19" s="115"/>
      <x:c r="Q19" s="115"/>
      <x:c r="R19" s="115"/>
      <x:c r="S19" s="115"/>
      <x:c r="T19" s="115"/>
      <x:c r="U19" s="115"/>
      <x:c r="V19" s="115"/>
      <x:c r="W19" s="115"/>
      <x:c r="X19" s="115"/>
      <x:c r="Y19" s="115"/>
      <x:c r="Z19" s="115"/>
    </x:row>
    <x:row r="20" ht="15" hidden="0" customHeight="1">
      <x:c r="A20" s="115" t="str">
        <x:f>Workstream_Detail!A11</x:f>
        <x:v>Revenue Leakage</x:v>
      </x:c>
      <x:c r="B20" s="115" t="n">
        <x:f>Workstream_Detail!B11</x:f>
        <x:v>2</x:v>
      </x:c>
      <x:c r="C20" s="115" t="n">
        <x:f>Workstream_Detail!D11</x:f>
        <x:v>0</x:v>
      </x:c>
      <x:c r="D20" s="123" t="n">
        <x:f>Workstream_Detail!F11</x:f>
        <x:v>1036600</x:v>
      </x:c>
      <x:c r="E20" s="123" t="n">
        <x:f>Workstream_Detail!G11</x:f>
        <x:v>672860</x:v>
      </x:c>
      <x:c r="F20" s="123" t="n">
        <x:f>Workstream_Detail!H11</x:f>
        <x:v>598485</x:v>
      </x:c>
      <x:c r="G20" s="124" t="n">
        <x:f>Workstream_Detail!I11</x:f>
        <x:v>0.5773538491221301</x:v>
      </x:c>
      <x:c r="H20" s="123" t="n">
        <x:f>Workstream_Detail!J11</x:f>
        <x:v>6882577.5</x:v>
      </x:c>
      <x:c r="I20" s="123" t="str">
        <x:f>Workstream_Detail!K11</x:f>
        <x:v>Watch</x:v>
      </x:c>
      <x:c r="J20" s="123" t="n">
        <x:f>D20-F20</x:f>
        <x:v>438115</x:v>
      </x:c>
      <x:c r="K20" s="115" t="str">
        <x:f>IF(I20="Behind","Escalate owner and rebuild recovery plan",IF(C20&gt;0,"Resolve at-risk milestones",IF(G20&lt;Inputs!$B$16,"Improve evidence and validation","Maintain cadence")))</x:f>
        <x:v>Improve evidence and validation</x:v>
      </x:c>
      <x:c r="L20" s="115"/>
      <x:c r="M20" s="115"/>
      <x:c r="N20" s="115"/>
      <x:c r="O20" s="115"/>
      <x:c r="P20" s="115"/>
      <x:c r="Q20" s="115"/>
      <x:c r="R20" s="115"/>
      <x:c r="S20" s="115"/>
      <x:c r="T20" s="115"/>
      <x:c r="U20" s="115"/>
      <x:c r="V20" s="115"/>
      <x:c r="W20" s="115"/>
      <x:c r="X20" s="115"/>
      <x:c r="Y20" s="115"/>
      <x:c r="Z20" s="115"/>
    </x:row>
    <x:row r="21" ht="15" hidden="0" customHeight="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  <x:c r="S21" s="115"/>
      <x:c r="T21" s="115"/>
      <x:c r="U21" s="115"/>
      <x:c r="V21" s="115"/>
      <x:c r="W21" s="115"/>
      <x:c r="X21" s="115"/>
      <x:c r="Y21" s="115"/>
      <x:c r="Z21" s="115"/>
    </x:row>
    <x:row r="22" ht="15" hidden="0" customHeight="1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  <x:c r="S22" s="115"/>
      <x:c r="T22" s="115"/>
      <x:c r="U22" s="115"/>
      <x:c r="V22" s="115"/>
      <x:c r="W22" s="115"/>
      <x:c r="X22" s="115"/>
      <x:c r="Y22" s="115"/>
      <x:c r="Z22" s="115"/>
    </x:row>
    <x:row r="23" ht="15" hidden="0" customHeight="1">
      <x:c r="A23" s="121" t="str">
        <x:v>Top 10 Initiatives by Net Target</x:v>
      </x:c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  <x:c r="S23" s="115"/>
      <x:c r="T23" s="115"/>
      <x:c r="U23" s="115"/>
      <x:c r="V23" s="115"/>
      <x:c r="W23" s="115"/>
      <x:c r="X23" s="115"/>
      <x:c r="Y23" s="115"/>
      <x:c r="Z23" s="115"/>
    </x:row>
    <x:row r="24" ht="15" hidden="0" customHeight="1">
      <x:c r="A24" s="122" t="str">
        <x:v>ID</x:v>
      </x:c>
      <x:c r="B24" s="122" t="str">
        <x:v>Workstream</x:v>
      </x:c>
      <x:c r="C24" s="122" t="str">
        <x:v>Initiative</x:v>
      </x:c>
      <x:c r="D24" s="122" t="str">
        <x:v>Status</x:v>
      </x:c>
      <x:c r="E24" s="122" t="str">
        <x:v>Priority</x:v>
      </x:c>
      <x:c r="F24" s="122" t="str">
        <x:v>Net Target ($)</x:v>
      </x:c>
      <x:c r="G24" s="122" t="str">
        <x:v>Validated EBITDA ($)</x:v>
      </x:c>
      <x:c r="H24" s="122" t="str">
        <x:v>Evidence Quality</x:v>
      </x:c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  <x:c r="S24" s="115"/>
      <x:c r="T24" s="115"/>
      <x:c r="U24" s="115"/>
      <x:c r="V24" s="115"/>
      <x:c r="W24" s="115"/>
      <x:c r="X24" s="115"/>
      <x:c r="Y24" s="115"/>
      <x:c r="Z24" s="115"/>
    </x:row>
    <x:row r="25" ht="15" hidden="0" customHeight="1">
      <x:c r="A25" s="115" t="str">
        <x:f>Synergy_Tracker!A4</x:f>
        <x:v>SYN-001</x:v>
      </x:c>
      <x:c r="B25" s="115" t="str">
        <x:f>Synergy_Tracker!B4</x:f>
        <x:v>Procurement</x:v>
      </x:c>
      <x:c r="C25" s="115" t="str">
        <x:f>Synergy_Tracker!C4</x:f>
        <x:v>Consolidate packaging vendors</x:v>
      </x:c>
      <x:c r="D25" s="115" t="str">
        <x:f>Synergy_Tracker!E4</x:f>
        <x:v>In Progress</x:v>
      </x:c>
      <x:c r="E25" s="115" t="str">
        <x:f>Synergy_Tracker!F4</x:f>
        <x:v>High</x:v>
      </x:c>
      <x:c r="F25" s="123" t="n">
        <x:f>Synergy_Tracker!K4</x:f>
        <x:v>855000</x:v>
      </x:c>
      <x:c r="G25" s="123" t="n">
        <x:f>Synergy_Tracker!R4</x:f>
        <x:v>288562.5</x:v>
      </x:c>
      <x:c r="H25" s="115" t="str">
        <x:f>Synergy_Tracker!S4</x:f>
        <x:v>Medium</x:v>
      </x:c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  <x:c r="S25" s="115"/>
      <x:c r="T25" s="115"/>
      <x:c r="U25" s="115"/>
      <x:c r="V25" s="115"/>
      <x:c r="W25" s="115"/>
      <x:c r="X25" s="115"/>
      <x:c r="Y25" s="115"/>
      <x:c r="Z25" s="115"/>
    </x:row>
    <x:row r="26" ht="15" hidden="0" customHeight="1">
      <x:c r="A26" s="115" t="str">
        <x:f>Synergy_Tracker!A5</x:f>
        <x:v>SYN-002</x:v>
      </x:c>
      <x:c r="B26" s="115" t="str">
        <x:f>Synergy_Tracker!B5</x:f>
        <x:v>Procurement</x:v>
      </x:c>
      <x:c r="C26" s="115" t="str">
        <x:f>Synergy_Tracker!C5</x:f>
        <x:v>Renegotiate raw material contracts</x:v>
      </x:c>
      <x:c r="D26" s="115" t="str">
        <x:f>Synergy_Tracker!E5</x:f>
        <x:v>Not Started</x:v>
      </x:c>
      <x:c r="E26" s="115" t="str">
        <x:f>Synergy_Tracker!F5</x:f>
        <x:v>High</x:v>
      </x:c>
      <x:c r="F26" s="123" t="n">
        <x:f>Synergy_Tracker!K5</x:f>
        <x:v>1190000</x:v>
      </x:c>
      <x:c r="G26" s="123" t="n">
        <x:f>Synergy_Tracker!R5</x:f>
        <x:v>83300</x:v>
      </x:c>
      <x:c r="H26" s="115" t="str">
        <x:f>Synergy_Tracker!S5</x:f>
        <x:v>Low</x:v>
      </x:c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  <x:c r="S26" s="115"/>
      <x:c r="T26" s="115"/>
      <x:c r="U26" s="115"/>
      <x:c r="V26" s="115"/>
      <x:c r="W26" s="115"/>
      <x:c r="X26" s="115"/>
      <x:c r="Y26" s="115"/>
      <x:c r="Z26" s="115"/>
    </x:row>
    <x:row r="27" ht="15" hidden="0" customHeight="1">
      <x:c r="A27" s="115" t="str">
        <x:f>Synergy_Tracker!A6</x:f>
        <x:v>SYN-003</x:v>
      </x:c>
      <x:c r="B27" s="115" t="str">
        <x:f>Synergy_Tracker!B6</x:f>
        <x:v>Supply Chain / Logistics</x:v>
      </x:c>
      <x:c r="C27" s="115" t="str">
        <x:f>Synergy_Tracker!C6</x:f>
        <x:v>Move freight to platform carrier rates</x:v>
      </x:c>
      <x:c r="D27" s="115" t="str">
        <x:f>Synergy_Tracker!E6</x:f>
        <x:v>In Progress</x:v>
      </x:c>
      <x:c r="E27" s="115" t="str">
        <x:f>Synergy_Tracker!F6</x:f>
        <x:v>High</x:v>
      </x:c>
      <x:c r="F27" s="123" t="n">
        <x:f>Synergy_Tracker!K6</x:f>
        <x:v>668800</x:v>
      </x:c>
      <x:c r="G27" s="123" t="n">
        <x:f>Synergy_Tracker!R6</x:f>
        <x:v>401280</x:v>
      </x:c>
      <x:c r="H27" s="115" t="str">
        <x:f>Synergy_Tracker!S6</x:f>
        <x:v>High</x:v>
      </x:c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  <x:c r="S27" s="115"/>
      <x:c r="T27" s="115"/>
      <x:c r="U27" s="115"/>
      <x:c r="V27" s="115"/>
      <x:c r="W27" s="115"/>
      <x:c r="X27" s="115"/>
      <x:c r="Y27" s="115"/>
      <x:c r="Z27" s="115"/>
    </x:row>
    <x:row r="28" ht="15" hidden="0" customHeight="1">
      <x:c r="A28" s="115" t="str">
        <x:f>Synergy_Tracker!A7</x:f>
        <x:v>SYN-004</x:v>
      </x:c>
      <x:c r="B28" s="115" t="str">
        <x:f>Synergy_Tracker!B7</x:f>
        <x:v>G&amp;A / SG&amp;A</x:v>
      </x:c>
      <x:c r="C28" s="115" t="str">
        <x:f>Synergy_Tracker!C7</x:f>
        <x:v>Eliminate duplicate accounting roles</x:v>
      </x:c>
      <x:c r="D28" s="115" t="str">
        <x:f>Synergy_Tracker!E7</x:f>
        <x:v>Complete</x:v>
      </x:c>
      <x:c r="E28" s="115" t="str">
        <x:f>Synergy_Tracker!F7</x:f>
        <x:v>High</x:v>
      </x:c>
      <x:c r="F28" s="123" t="n">
        <x:f>Synergy_Tracker!K7</x:f>
        <x:v>779000</x:v>
      </x:c>
      <x:c r="G28" s="123" t="n">
        <x:f>Synergy_Tracker!R7</x:f>
        <x:v>701100</x:v>
      </x:c>
      <x:c r="H28" s="115" t="str">
        <x:f>Synergy_Tracker!S7</x:f>
        <x:v>High</x:v>
      </x:c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  <x:c r="S28" s="115"/>
      <x:c r="T28" s="115"/>
      <x:c r="U28" s="115"/>
      <x:c r="V28" s="115"/>
      <x:c r="W28" s="115"/>
      <x:c r="X28" s="115"/>
      <x:c r="Y28" s="115"/>
      <x:c r="Z28" s="115"/>
    </x:row>
    <x:row r="29" ht="15" hidden="0" customHeight="1">
      <x:c r="A29" s="115" t="str">
        <x:f>Synergy_Tracker!A8</x:f>
        <x:v>SYN-005</x:v>
      </x:c>
      <x:c r="B29" s="115" t="str">
        <x:f>Synergy_Tracker!B8</x:f>
        <x:v>G&amp;A / SG&amp;A</x:v>
      </x:c>
      <x:c r="C29" s="115" t="str">
        <x:f>Synergy_Tracker!C8</x:f>
        <x:v>Consolidate HR and payroll admin</x:v>
      </x:c>
      <x:c r="D29" s="115" t="str">
        <x:f>Synergy_Tracker!E8</x:f>
        <x:v>In Progress</x:v>
      </x:c>
      <x:c r="E29" s="115" t="str">
        <x:f>Synergy_Tracker!F8</x:f>
        <x:v>Medium</x:v>
      </x:c>
      <x:c r="F29" s="123" t="n">
        <x:f>Synergy_Tracker!K8</x:f>
        <x:v>387000</x:v>
      </x:c>
      <x:c r="G29" s="123" t="n">
        <x:f>Synergy_Tracker!R8</x:f>
        <x:v>101587.5</x:v>
      </x:c>
      <x:c r="H29" s="115" t="str">
        <x:f>Synergy_Tracker!S8</x:f>
        <x:v>Medium</x:v>
      </x:c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  <x:c r="S29" s="115"/>
      <x:c r="T29" s="115"/>
      <x:c r="U29" s="115"/>
      <x:c r="V29" s="115"/>
      <x:c r="W29" s="115"/>
      <x:c r="X29" s="115"/>
      <x:c r="Y29" s="115"/>
      <x:c r="Z29" s="115"/>
    </x:row>
    <x:row r="30" ht="15" hidden="0" customHeight="1">
      <x:c r="A30" s="115" t="str">
        <x:f>Synergy_Tracker!A9</x:f>
        <x:v>SYN-006</x:v>
      </x:c>
      <x:c r="B30" s="115" t="str">
        <x:f>Synergy_Tracker!B9</x:f>
        <x:v>Systems / IT</x:v>
      </x:c>
      <x:c r="C30" s="115" t="str">
        <x:f>Synergy_Tracker!C9</x:f>
        <x:v>Decommission target ERP licenses</x:v>
      </x:c>
      <x:c r="D30" s="115" t="str">
        <x:f>Synergy_Tracker!E9</x:f>
        <x:v>At Risk</x:v>
      </x:c>
      <x:c r="E30" s="115" t="str">
        <x:f>Synergy_Tracker!F9</x:f>
        <x:v>High</x:v>
      </x:c>
      <x:c r="F30" s="123" t="n">
        <x:f>Synergy_Tracker!K9</x:f>
        <x:v>487500</x:v>
      </x:c>
      <x:c r="G30" s="123" t="n">
        <x:f>Synergy_Tracker!R9</x:f>
        <x:v>17062.5</x:v>
      </x:c>
      <x:c r="H30" s="115" t="str">
        <x:f>Synergy_Tracker!S9</x:f>
        <x:v>Low</x:v>
      </x:c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  <x:c r="S30" s="115"/>
      <x:c r="T30" s="115"/>
      <x:c r="U30" s="115"/>
      <x:c r="V30" s="115"/>
      <x:c r="W30" s="115"/>
      <x:c r="X30" s="115"/>
      <x:c r="Y30" s="115"/>
      <x:c r="Z30" s="115"/>
    </x:row>
    <x:row r="31" ht="15" hidden="0" customHeight="1">
      <x:c r="A31" s="115" t="str">
        <x:f>Synergy_Tracker!A10</x:f>
        <x:v>SYN-007</x:v>
      </x:c>
      <x:c r="B31" s="115" t="str">
        <x:f>Synergy_Tracker!B10</x:f>
        <x:v>Systems / IT</x:v>
      </x:c>
      <x:c r="C31" s="115" t="str">
        <x:f>Synergy_Tracker!C10</x:f>
        <x:v>Consolidate CRM and marketing tools</x:v>
      </x:c>
      <x:c r="D31" s="115" t="str">
        <x:f>Synergy_Tracker!E10</x:f>
        <x:v>In Progress</x:v>
      </x:c>
      <x:c r="E31" s="115" t="str">
        <x:f>Synergy_Tracker!F10</x:f>
        <x:v>Medium</x:v>
      </x:c>
      <x:c r="F31" s="123" t="n">
        <x:f>Synergy_Tracker!K10</x:f>
        <x:v>248000</x:v>
      </x:c>
      <x:c r="G31" s="123" t="n">
        <x:f>Synergy_Tracker!R10</x:f>
        <x:v>33480</x:v>
      </x:c>
      <x:c r="H31" s="115" t="str">
        <x:f>Synergy_Tracker!S10</x:f>
        <x:v>Medium</x:v>
      </x:c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  <x:c r="S31" s="115"/>
      <x:c r="T31" s="115"/>
      <x:c r="U31" s="115"/>
      <x:c r="V31" s="115"/>
      <x:c r="W31" s="115"/>
      <x:c r="X31" s="115"/>
      <x:c r="Y31" s="115"/>
      <x:c r="Z31" s="115"/>
    </x:row>
    <x:row r="32" ht="15" hidden="0" customHeight="1">
      <x:c r="A32" s="115" t="str">
        <x:f>Synergy_Tracker!A11</x:f>
        <x:v>SYN-008</x:v>
      </x:c>
      <x:c r="B32" s="115" t="str">
        <x:f>Synergy_Tracker!B11</x:f>
        <x:v>Facilities / Footprint</x:v>
      </x:c>
      <x:c r="C32" s="115" t="str">
        <x:f>Synergy_Tracker!C11</x:f>
        <x:v>Close duplicate regional office</x:v>
      </x:c>
      <x:c r="D32" s="115" t="str">
        <x:f>Synergy_Tracker!E11</x:f>
        <x:v>Not Started</x:v>
      </x:c>
      <x:c r="E32" s="115" t="str">
        <x:f>Synergy_Tracker!F11</x:f>
        <x:v>Medium</x:v>
      </x:c>
      <x:c r="F32" s="123" t="n">
        <x:f>Synergy_Tracker!K11</x:f>
        <x:v>416000</x:v>
      </x:c>
      <x:c r="G32" s="123" t="n">
        <x:f>Synergy_Tracker!R11</x:f>
        <x:v>7279.999999999999</x:v>
      </x:c>
      <x:c r="H32" s="115" t="str">
        <x:f>Synergy_Tracker!S11</x:f>
        <x:v>Low</x:v>
      </x:c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  <x:c r="S32" s="115"/>
      <x:c r="T32" s="115"/>
      <x:c r="U32" s="115"/>
      <x:c r="V32" s="115"/>
      <x:c r="W32" s="115"/>
      <x:c r="X32" s="115"/>
      <x:c r="Y32" s="115"/>
      <x:c r="Z32" s="115"/>
    </x:row>
    <x:row r="33" ht="15" hidden="0" customHeight="1">
      <x:c r="A33" s="115" t="str">
        <x:f>Synergy_Tracker!A12</x:f>
        <x:v>SYN-009</x:v>
      </x:c>
      <x:c r="B33" s="115" t="str">
        <x:f>Synergy_Tracker!B12</x:f>
        <x:v>Finance / Back Office</x:v>
      </x:c>
      <x:c r="C33" s="115" t="str">
        <x:f>Synergy_Tracker!C12</x:f>
        <x:v>Move AP to platform shared service</x:v>
      </x:c>
      <x:c r="D33" s="115" t="str">
        <x:f>Synergy_Tracker!E12</x:f>
        <x:v>In Progress</x:v>
      </x:c>
      <x:c r="E33" s="115" t="str">
        <x:f>Synergy_Tracker!F12</x:f>
        <x:v>High</x:v>
      </x:c>
      <x:c r="F33" s="123" t="n">
        <x:f>Synergy_Tracker!K12</x:f>
        <x:v>519200</x:v>
      </x:c>
      <x:c r="G33" s="123" t="n">
        <x:f>Synergy_Tracker!R12</x:f>
        <x:v>155760</x:v>
      </x:c>
      <x:c r="H33" s="115" t="str">
        <x:f>Synergy_Tracker!S12</x:f>
        <x:v>Medium</x:v>
      </x:c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  <x:c r="S33" s="115"/>
      <x:c r="T33" s="115"/>
      <x:c r="U33" s="115"/>
      <x:c r="V33" s="115"/>
      <x:c r="W33" s="115"/>
      <x:c r="X33" s="115"/>
      <x:c r="Y33" s="115"/>
      <x:c r="Z33" s="115"/>
    </x:row>
    <x:row r="34" ht="15" hidden="0" customHeight="1">
      <x:c r="A34" s="115" t="str">
        <x:f>Synergy_Tracker!A13</x:f>
        <x:v>SYN-010</x:v>
      </x:c>
      <x:c r="B34" s="115" t="str">
        <x:f>Synergy_Tracker!B13</x:f>
        <x:v>Revenue / Cross-sell</x:v>
      </x:c>
      <x:c r="C34" s="115" t="str">
        <x:f>Synergy_Tracker!C13</x:f>
        <x:v>Cross-sell target product into platform top accounts</x:v>
      </x:c>
      <x:c r="D34" s="115" t="str">
        <x:f>Synergy_Tracker!E13</x:f>
        <x:v>In Progress</x:v>
      </x:c>
      <x:c r="E34" s="115" t="str">
        <x:f>Synergy_Tracker!F13</x:f>
        <x:v>High</x:v>
      </x:c>
      <x:c r="F34" s="123" t="n">
        <x:f>Synergy_Tracker!K13</x:f>
        <x:v>1137500</x:v>
      </x:c>
      <x:c r="G34" s="123" t="n">
        <x:f>Synergy_Tracker!R13</x:f>
        <x:v>47775</x:v>
      </x:c>
      <x:c r="H34" s="115" t="str">
        <x:f>Synergy_Tracker!S13</x:f>
        <x:v>Low</x:v>
      </x:c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  <x:c r="S34" s="115"/>
      <x:c r="T34" s="115"/>
      <x:c r="U34" s="115"/>
      <x:c r="V34" s="115"/>
      <x:c r="W34" s="115"/>
      <x:c r="X34" s="115"/>
      <x:c r="Y34" s="115"/>
      <x:c r="Z34" s="115"/>
    </x:row>
    <x:row r="35" ht="15" hidden="0" customHeight="1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  <x:c r="S35" s="115"/>
      <x:c r="T35" s="115"/>
      <x:c r="U35" s="115"/>
      <x:c r="V35" s="115"/>
      <x:c r="W35" s="115"/>
      <x:c r="X35" s="115"/>
      <x:c r="Y35" s="115"/>
      <x:c r="Z35" s="115"/>
    </x:row>
    <x:row r="36" ht="15" hidden="0" customHeight="1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  <x:c r="S36" s="115"/>
      <x:c r="T36" s="115"/>
      <x:c r="U36" s="115"/>
      <x:c r="V36" s="115"/>
      <x:c r="W36" s="115"/>
      <x:c r="X36" s="115"/>
      <x:c r="Y36" s="115"/>
      <x:c r="Z36" s="115"/>
    </x:row>
    <x:row r="37" ht="15" hidden="0" customHeight="1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  <x:c r="S37" s="115"/>
      <x:c r="T37" s="115"/>
      <x:c r="U37" s="115"/>
      <x:c r="V37" s="115"/>
      <x:c r="W37" s="115"/>
      <x:c r="X37" s="115"/>
      <x:c r="Y37" s="115"/>
      <x:c r="Z37" s="115"/>
    </x:row>
    <x:row r="38" ht="15" hidden="0" customHeight="1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  <x:c r="S38" s="115"/>
      <x:c r="T38" s="115"/>
      <x:c r="U38" s="115"/>
      <x:c r="V38" s="115"/>
      <x:c r="W38" s="115"/>
      <x:c r="X38" s="115"/>
      <x:c r="Y38" s="115"/>
      <x:c r="Z38" s="115"/>
    </x:row>
    <x:row r="39" ht="15" hidden="0" customHeight="1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  <x:c r="S39" s="115"/>
      <x:c r="T39" s="115"/>
      <x:c r="U39" s="115"/>
      <x:c r="V39" s="115"/>
      <x:c r="W39" s="115"/>
      <x:c r="X39" s="115"/>
      <x:c r="Y39" s="115"/>
      <x:c r="Z39" s="115"/>
    </x:row>
    <x:row r="40" ht="15" hidden="0" customHeight="1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  <x:c r="S40" s="115"/>
      <x:c r="T40" s="115"/>
      <x:c r="U40" s="115"/>
      <x:c r="V40" s="115"/>
      <x:c r="W40" s="115"/>
      <x:c r="X40" s="115"/>
      <x:c r="Y40" s="115"/>
      <x:c r="Z40" s="115"/>
    </x:row>
    <x:row r="41" ht="15" hidden="0" customHeight="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  <x:c r="S41" s="115"/>
      <x:c r="T41" s="115"/>
      <x:c r="U41" s="115"/>
      <x:c r="V41" s="115"/>
      <x:c r="W41" s="115"/>
      <x:c r="X41" s="115"/>
      <x:c r="Y41" s="115"/>
      <x:c r="Z41" s="115"/>
    </x:row>
    <x:row r="42" ht="15" hidden="0" customHeight="1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5"/>
      <x:c r="U42" s="115"/>
      <x:c r="V42" s="115"/>
      <x:c r="W42" s="115"/>
      <x:c r="X42" s="115"/>
      <x:c r="Y42" s="115"/>
      <x:c r="Z42" s="115"/>
    </x:row>
    <x:row r="43" ht="15" hidden="0" customHeight="1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  <x:c r="S43" s="115"/>
      <x:c r="T43" s="115"/>
      <x:c r="U43" s="115"/>
      <x:c r="V43" s="115"/>
      <x:c r="W43" s="115"/>
      <x:c r="X43" s="115"/>
      <x:c r="Y43" s="115"/>
      <x:c r="Z43" s="115"/>
    </x:row>
    <x:row r="44" ht="15" hidden="0" customHeight="1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  <x:c r="S44" s="115"/>
      <x:c r="T44" s="115"/>
      <x:c r="U44" s="115"/>
      <x:c r="V44" s="115"/>
      <x:c r="W44" s="115"/>
      <x:c r="X44" s="115"/>
      <x:c r="Y44" s="115"/>
      <x:c r="Z44" s="115"/>
    </x:row>
    <x:row r="45" ht="15" hidden="0" customHeight="1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  <x:c r="S45" s="115"/>
      <x:c r="T45" s="115"/>
      <x:c r="U45" s="115"/>
      <x:c r="V45" s="115"/>
      <x:c r="W45" s="115"/>
      <x:c r="X45" s="115"/>
      <x:c r="Y45" s="115"/>
      <x:c r="Z45" s="115"/>
    </x:row>
    <x:row r="46" ht="15" hidden="0" customHeight="1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  <x:c r="S46" s="115"/>
      <x:c r="T46" s="115"/>
      <x:c r="U46" s="115"/>
      <x:c r="V46" s="115"/>
      <x:c r="W46" s="115"/>
      <x:c r="X46" s="115"/>
      <x:c r="Y46" s="115"/>
      <x:c r="Z46" s="115"/>
    </x:row>
    <x:row r="47" ht="15" hidden="0" customHeight="1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  <x:c r="S47" s="115"/>
      <x:c r="T47" s="115"/>
      <x:c r="U47" s="115"/>
      <x:c r="V47" s="115"/>
      <x:c r="W47" s="115"/>
      <x:c r="X47" s="115"/>
      <x:c r="Y47" s="115"/>
      <x:c r="Z47" s="115"/>
    </x:row>
    <x:row r="48" ht="15" hidden="0" customHeight="1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  <x:c r="S48" s="115"/>
      <x:c r="T48" s="115"/>
      <x:c r="U48" s="115"/>
      <x:c r="V48" s="115"/>
      <x:c r="W48" s="115"/>
      <x:c r="X48" s="115"/>
      <x:c r="Y48" s="115"/>
      <x:c r="Z48" s="115"/>
    </x:row>
    <x:row r="49" ht="15" hidden="0" customHeight="1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  <x:c r="S49" s="115"/>
      <x:c r="T49" s="115"/>
      <x:c r="U49" s="115"/>
      <x:c r="V49" s="115"/>
      <x:c r="W49" s="115"/>
      <x:c r="X49" s="115"/>
      <x:c r="Y49" s="115"/>
      <x:c r="Z49" s="115"/>
    </x:row>
    <x:row r="50" ht="15" hidden="0" customHeight="1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  <x:c r="S50" s="115"/>
      <x:c r="T50" s="115"/>
      <x:c r="U50" s="115"/>
      <x:c r="V50" s="115"/>
      <x:c r="W50" s="115"/>
      <x:c r="X50" s="115"/>
      <x:c r="Y50" s="115"/>
      <x:c r="Z50" s="115"/>
    </x:row>
    <x:row r="51" ht="15" hidden="0" customHeight="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  <x:c r="S51" s="115"/>
      <x:c r="T51" s="115"/>
      <x:c r="U51" s="115"/>
      <x:c r="V51" s="115"/>
      <x:c r="W51" s="115"/>
      <x:c r="X51" s="115"/>
      <x:c r="Y51" s="115"/>
      <x:c r="Z51" s="115"/>
    </x:row>
    <x:row r="52" ht="15" hidden="0" customHeight="1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  <x:c r="S52" s="115"/>
      <x:c r="T52" s="115"/>
      <x:c r="U52" s="115"/>
      <x:c r="V52" s="115"/>
      <x:c r="W52" s="115"/>
      <x:c r="X52" s="115"/>
      <x:c r="Y52" s="115"/>
      <x:c r="Z52" s="115"/>
    </x:row>
    <x:row r="53" ht="15" hidden="0" customHeight="1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  <x:c r="S53" s="115"/>
      <x:c r="T53" s="115"/>
      <x:c r="U53" s="115"/>
      <x:c r="V53" s="115"/>
      <x:c r="W53" s="115"/>
      <x:c r="X53" s="115"/>
      <x:c r="Y53" s="115"/>
      <x:c r="Z53" s="115"/>
    </x:row>
    <x:row r="54" ht="15" hidden="0" customHeight="1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  <x:c r="S54" s="115"/>
      <x:c r="T54" s="115"/>
      <x:c r="U54" s="115"/>
      <x:c r="V54" s="115"/>
      <x:c r="W54" s="115"/>
      <x:c r="X54" s="115"/>
      <x:c r="Y54" s="115"/>
      <x:c r="Z54" s="115"/>
    </x:row>
    <x:row r="55" ht="15" hidden="0" customHeight="1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  <x:c r="S55" s="115"/>
      <x:c r="T55" s="115"/>
      <x:c r="U55" s="115"/>
      <x:c r="V55" s="115"/>
      <x:c r="W55" s="115"/>
      <x:c r="X55" s="115"/>
      <x:c r="Y55" s="115"/>
      <x:c r="Z55" s="115"/>
    </x:row>
    <x:row r="56" ht="15" hidden="0" customHeight="1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  <x:c r="S56" s="115"/>
      <x:c r="T56" s="115"/>
      <x:c r="U56" s="115"/>
      <x:c r="V56" s="115"/>
      <x:c r="W56" s="115"/>
      <x:c r="X56" s="115"/>
      <x:c r="Y56" s="115"/>
      <x:c r="Z56" s="115"/>
    </x:row>
    <x:row r="57" ht="15" hidden="0" customHeight="1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  <x:c r="S57" s="115"/>
      <x:c r="T57" s="115"/>
      <x:c r="U57" s="115"/>
      <x:c r="V57" s="115"/>
      <x:c r="W57" s="115"/>
      <x:c r="X57" s="115"/>
      <x:c r="Y57" s="115"/>
      <x:c r="Z57" s="115"/>
    </x:row>
    <x:row r="58" ht="15" hidden="0" customHeight="1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  <x:c r="S58" s="115"/>
      <x:c r="T58" s="115"/>
      <x:c r="U58" s="115"/>
      <x:c r="V58" s="115"/>
      <x:c r="W58" s="115"/>
      <x:c r="X58" s="115"/>
      <x:c r="Y58" s="115"/>
      <x:c r="Z58" s="115"/>
    </x:row>
    <x:row r="59" ht="15" hidden="0" customHeight="1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15"/>
      <x:c r="T59" s="115"/>
      <x:c r="U59" s="115"/>
      <x:c r="V59" s="115"/>
      <x:c r="W59" s="115"/>
      <x:c r="X59" s="115"/>
      <x:c r="Y59" s="115"/>
      <x:c r="Z59" s="115"/>
    </x:row>
    <x:row r="60" ht="15" hidden="0" customHeight="1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15"/>
      <x:c r="T60" s="115"/>
      <x:c r="U60" s="115"/>
      <x:c r="V60" s="115"/>
      <x:c r="W60" s="115"/>
      <x:c r="X60" s="115"/>
      <x:c r="Y60" s="115"/>
      <x:c r="Z60" s="115"/>
    </x:row>
    <x:row r="61" ht="15" hidden="0" customHeight="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  <x:c r="S61" s="115"/>
      <x:c r="T61" s="115"/>
      <x:c r="U61" s="115"/>
      <x:c r="V61" s="115"/>
      <x:c r="W61" s="115"/>
      <x:c r="X61" s="115"/>
      <x:c r="Y61" s="115"/>
      <x:c r="Z61" s="115"/>
    </x:row>
    <x:row r="62" ht="15" hidden="0" customHeight="1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  <x:c r="S62" s="115"/>
      <x:c r="T62" s="115"/>
      <x:c r="U62" s="115"/>
      <x:c r="V62" s="115"/>
      <x:c r="W62" s="115"/>
      <x:c r="X62" s="115"/>
      <x:c r="Y62" s="115"/>
      <x:c r="Z62" s="115"/>
    </x:row>
    <x:row r="63" ht="15" hidden="0" customHeight="1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5"/>
      <x:c r="T63" s="115"/>
      <x:c r="U63" s="115"/>
      <x:c r="V63" s="115"/>
      <x:c r="W63" s="115"/>
      <x:c r="X63" s="115"/>
      <x:c r="Y63" s="115"/>
      <x:c r="Z63" s="115"/>
    </x:row>
    <x:row r="64" ht="15" hidden="0" customHeight="1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  <x:c r="S64" s="115"/>
      <x:c r="T64" s="115"/>
      <x:c r="U64" s="115"/>
      <x:c r="V64" s="115"/>
      <x:c r="W64" s="115"/>
      <x:c r="X64" s="115"/>
      <x:c r="Y64" s="115"/>
      <x:c r="Z64" s="115"/>
    </x:row>
    <x:row r="65" ht="15" hidden="0" customHeight="1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  <x:c r="S65" s="115"/>
      <x:c r="T65" s="115"/>
      <x:c r="U65" s="115"/>
      <x:c r="V65" s="115"/>
      <x:c r="W65" s="115"/>
      <x:c r="X65" s="115"/>
      <x:c r="Y65" s="115"/>
      <x:c r="Z65" s="115"/>
    </x:row>
    <x:row r="66" ht="15" hidden="0" customHeight="1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  <x:c r="S66" s="115"/>
      <x:c r="T66" s="115"/>
      <x:c r="U66" s="115"/>
      <x:c r="V66" s="115"/>
      <x:c r="W66" s="115"/>
      <x:c r="X66" s="115"/>
      <x:c r="Y66" s="115"/>
      <x:c r="Z66" s="115"/>
    </x:row>
    <x:row r="67" ht="15" hidden="0" customHeight="1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  <x:c r="S67" s="115"/>
      <x:c r="T67" s="115"/>
      <x:c r="U67" s="115"/>
      <x:c r="V67" s="115"/>
      <x:c r="W67" s="115"/>
      <x:c r="X67" s="115"/>
      <x:c r="Y67" s="115"/>
      <x:c r="Z67" s="115"/>
    </x:row>
    <x:row r="68" ht="15" hidden="0" customHeight="1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  <x:c r="S68" s="115"/>
      <x:c r="T68" s="115"/>
      <x:c r="U68" s="115"/>
      <x:c r="V68" s="115"/>
      <x:c r="W68" s="115"/>
      <x:c r="X68" s="115"/>
      <x:c r="Y68" s="115"/>
      <x:c r="Z68" s="115"/>
    </x:row>
    <x:row r="69" ht="15" hidden="0" customHeight="1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  <x:c r="S69" s="115"/>
      <x:c r="T69" s="115"/>
      <x:c r="U69" s="115"/>
      <x:c r="V69" s="115"/>
      <x:c r="W69" s="115"/>
      <x:c r="X69" s="115"/>
      <x:c r="Y69" s="115"/>
      <x:c r="Z69" s="115"/>
    </x:row>
    <x:row r="70" ht="15" hidden="0" customHeight="1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  <x:c r="S70" s="115"/>
      <x:c r="T70" s="115"/>
      <x:c r="U70" s="115"/>
      <x:c r="V70" s="115"/>
      <x:c r="W70" s="115"/>
      <x:c r="X70" s="115"/>
      <x:c r="Y70" s="115"/>
      <x:c r="Z70" s="115"/>
    </x:row>
    <x:row r="71" ht="15" hidden="0" customHeight="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  <x:c r="S71" s="115"/>
      <x:c r="T71" s="115"/>
      <x:c r="U71" s="115"/>
      <x:c r="V71" s="115"/>
      <x:c r="W71" s="115"/>
      <x:c r="X71" s="115"/>
      <x:c r="Y71" s="115"/>
      <x:c r="Z71" s="115"/>
    </x:row>
    <x:row r="72" ht="15" hidden="0" customHeight="1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  <x:c r="S72" s="115"/>
      <x:c r="T72" s="115"/>
      <x:c r="U72" s="115"/>
      <x:c r="V72" s="115"/>
      <x:c r="W72" s="115"/>
      <x:c r="X72" s="115"/>
      <x:c r="Y72" s="115"/>
      <x:c r="Z72" s="115"/>
    </x:row>
    <x:row r="73" ht="15" hidden="0" customHeight="1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  <x:c r="S73" s="115"/>
      <x:c r="T73" s="115"/>
      <x:c r="U73" s="115"/>
      <x:c r="V73" s="115"/>
      <x:c r="W73" s="115"/>
      <x:c r="X73" s="115"/>
      <x:c r="Y73" s="115"/>
      <x:c r="Z73" s="115"/>
    </x:row>
    <x:row r="74" ht="15" hidden="0" customHeight="1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  <x:c r="S74" s="115"/>
      <x:c r="T74" s="115"/>
      <x:c r="U74" s="115"/>
      <x:c r="V74" s="115"/>
      <x:c r="W74" s="115"/>
      <x:c r="X74" s="115"/>
      <x:c r="Y74" s="115"/>
      <x:c r="Z74" s="115"/>
    </x:row>
    <x:row r="75" ht="15" hidden="0" customHeight="1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  <x:c r="S75" s="115"/>
      <x:c r="T75" s="115"/>
      <x:c r="U75" s="115"/>
      <x:c r="V75" s="115"/>
      <x:c r="W75" s="115"/>
      <x:c r="X75" s="115"/>
      <x:c r="Y75" s="115"/>
      <x:c r="Z75" s="115"/>
    </x:row>
    <x:row r="76" ht="15" hidden="0" customHeight="1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  <x:c r="S76" s="115"/>
      <x:c r="T76" s="115"/>
      <x:c r="U76" s="115"/>
      <x:c r="V76" s="115"/>
      <x:c r="W76" s="115"/>
      <x:c r="X76" s="115"/>
      <x:c r="Y76" s="115"/>
      <x:c r="Z76" s="115"/>
    </x:row>
    <x:row r="77" ht="15" hidden="0" customHeight="1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  <x:c r="S77" s="115"/>
      <x:c r="T77" s="115"/>
      <x:c r="U77" s="115"/>
      <x:c r="V77" s="115"/>
      <x:c r="W77" s="115"/>
      <x:c r="X77" s="115"/>
      <x:c r="Y77" s="115"/>
      <x:c r="Z77" s="115"/>
    </x:row>
    <x:row r="78" ht="15" hidden="0" customHeight="1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5"/>
      <x:c r="T78" s="115"/>
      <x:c r="U78" s="115"/>
      <x:c r="V78" s="115"/>
      <x:c r="W78" s="115"/>
      <x:c r="X78" s="115"/>
      <x:c r="Y78" s="115"/>
      <x:c r="Z78" s="115"/>
    </x:row>
    <x:row r="79" ht="15" hidden="0" customHeight="1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  <x:c r="S79" s="115"/>
      <x:c r="T79" s="115"/>
      <x:c r="U79" s="115"/>
      <x:c r="V79" s="115"/>
      <x:c r="W79" s="115"/>
      <x:c r="X79" s="115"/>
      <x:c r="Y79" s="115"/>
      <x:c r="Z79" s="115"/>
    </x:row>
    <x:row r="80" ht="15" hidden="0" customHeight="1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  <x:c r="S80" s="115"/>
      <x:c r="T80" s="115"/>
      <x:c r="U80" s="115"/>
      <x:c r="V80" s="115"/>
      <x:c r="W80" s="115"/>
      <x:c r="X80" s="115"/>
      <x:c r="Y80" s="115"/>
      <x:c r="Z80" s="115"/>
    </x:row>
    <x:row r="81" ht="15" hidden="0" customHeight="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  <x:c r="S81" s="115"/>
      <x:c r="T81" s="115"/>
      <x:c r="U81" s="115"/>
      <x:c r="V81" s="115"/>
      <x:c r="W81" s="115"/>
      <x:c r="X81" s="115"/>
      <x:c r="Y81" s="115"/>
      <x:c r="Z81" s="115"/>
    </x:row>
    <x:row r="82" ht="15" hidden="0" customHeight="1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  <x:c r="S82" s="115"/>
      <x:c r="T82" s="115"/>
      <x:c r="U82" s="115"/>
      <x:c r="V82" s="115"/>
      <x:c r="W82" s="115"/>
      <x:c r="X82" s="115"/>
      <x:c r="Y82" s="115"/>
      <x:c r="Z82" s="115"/>
    </x:row>
    <x:row r="83" ht="15" hidden="0" customHeight="1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  <x:c r="S83" s="115"/>
      <x:c r="T83" s="115"/>
      <x:c r="U83" s="115"/>
      <x:c r="V83" s="115"/>
      <x:c r="W83" s="115"/>
      <x:c r="X83" s="115"/>
      <x:c r="Y83" s="115"/>
      <x:c r="Z83" s="115"/>
    </x:row>
    <x:row r="84" ht="15" hidden="0" customHeight="1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  <x:c r="S84" s="115"/>
      <x:c r="T84" s="115"/>
      <x:c r="U84" s="115"/>
      <x:c r="V84" s="115"/>
      <x:c r="W84" s="115"/>
      <x:c r="X84" s="115"/>
      <x:c r="Y84" s="115"/>
      <x:c r="Z84" s="115"/>
    </x:row>
    <x:row r="85" ht="15" hidden="0" customHeight="1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  <x:c r="S85" s="115"/>
      <x:c r="T85" s="115"/>
      <x:c r="U85" s="115"/>
      <x:c r="V85" s="115"/>
      <x:c r="W85" s="115"/>
      <x:c r="X85" s="115"/>
      <x:c r="Y85" s="115"/>
      <x:c r="Z85" s="115"/>
    </x:row>
    <x:row r="86" ht="15" hidden="0" customHeight="1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  <x:c r="S86" s="115"/>
      <x:c r="T86" s="115"/>
      <x:c r="U86" s="115"/>
      <x:c r="V86" s="115"/>
      <x:c r="W86" s="115"/>
      <x:c r="X86" s="115"/>
      <x:c r="Y86" s="115"/>
      <x:c r="Z86" s="115"/>
    </x:row>
    <x:row r="87" ht="15" hidden="0" customHeight="1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  <x:c r="S87" s="115"/>
      <x:c r="T87" s="115"/>
      <x:c r="U87" s="115"/>
      <x:c r="V87" s="115"/>
      <x:c r="W87" s="115"/>
      <x:c r="X87" s="115"/>
      <x:c r="Y87" s="115"/>
      <x:c r="Z87" s="115"/>
    </x:row>
    <x:row r="88" ht="15" hidden="0" customHeight="1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  <x:c r="S88" s="115"/>
      <x:c r="T88" s="115"/>
      <x:c r="U88" s="115"/>
      <x:c r="V88" s="115"/>
      <x:c r="W88" s="115"/>
      <x:c r="X88" s="115"/>
      <x:c r="Y88" s="115"/>
      <x:c r="Z88" s="115"/>
    </x:row>
    <x:row r="89" ht="15" hidden="0" customHeight="1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  <x:c r="S89" s="115"/>
      <x:c r="T89" s="115"/>
      <x:c r="U89" s="115"/>
      <x:c r="V89" s="115"/>
      <x:c r="W89" s="115"/>
      <x:c r="X89" s="115"/>
      <x:c r="Y89" s="115"/>
      <x:c r="Z89" s="115"/>
    </x:row>
    <x:row r="90" ht="15" hidden="0" customHeight="1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  <x:c r="S90" s="115"/>
      <x:c r="T90" s="115"/>
      <x:c r="U90" s="115"/>
      <x:c r="V90" s="115"/>
      <x:c r="W90" s="115"/>
      <x:c r="X90" s="115"/>
      <x:c r="Y90" s="115"/>
      <x:c r="Z90" s="115"/>
    </x:row>
    <x:row r="91" ht="15" hidden="0" customHeight="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  <x:c r="S91" s="115"/>
      <x:c r="T91" s="115"/>
      <x:c r="U91" s="115"/>
      <x:c r="V91" s="115"/>
      <x:c r="W91" s="115"/>
      <x:c r="X91" s="115"/>
      <x:c r="Y91" s="115"/>
      <x:c r="Z91" s="115"/>
    </x:row>
    <x:row r="92" ht="15" hidden="0" customHeight="1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  <x:c r="S92" s="115"/>
      <x:c r="T92" s="115"/>
      <x:c r="U92" s="115"/>
      <x:c r="V92" s="115"/>
      <x:c r="W92" s="115"/>
      <x:c r="X92" s="115"/>
      <x:c r="Y92" s="115"/>
      <x:c r="Z92" s="115"/>
    </x:row>
    <x:row r="93" ht="15" hidden="0" customHeight="1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  <x:c r="S93" s="115"/>
      <x:c r="T93" s="115"/>
      <x:c r="U93" s="115"/>
      <x:c r="V93" s="115"/>
      <x:c r="W93" s="115"/>
      <x:c r="X93" s="115"/>
      <x:c r="Y93" s="115"/>
      <x:c r="Z93" s="115"/>
    </x:row>
    <x:row r="94" ht="15" hidden="0" customHeight="1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  <x:c r="S94" s="115"/>
      <x:c r="T94" s="115"/>
      <x:c r="U94" s="115"/>
      <x:c r="V94" s="115"/>
      <x:c r="W94" s="115"/>
      <x:c r="X94" s="115"/>
      <x:c r="Y94" s="115"/>
      <x:c r="Z94" s="115"/>
    </x:row>
    <x:row r="95" ht="15" hidden="0" customHeight="1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  <x:c r="S95" s="115"/>
      <x:c r="T95" s="115"/>
      <x:c r="U95" s="115"/>
      <x:c r="V95" s="115"/>
      <x:c r="W95" s="115"/>
      <x:c r="X95" s="115"/>
      <x:c r="Y95" s="115"/>
      <x:c r="Z95" s="115"/>
    </x:row>
    <x:row r="96" ht="15" hidden="0" customHeight="1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  <x:c r="S96" s="115"/>
      <x:c r="T96" s="115"/>
      <x:c r="U96" s="115"/>
      <x:c r="V96" s="115"/>
      <x:c r="W96" s="115"/>
      <x:c r="X96" s="115"/>
      <x:c r="Y96" s="115"/>
      <x:c r="Z96" s="115"/>
    </x:row>
    <x:row r="97" ht="15" hidden="0" customHeight="1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  <x:c r="S97" s="115"/>
      <x:c r="T97" s="115"/>
      <x:c r="U97" s="115"/>
      <x:c r="V97" s="115"/>
      <x:c r="W97" s="115"/>
      <x:c r="X97" s="115"/>
      <x:c r="Y97" s="115"/>
      <x:c r="Z97" s="115"/>
    </x:row>
    <x:row r="98" ht="15" hidden="0" customHeight="1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  <x:c r="S98" s="115"/>
      <x:c r="T98" s="115"/>
      <x:c r="U98" s="115"/>
      <x:c r="V98" s="115"/>
      <x:c r="W98" s="115"/>
      <x:c r="X98" s="115"/>
      <x:c r="Y98" s="115"/>
      <x:c r="Z98" s="115"/>
    </x:row>
    <x:row r="99" ht="15" hidden="0" customHeight="1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  <x:c r="S99" s="115"/>
      <x:c r="T99" s="115"/>
      <x:c r="U99" s="115"/>
      <x:c r="V99" s="115"/>
      <x:c r="W99" s="115"/>
      <x:c r="X99" s="115"/>
      <x:c r="Y99" s="115"/>
      <x:c r="Z99" s="115"/>
    </x:row>
    <x:row r="100" ht="15" hidden="0" customHeight="1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  <x:c r="S100" s="115"/>
      <x:c r="T100" s="115"/>
      <x:c r="U100" s="115"/>
      <x:c r="V100" s="115"/>
      <x:c r="W100" s="115"/>
      <x:c r="X100" s="115"/>
      <x:c r="Y100" s="115"/>
      <x:c r="Z100" s="115"/>
    </x:row>
    <x:row r="101" ht="15" hidden="0" customHeight="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  <x:c r="S101" s="115"/>
      <x:c r="T101" s="115"/>
      <x:c r="U101" s="115"/>
      <x:c r="V101" s="115"/>
      <x:c r="W101" s="115"/>
      <x:c r="X101" s="115"/>
      <x:c r="Y101" s="115"/>
      <x:c r="Z101" s="115"/>
    </x:row>
    <x:row r="102" ht="15" hidden="0" customHeight="1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  <x:c r="S102" s="115"/>
      <x:c r="T102" s="115"/>
      <x:c r="U102" s="115"/>
      <x:c r="V102" s="115"/>
      <x:c r="W102" s="115"/>
      <x:c r="X102" s="115"/>
      <x:c r="Y102" s="115"/>
      <x:c r="Z102" s="115"/>
    </x:row>
    <x:row r="103" ht="15" hidden="0" customHeight="1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  <x:c r="S103" s="115"/>
      <x:c r="T103" s="115"/>
      <x:c r="U103" s="115"/>
      <x:c r="V103" s="115"/>
      <x:c r="W103" s="115"/>
      <x:c r="X103" s="115"/>
      <x:c r="Y103" s="115"/>
      <x:c r="Z103" s="115"/>
    </x:row>
    <x:row r="104" ht="15" hidden="0" customHeight="1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  <x:c r="S104" s="115"/>
      <x:c r="T104" s="115"/>
      <x:c r="U104" s="115"/>
      <x:c r="V104" s="115"/>
      <x:c r="W104" s="115"/>
      <x:c r="X104" s="115"/>
      <x:c r="Y104" s="115"/>
      <x:c r="Z104" s="115"/>
    </x:row>
    <x:row r="105" ht="15" hidden="0" customHeight="1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  <x:c r="S105" s="115"/>
      <x:c r="T105" s="115"/>
      <x:c r="U105" s="115"/>
      <x:c r="V105" s="115"/>
      <x:c r="W105" s="115"/>
      <x:c r="X105" s="115"/>
      <x:c r="Y105" s="115"/>
      <x:c r="Z105" s="115"/>
    </x:row>
    <x:row r="106" ht="15" hidden="0" customHeight="1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  <x:c r="S106" s="115"/>
      <x:c r="T106" s="115"/>
      <x:c r="U106" s="115"/>
      <x:c r="V106" s="115"/>
      <x:c r="W106" s="115"/>
      <x:c r="X106" s="115"/>
      <x:c r="Y106" s="115"/>
      <x:c r="Z106" s="115"/>
    </x:row>
    <x:row r="107" ht="15" hidden="0" customHeight="1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  <x:c r="S107" s="115"/>
      <x:c r="T107" s="115"/>
      <x:c r="U107" s="115"/>
      <x:c r="V107" s="115"/>
      <x:c r="W107" s="115"/>
      <x:c r="X107" s="115"/>
      <x:c r="Y107" s="115"/>
      <x:c r="Z107" s="115"/>
    </x:row>
    <x:row r="108" ht="15" hidden="0" customHeight="1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  <x:c r="S108" s="115"/>
      <x:c r="T108" s="115"/>
      <x:c r="U108" s="115"/>
      <x:c r="V108" s="115"/>
      <x:c r="W108" s="115"/>
      <x:c r="X108" s="115"/>
      <x:c r="Y108" s="115"/>
      <x:c r="Z108" s="115"/>
    </x:row>
    <x:row r="109" ht="15" hidden="0" customHeight="1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  <x:c r="S109" s="115"/>
      <x:c r="T109" s="115"/>
      <x:c r="U109" s="115"/>
      <x:c r="V109" s="115"/>
      <x:c r="W109" s="115"/>
      <x:c r="X109" s="115"/>
      <x:c r="Y109" s="115"/>
      <x:c r="Z109" s="115"/>
    </x:row>
    <x:row r="110" ht="15" hidden="0" customHeight="1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  <x:c r="S110" s="115"/>
      <x:c r="T110" s="115"/>
      <x:c r="U110" s="115"/>
      <x:c r="V110" s="115"/>
      <x:c r="W110" s="115"/>
      <x:c r="X110" s="115"/>
      <x:c r="Y110" s="115"/>
      <x:c r="Z110" s="115"/>
    </x:row>
    <x:row r="111" ht="15" hidden="0" customHeight="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  <x:c r="S111" s="115"/>
      <x:c r="T111" s="115"/>
      <x:c r="U111" s="115"/>
      <x:c r="V111" s="115"/>
      <x:c r="W111" s="115"/>
      <x:c r="X111" s="115"/>
      <x:c r="Y111" s="115"/>
      <x:c r="Z111" s="115"/>
    </x:row>
    <x:row r="112" ht="15" hidden="0" customHeight="1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  <x:c r="S112" s="115"/>
      <x:c r="T112" s="115"/>
      <x:c r="U112" s="115"/>
      <x:c r="V112" s="115"/>
      <x:c r="W112" s="115"/>
      <x:c r="X112" s="115"/>
      <x:c r="Y112" s="115"/>
      <x:c r="Z112" s="115"/>
    </x:row>
    <x:row r="113" ht="15" hidden="0" customHeight="1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  <x:c r="S113" s="115"/>
      <x:c r="T113" s="115"/>
      <x:c r="U113" s="115"/>
      <x:c r="V113" s="115"/>
      <x:c r="W113" s="115"/>
      <x:c r="X113" s="115"/>
      <x:c r="Y113" s="115"/>
      <x:c r="Z113" s="115"/>
    </x:row>
    <x:row r="114" ht="15" hidden="0" customHeight="1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  <x:c r="S114" s="115"/>
      <x:c r="T114" s="115"/>
      <x:c r="U114" s="115"/>
      <x:c r="V114" s="115"/>
      <x:c r="W114" s="115"/>
      <x:c r="X114" s="115"/>
      <x:c r="Y114" s="115"/>
      <x:c r="Z114" s="115"/>
    </x:row>
    <x:row r="115" ht="15" hidden="0" customHeight="1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  <x:c r="S115" s="115"/>
      <x:c r="T115" s="115"/>
      <x:c r="U115" s="115"/>
      <x:c r="V115" s="115"/>
      <x:c r="W115" s="115"/>
      <x:c r="X115" s="115"/>
      <x:c r="Y115" s="115"/>
      <x:c r="Z115" s="115"/>
    </x:row>
    <x:row r="116" ht="15" hidden="0" customHeight="1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  <x:c r="S116" s="115"/>
      <x:c r="T116" s="115"/>
      <x:c r="U116" s="115"/>
      <x:c r="V116" s="115"/>
      <x:c r="W116" s="115"/>
      <x:c r="X116" s="115"/>
      <x:c r="Y116" s="115"/>
      <x:c r="Z116" s="115"/>
    </x:row>
    <x:row r="117" ht="15" hidden="0" customHeight="1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  <x:c r="S117" s="115"/>
      <x:c r="T117" s="115"/>
      <x:c r="U117" s="115"/>
      <x:c r="V117" s="115"/>
      <x:c r="W117" s="115"/>
      <x:c r="X117" s="115"/>
      <x:c r="Y117" s="115"/>
      <x:c r="Z117" s="115"/>
    </x:row>
    <x:row r="118" ht="15" hidden="0" customHeight="1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  <x:c r="S118" s="115"/>
      <x:c r="T118" s="115"/>
      <x:c r="U118" s="115"/>
      <x:c r="V118" s="115"/>
      <x:c r="W118" s="115"/>
      <x:c r="X118" s="115"/>
      <x:c r="Y118" s="115"/>
      <x:c r="Z118" s="115"/>
    </x:row>
    <x:row r="119" ht="15" hidden="0" customHeight="1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  <x:c r="S119" s="115"/>
      <x:c r="T119" s="115"/>
      <x:c r="U119" s="115"/>
      <x:c r="V119" s="115"/>
      <x:c r="W119" s="115"/>
      <x:c r="X119" s="115"/>
      <x:c r="Y119" s="115"/>
      <x:c r="Z119" s="115"/>
    </x:row>
    <x:row r="120" ht="15" hidden="0" customHeight="1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  <x:c r="S120" s="115"/>
      <x:c r="T120" s="115"/>
      <x:c r="U120" s="115"/>
      <x:c r="V120" s="115"/>
      <x:c r="W120" s="115"/>
      <x:c r="X120" s="115"/>
      <x:c r="Y120" s="115"/>
      <x:c r="Z120" s="115"/>
    </x:row>
    <x:row r="121" ht="15" hidden="0" customHeight="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  <x:c r="S121" s="115"/>
      <x:c r="T121" s="115"/>
      <x:c r="U121" s="115"/>
      <x:c r="V121" s="115"/>
      <x:c r="W121" s="115"/>
      <x:c r="X121" s="115"/>
      <x:c r="Y121" s="115"/>
      <x:c r="Z121" s="115"/>
    </x:row>
    <x:row r="122" ht="15" hidden="0" customHeight="1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  <x:c r="S122" s="115"/>
      <x:c r="T122" s="115"/>
      <x:c r="U122" s="115"/>
      <x:c r="V122" s="115"/>
      <x:c r="W122" s="115"/>
      <x:c r="X122" s="115"/>
      <x:c r="Y122" s="115"/>
      <x:c r="Z122" s="115"/>
    </x:row>
    <x:row r="123" ht="15" hidden="0" customHeight="1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  <x:c r="S123" s="115"/>
      <x:c r="T123" s="115"/>
      <x:c r="U123" s="115"/>
      <x:c r="V123" s="115"/>
      <x:c r="W123" s="115"/>
      <x:c r="X123" s="115"/>
      <x:c r="Y123" s="115"/>
      <x:c r="Z123" s="115"/>
    </x:row>
    <x:row r="124" ht="15" hidden="0" customHeight="1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  <x:c r="S124" s="115"/>
      <x:c r="T124" s="115"/>
      <x:c r="U124" s="115"/>
      <x:c r="V124" s="115"/>
      <x:c r="W124" s="115"/>
      <x:c r="X124" s="115"/>
      <x:c r="Y124" s="115"/>
      <x:c r="Z124" s="115"/>
    </x:row>
    <x:row r="125" ht="15" hidden="0" customHeight="1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  <x:c r="S125" s="115"/>
      <x:c r="T125" s="115"/>
      <x:c r="U125" s="115"/>
      <x:c r="V125" s="115"/>
      <x:c r="W125" s="115"/>
      <x:c r="X125" s="115"/>
      <x:c r="Y125" s="115"/>
      <x:c r="Z125" s="115"/>
    </x:row>
    <x:row r="126" ht="15" hidden="0" customHeight="1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  <x:c r="S126" s="115"/>
      <x:c r="T126" s="115"/>
      <x:c r="U126" s="115"/>
      <x:c r="V126" s="115"/>
      <x:c r="W126" s="115"/>
      <x:c r="X126" s="115"/>
      <x:c r="Y126" s="115"/>
      <x:c r="Z126" s="115"/>
    </x:row>
    <x:row r="127" ht="15" hidden="0" customHeight="1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  <x:c r="S127" s="115"/>
      <x:c r="T127" s="115"/>
      <x:c r="U127" s="115"/>
      <x:c r="V127" s="115"/>
      <x:c r="W127" s="115"/>
      <x:c r="X127" s="115"/>
      <x:c r="Y127" s="115"/>
      <x:c r="Z127" s="115"/>
    </x:row>
    <x:row r="128" ht="15" hidden="0" customHeight="1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  <x:c r="S128" s="115"/>
      <x:c r="T128" s="115"/>
      <x:c r="U128" s="115"/>
      <x:c r="V128" s="115"/>
      <x:c r="W128" s="115"/>
      <x:c r="X128" s="115"/>
      <x:c r="Y128" s="115"/>
      <x:c r="Z128" s="115"/>
    </x:row>
    <x:row r="129" ht="15" hidden="0" customHeight="1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  <x:c r="S129" s="115"/>
      <x:c r="T129" s="115"/>
      <x:c r="U129" s="115"/>
      <x:c r="V129" s="115"/>
      <x:c r="W129" s="115"/>
      <x:c r="X129" s="115"/>
      <x:c r="Y129" s="115"/>
      <x:c r="Z129" s="115"/>
    </x:row>
    <x:row r="130" ht="15" hidden="0" customHeight="1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  <x:c r="S130" s="115"/>
      <x:c r="T130" s="115"/>
      <x:c r="U130" s="115"/>
      <x:c r="V130" s="115"/>
      <x:c r="W130" s="115"/>
      <x:c r="X130" s="115"/>
      <x:c r="Y130" s="115"/>
      <x:c r="Z130" s="115"/>
    </x:row>
    <x:row r="131" ht="15" hidden="0" customHeight="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  <x:c r="S131" s="115"/>
      <x:c r="T131" s="115"/>
      <x:c r="U131" s="115"/>
      <x:c r="V131" s="115"/>
      <x:c r="W131" s="115"/>
      <x:c r="X131" s="115"/>
      <x:c r="Y131" s="115"/>
      <x:c r="Z131" s="115"/>
    </x:row>
    <x:row r="132" ht="15" hidden="0" customHeight="1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  <x:c r="S132" s="115"/>
      <x:c r="T132" s="115"/>
      <x:c r="U132" s="115"/>
      <x:c r="V132" s="115"/>
      <x:c r="W132" s="115"/>
      <x:c r="X132" s="115"/>
      <x:c r="Y132" s="115"/>
      <x:c r="Z132" s="115"/>
    </x:row>
    <x:row r="133" ht="15" hidden="0" customHeight="1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  <x:c r="S133" s="115"/>
      <x:c r="T133" s="115"/>
      <x:c r="U133" s="115"/>
      <x:c r="V133" s="115"/>
      <x:c r="W133" s="115"/>
      <x:c r="X133" s="115"/>
      <x:c r="Y133" s="115"/>
      <x:c r="Z133" s="115"/>
    </x:row>
    <x:row r="134" ht="15" hidden="0" customHeight="1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  <x:c r="S134" s="115"/>
      <x:c r="T134" s="115"/>
      <x:c r="U134" s="115"/>
      <x:c r="V134" s="115"/>
      <x:c r="W134" s="115"/>
      <x:c r="X134" s="115"/>
      <x:c r="Y134" s="115"/>
      <x:c r="Z134" s="115"/>
    </x:row>
    <x:row r="135" ht="15" hidden="0" customHeight="1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  <x:c r="S135" s="115"/>
      <x:c r="T135" s="115"/>
      <x:c r="U135" s="115"/>
      <x:c r="V135" s="115"/>
      <x:c r="W135" s="115"/>
      <x:c r="X135" s="115"/>
      <x:c r="Y135" s="115"/>
      <x:c r="Z135" s="115"/>
    </x:row>
    <x:row r="136" ht="15" hidden="0" customHeight="1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  <x:c r="S136" s="115"/>
      <x:c r="T136" s="115"/>
      <x:c r="U136" s="115"/>
      <x:c r="V136" s="115"/>
      <x:c r="W136" s="115"/>
      <x:c r="X136" s="115"/>
      <x:c r="Y136" s="115"/>
      <x:c r="Z136" s="115"/>
    </x:row>
    <x:row r="137" ht="15" hidden="0" customHeight="1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  <x:c r="S137" s="115"/>
      <x:c r="T137" s="115"/>
      <x:c r="U137" s="115"/>
      <x:c r="V137" s="115"/>
      <x:c r="W137" s="115"/>
      <x:c r="X137" s="115"/>
      <x:c r="Y137" s="115"/>
      <x:c r="Z137" s="115"/>
    </x:row>
    <x:row r="138" ht="15" hidden="0" customHeight="1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5"/>
      <x:c r="T138" s="115"/>
      <x:c r="U138" s="115"/>
      <x:c r="V138" s="115"/>
      <x:c r="W138" s="115"/>
      <x:c r="X138" s="115"/>
      <x:c r="Y138" s="115"/>
      <x:c r="Z138" s="115"/>
    </x:row>
    <x:row r="139" ht="15" hidden="0" customHeight="1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  <x:c r="S139" s="115"/>
      <x:c r="T139" s="115"/>
      <x:c r="U139" s="115"/>
      <x:c r="V139" s="115"/>
      <x:c r="W139" s="115"/>
      <x:c r="X139" s="115"/>
      <x:c r="Y139" s="115"/>
      <x:c r="Z139" s="115"/>
    </x:row>
    <x:row r="140" ht="15" hidden="0" customHeight="1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  <x:c r="S140" s="115"/>
      <x:c r="T140" s="115"/>
      <x:c r="U140" s="115"/>
      <x:c r="V140" s="115"/>
      <x:c r="W140" s="115"/>
      <x:c r="X140" s="115"/>
      <x:c r="Y140" s="115"/>
      <x:c r="Z140" s="115"/>
    </x:row>
    <x:row r="141" ht="15" hidden="0" customHeight="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  <x:c r="S141" s="115"/>
      <x:c r="T141" s="115"/>
      <x:c r="U141" s="115"/>
      <x:c r="V141" s="115"/>
      <x:c r="W141" s="115"/>
      <x:c r="X141" s="115"/>
      <x:c r="Y141" s="115"/>
      <x:c r="Z141" s="115"/>
    </x:row>
    <x:row r="142" ht="15" hidden="0" customHeight="1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  <x:c r="S142" s="115"/>
      <x:c r="T142" s="115"/>
      <x:c r="U142" s="115"/>
      <x:c r="V142" s="115"/>
      <x:c r="W142" s="115"/>
      <x:c r="X142" s="115"/>
      <x:c r="Y142" s="115"/>
      <x:c r="Z142" s="115"/>
    </x:row>
    <x:row r="143" ht="15" hidden="0" customHeight="1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  <x:c r="S143" s="115"/>
      <x:c r="T143" s="115"/>
      <x:c r="U143" s="115"/>
      <x:c r="V143" s="115"/>
      <x:c r="W143" s="115"/>
      <x:c r="X143" s="115"/>
      <x:c r="Y143" s="115"/>
      <x:c r="Z143" s="115"/>
    </x:row>
    <x:row r="144" ht="15" hidden="0" customHeight="1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  <x:c r="S144" s="115"/>
      <x:c r="T144" s="115"/>
      <x:c r="U144" s="115"/>
      <x:c r="V144" s="115"/>
      <x:c r="W144" s="115"/>
      <x:c r="X144" s="115"/>
      <x:c r="Y144" s="115"/>
      <x:c r="Z144" s="115"/>
    </x:row>
    <x:row r="145" ht="15" hidden="0" customHeight="1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  <x:c r="S145" s="115"/>
      <x:c r="T145" s="115"/>
      <x:c r="U145" s="115"/>
      <x:c r="V145" s="115"/>
      <x:c r="W145" s="115"/>
      <x:c r="X145" s="115"/>
      <x:c r="Y145" s="115"/>
      <x:c r="Z145" s="115"/>
    </x:row>
    <x:row r="146" ht="15" hidden="0" customHeight="1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  <x:c r="S146" s="115"/>
      <x:c r="T146" s="115"/>
      <x:c r="U146" s="115"/>
      <x:c r="V146" s="115"/>
      <x:c r="W146" s="115"/>
      <x:c r="X146" s="115"/>
      <x:c r="Y146" s="115"/>
      <x:c r="Z146" s="115"/>
    </x:row>
    <x:row r="147" ht="15" hidden="0" customHeight="1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  <x:c r="S147" s="115"/>
      <x:c r="T147" s="115"/>
      <x:c r="U147" s="115"/>
      <x:c r="V147" s="115"/>
      <x:c r="W147" s="115"/>
      <x:c r="X147" s="115"/>
      <x:c r="Y147" s="115"/>
      <x:c r="Z147" s="115"/>
    </x:row>
    <x:row r="148" ht="15" hidden="0" customHeight="1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  <x:c r="S148" s="115"/>
      <x:c r="T148" s="115"/>
      <x:c r="U148" s="115"/>
      <x:c r="V148" s="115"/>
      <x:c r="W148" s="115"/>
      <x:c r="X148" s="115"/>
      <x:c r="Y148" s="115"/>
      <x:c r="Z148" s="115"/>
    </x:row>
    <x:row r="149" ht="15" hidden="0" customHeight="1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  <x:c r="S149" s="115"/>
      <x:c r="T149" s="115"/>
      <x:c r="U149" s="115"/>
      <x:c r="V149" s="115"/>
      <x:c r="W149" s="115"/>
      <x:c r="X149" s="115"/>
      <x:c r="Y149" s="115"/>
      <x:c r="Z149" s="115"/>
    </x:row>
    <x:row r="150" ht="15" hidden="0" customHeight="1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  <x:c r="S150" s="115"/>
      <x:c r="T150" s="115"/>
      <x:c r="U150" s="115"/>
      <x:c r="V150" s="115"/>
      <x:c r="W150" s="115"/>
      <x:c r="X150" s="115"/>
      <x:c r="Y150" s="115"/>
      <x:c r="Z150" s="115"/>
    </x:row>
    <x:row r="151" ht="15" hidden="0" customHeight="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  <x:c r="S151" s="115"/>
      <x:c r="T151" s="115"/>
      <x:c r="U151" s="115"/>
      <x:c r="V151" s="115"/>
      <x:c r="W151" s="115"/>
      <x:c r="X151" s="115"/>
      <x:c r="Y151" s="115"/>
      <x:c r="Z151" s="115"/>
    </x:row>
    <x:row r="152" ht="15" hidden="0" customHeight="1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  <x:c r="S152" s="115"/>
      <x:c r="T152" s="115"/>
      <x:c r="U152" s="115"/>
      <x:c r="V152" s="115"/>
      <x:c r="W152" s="115"/>
      <x:c r="X152" s="115"/>
      <x:c r="Y152" s="115"/>
      <x:c r="Z152" s="115"/>
    </x:row>
    <x:row r="153" ht="15" hidden="0" customHeight="1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  <x:c r="S153" s="115"/>
      <x:c r="T153" s="115"/>
      <x:c r="U153" s="115"/>
      <x:c r="V153" s="115"/>
      <x:c r="W153" s="115"/>
      <x:c r="X153" s="115"/>
      <x:c r="Y153" s="115"/>
      <x:c r="Z153" s="115"/>
    </x:row>
    <x:row r="154" ht="15" hidden="0" customHeight="1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  <x:c r="S154" s="115"/>
      <x:c r="T154" s="115"/>
      <x:c r="U154" s="115"/>
      <x:c r="V154" s="115"/>
      <x:c r="W154" s="115"/>
      <x:c r="X154" s="115"/>
      <x:c r="Y154" s="115"/>
      <x:c r="Z154" s="115"/>
    </x:row>
    <x:row r="155" ht="15" hidden="0" customHeight="1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  <x:c r="S155" s="115"/>
      <x:c r="T155" s="115"/>
      <x:c r="U155" s="115"/>
      <x:c r="V155" s="115"/>
      <x:c r="W155" s="115"/>
      <x:c r="X155" s="115"/>
      <x:c r="Y155" s="115"/>
      <x:c r="Z155" s="115"/>
    </x:row>
    <x:row r="156" ht="15" hidden="0" customHeight="1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  <x:c r="S156" s="115"/>
      <x:c r="T156" s="115"/>
      <x:c r="U156" s="115"/>
      <x:c r="V156" s="115"/>
      <x:c r="W156" s="115"/>
      <x:c r="X156" s="115"/>
      <x:c r="Y156" s="115"/>
      <x:c r="Z156" s="115"/>
    </x:row>
    <x:row r="157" ht="15" hidden="0" customHeight="1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  <x:c r="S157" s="115"/>
      <x:c r="T157" s="115"/>
      <x:c r="U157" s="115"/>
      <x:c r="V157" s="115"/>
      <x:c r="W157" s="115"/>
      <x:c r="X157" s="115"/>
      <x:c r="Y157" s="115"/>
      <x:c r="Z157" s="115"/>
    </x:row>
    <x:row r="158" ht="15" hidden="0" customHeight="1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  <x:c r="S158" s="115"/>
      <x:c r="T158" s="115"/>
      <x:c r="U158" s="115"/>
      <x:c r="V158" s="115"/>
      <x:c r="W158" s="115"/>
      <x:c r="X158" s="115"/>
      <x:c r="Y158" s="115"/>
      <x:c r="Z158" s="115"/>
    </x:row>
    <x:row r="159" ht="15" hidden="0" customHeight="1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  <x:c r="S159" s="115"/>
      <x:c r="T159" s="115"/>
      <x:c r="U159" s="115"/>
      <x:c r="V159" s="115"/>
      <x:c r="W159" s="115"/>
      <x:c r="X159" s="115"/>
      <x:c r="Y159" s="115"/>
      <x:c r="Z159" s="115"/>
    </x:row>
    <x:row r="160" ht="15" hidden="0" customHeight="1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  <x:c r="S160" s="115"/>
      <x:c r="T160" s="115"/>
      <x:c r="U160" s="115"/>
      <x:c r="V160" s="115"/>
      <x:c r="W160" s="115"/>
      <x:c r="X160" s="115"/>
      <x:c r="Y160" s="115"/>
      <x:c r="Z160" s="115"/>
    </x:row>
    <x:row r="161" ht="15" hidden="0" customHeight="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  <x:c r="S161" s="115"/>
      <x:c r="T161" s="115"/>
      <x:c r="U161" s="115"/>
      <x:c r="V161" s="115"/>
      <x:c r="W161" s="115"/>
      <x:c r="X161" s="115"/>
      <x:c r="Y161" s="115"/>
      <x:c r="Z161" s="115"/>
    </x:row>
    <x:row r="162" ht="15" hidden="0" customHeight="1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  <x:c r="S162" s="115"/>
      <x:c r="T162" s="115"/>
      <x:c r="U162" s="115"/>
      <x:c r="V162" s="115"/>
      <x:c r="W162" s="115"/>
      <x:c r="X162" s="115"/>
      <x:c r="Y162" s="115"/>
      <x:c r="Z162" s="115"/>
    </x:row>
    <x:row r="163" ht="15" hidden="0" customHeight="1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  <x:c r="S163" s="115"/>
      <x:c r="T163" s="115"/>
      <x:c r="U163" s="115"/>
      <x:c r="V163" s="115"/>
      <x:c r="W163" s="115"/>
      <x:c r="X163" s="115"/>
      <x:c r="Y163" s="115"/>
      <x:c r="Z163" s="115"/>
    </x:row>
    <x:row r="164" ht="15" hidden="0" customHeight="1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  <x:c r="S164" s="115"/>
      <x:c r="T164" s="115"/>
      <x:c r="U164" s="115"/>
      <x:c r="V164" s="115"/>
      <x:c r="W164" s="115"/>
      <x:c r="X164" s="115"/>
      <x:c r="Y164" s="115"/>
      <x:c r="Z164" s="115"/>
    </x:row>
    <x:row r="165" ht="15" hidden="0" customHeight="1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  <x:c r="S165" s="115"/>
      <x:c r="T165" s="115"/>
      <x:c r="U165" s="115"/>
      <x:c r="V165" s="115"/>
      <x:c r="W165" s="115"/>
      <x:c r="X165" s="115"/>
      <x:c r="Y165" s="115"/>
      <x:c r="Z165" s="115"/>
    </x:row>
    <x:row r="166" ht="15" hidden="0" customHeight="1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  <x:c r="S166" s="115"/>
      <x:c r="T166" s="115"/>
      <x:c r="U166" s="115"/>
      <x:c r="V166" s="115"/>
      <x:c r="W166" s="115"/>
      <x:c r="X166" s="115"/>
      <x:c r="Y166" s="115"/>
      <x:c r="Z166" s="115"/>
    </x:row>
    <x:row r="167" ht="15" hidden="0" customHeight="1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  <x:c r="S167" s="115"/>
      <x:c r="T167" s="115"/>
      <x:c r="U167" s="115"/>
      <x:c r="V167" s="115"/>
      <x:c r="W167" s="115"/>
      <x:c r="X167" s="115"/>
      <x:c r="Y167" s="115"/>
      <x:c r="Z167" s="115"/>
    </x:row>
    <x:row r="168" ht="15" hidden="0" customHeight="1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  <x:c r="S168" s="115"/>
      <x:c r="T168" s="115"/>
      <x:c r="U168" s="115"/>
      <x:c r="V168" s="115"/>
      <x:c r="W168" s="115"/>
      <x:c r="X168" s="115"/>
      <x:c r="Y168" s="115"/>
      <x:c r="Z168" s="115"/>
    </x:row>
    <x:row r="169" ht="15" hidden="0" customHeight="1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  <x:c r="S169" s="115"/>
      <x:c r="T169" s="115"/>
      <x:c r="U169" s="115"/>
      <x:c r="V169" s="115"/>
      <x:c r="W169" s="115"/>
      <x:c r="X169" s="115"/>
      <x:c r="Y169" s="115"/>
      <x:c r="Z169" s="115"/>
    </x:row>
    <x:row r="170" ht="15" hidden="0" customHeight="1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  <x:c r="S170" s="115"/>
      <x:c r="T170" s="115"/>
      <x:c r="U170" s="115"/>
      <x:c r="V170" s="115"/>
      <x:c r="W170" s="115"/>
      <x:c r="X170" s="115"/>
      <x:c r="Y170" s="115"/>
      <x:c r="Z170" s="115"/>
    </x:row>
    <x:row r="171" ht="15" hidden="0" customHeight="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  <x:c r="S171" s="115"/>
      <x:c r="T171" s="115"/>
      <x:c r="U171" s="115"/>
      <x:c r="V171" s="115"/>
      <x:c r="W171" s="115"/>
      <x:c r="X171" s="115"/>
      <x:c r="Y171" s="115"/>
      <x:c r="Z171" s="115"/>
    </x:row>
    <x:row r="172" ht="15" hidden="0" customHeight="1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  <x:c r="S172" s="115"/>
      <x:c r="T172" s="115"/>
      <x:c r="U172" s="115"/>
      <x:c r="V172" s="115"/>
      <x:c r="W172" s="115"/>
      <x:c r="X172" s="115"/>
      <x:c r="Y172" s="115"/>
      <x:c r="Z172" s="115"/>
    </x:row>
    <x:row r="173" ht="15" hidden="0" customHeight="1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  <x:c r="S173" s="115"/>
      <x:c r="T173" s="115"/>
      <x:c r="U173" s="115"/>
      <x:c r="V173" s="115"/>
      <x:c r="W173" s="115"/>
      <x:c r="X173" s="115"/>
      <x:c r="Y173" s="115"/>
      <x:c r="Z173" s="115"/>
    </x:row>
    <x:row r="174" ht="15" hidden="0" customHeight="1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  <x:c r="S174" s="115"/>
      <x:c r="T174" s="115"/>
      <x:c r="U174" s="115"/>
      <x:c r="V174" s="115"/>
      <x:c r="W174" s="115"/>
      <x:c r="X174" s="115"/>
      <x:c r="Y174" s="115"/>
      <x:c r="Z174" s="115"/>
    </x:row>
    <x:row r="175" ht="15" hidden="0" customHeight="1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  <x:c r="S175" s="115"/>
      <x:c r="T175" s="115"/>
      <x:c r="U175" s="115"/>
      <x:c r="V175" s="115"/>
      <x:c r="W175" s="115"/>
      <x:c r="X175" s="115"/>
      <x:c r="Y175" s="115"/>
      <x:c r="Z175" s="115"/>
    </x:row>
    <x:row r="176" ht="15" hidden="0" customHeight="1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  <x:c r="S176" s="115"/>
      <x:c r="T176" s="115"/>
      <x:c r="U176" s="115"/>
      <x:c r="V176" s="115"/>
      <x:c r="W176" s="115"/>
      <x:c r="X176" s="115"/>
      <x:c r="Y176" s="115"/>
      <x:c r="Z176" s="115"/>
    </x:row>
    <x:row r="177" ht="15" hidden="0" customHeight="1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  <x:c r="S177" s="115"/>
      <x:c r="T177" s="115"/>
      <x:c r="U177" s="115"/>
      <x:c r="V177" s="115"/>
      <x:c r="W177" s="115"/>
      <x:c r="X177" s="115"/>
      <x:c r="Y177" s="115"/>
      <x:c r="Z177" s="115"/>
    </x:row>
    <x:row r="178" ht="15" hidden="0" customHeight="1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  <x:c r="S178" s="115"/>
      <x:c r="T178" s="115"/>
      <x:c r="U178" s="115"/>
      <x:c r="V178" s="115"/>
      <x:c r="W178" s="115"/>
      <x:c r="X178" s="115"/>
      <x:c r="Y178" s="115"/>
      <x:c r="Z178" s="115"/>
    </x:row>
    <x:row r="179" ht="15" hidden="0" customHeight="1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  <x:c r="S179" s="115"/>
      <x:c r="T179" s="115"/>
      <x:c r="U179" s="115"/>
      <x:c r="V179" s="115"/>
      <x:c r="W179" s="115"/>
      <x:c r="X179" s="115"/>
      <x:c r="Y179" s="115"/>
      <x:c r="Z179" s="115"/>
    </x:row>
    <x:row r="180" ht="15" hidden="0" customHeight="1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  <x:c r="S180" s="115"/>
      <x:c r="T180" s="115"/>
      <x:c r="U180" s="115"/>
      <x:c r="V180" s="115"/>
      <x:c r="W180" s="115"/>
      <x:c r="X180" s="115"/>
      <x:c r="Y180" s="115"/>
      <x:c r="Z180" s="115"/>
    </x:row>
    <x:row r="181" ht="15" hidden="0" customHeight="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  <x:c r="S181" s="115"/>
      <x:c r="T181" s="115"/>
      <x:c r="U181" s="115"/>
      <x:c r="V181" s="115"/>
      <x:c r="W181" s="115"/>
      <x:c r="X181" s="115"/>
      <x:c r="Y181" s="115"/>
      <x:c r="Z181" s="115"/>
    </x:row>
    <x:row r="182" ht="15" hidden="0" customHeight="1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  <x:c r="S182" s="115"/>
      <x:c r="T182" s="115"/>
      <x:c r="U182" s="115"/>
      <x:c r="V182" s="115"/>
      <x:c r="W182" s="115"/>
      <x:c r="X182" s="115"/>
      <x:c r="Y182" s="115"/>
      <x:c r="Z182" s="115"/>
    </x:row>
    <x:row r="183" ht="15" hidden="0" customHeight="1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5"/>
      <x:c r="U183" s="115"/>
      <x:c r="V183" s="115"/>
      <x:c r="W183" s="115"/>
      <x:c r="X183" s="115"/>
      <x:c r="Y183" s="115"/>
      <x:c r="Z183" s="115"/>
    </x:row>
    <x:row r="184" ht="15" hidden="0" customHeight="1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  <x:c r="S184" s="115"/>
      <x:c r="T184" s="115"/>
      <x:c r="U184" s="115"/>
      <x:c r="V184" s="115"/>
      <x:c r="W184" s="115"/>
      <x:c r="X184" s="115"/>
      <x:c r="Y184" s="115"/>
      <x:c r="Z184" s="115"/>
    </x:row>
    <x:row r="185" ht="15" hidden="0" customHeight="1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  <x:c r="S185" s="115"/>
      <x:c r="T185" s="115"/>
      <x:c r="U185" s="115"/>
      <x:c r="V185" s="115"/>
      <x:c r="W185" s="115"/>
      <x:c r="X185" s="115"/>
      <x:c r="Y185" s="115"/>
      <x:c r="Z185" s="115"/>
    </x:row>
    <x:row r="186" ht="15" hidden="0" customHeight="1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  <x:c r="S186" s="115"/>
      <x:c r="T186" s="115"/>
      <x:c r="U186" s="115"/>
      <x:c r="V186" s="115"/>
      <x:c r="W186" s="115"/>
      <x:c r="X186" s="115"/>
      <x:c r="Y186" s="115"/>
      <x:c r="Z186" s="115"/>
    </x:row>
    <x:row r="187" ht="15" hidden="0" customHeight="1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  <x:c r="S187" s="115"/>
      <x:c r="T187" s="115"/>
      <x:c r="U187" s="115"/>
      <x:c r="V187" s="115"/>
      <x:c r="W187" s="115"/>
      <x:c r="X187" s="115"/>
      <x:c r="Y187" s="115"/>
      <x:c r="Z187" s="115"/>
    </x:row>
    <x:row r="188" ht="15" hidden="0" customHeight="1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  <x:c r="S188" s="115"/>
      <x:c r="T188" s="115"/>
      <x:c r="U188" s="115"/>
      <x:c r="V188" s="115"/>
      <x:c r="W188" s="115"/>
      <x:c r="X188" s="115"/>
      <x:c r="Y188" s="115"/>
      <x:c r="Z188" s="115"/>
    </x:row>
    <x:row r="189" ht="15" hidden="0" customHeight="1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  <x:c r="S189" s="115"/>
      <x:c r="T189" s="115"/>
      <x:c r="U189" s="115"/>
      <x:c r="V189" s="115"/>
      <x:c r="W189" s="115"/>
      <x:c r="X189" s="115"/>
      <x:c r="Y189" s="115"/>
      <x:c r="Z189" s="115"/>
    </x:row>
    <x:row r="190" ht="15" hidden="0" customHeight="1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  <x:c r="S190" s="115"/>
      <x:c r="T190" s="115"/>
      <x:c r="U190" s="115"/>
      <x:c r="V190" s="115"/>
      <x:c r="W190" s="115"/>
      <x:c r="X190" s="115"/>
      <x:c r="Y190" s="115"/>
      <x:c r="Z190" s="115"/>
    </x:row>
    <x:row r="191" ht="15" hidden="0" customHeight="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  <x:c r="S191" s="115"/>
      <x:c r="T191" s="115"/>
      <x:c r="U191" s="115"/>
      <x:c r="V191" s="115"/>
      <x:c r="W191" s="115"/>
      <x:c r="X191" s="115"/>
      <x:c r="Y191" s="115"/>
      <x:c r="Z191" s="115"/>
    </x:row>
    <x:row r="192" ht="15" hidden="0" customHeight="1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  <x:c r="S192" s="115"/>
      <x:c r="T192" s="115"/>
      <x:c r="U192" s="115"/>
      <x:c r="V192" s="115"/>
      <x:c r="W192" s="115"/>
      <x:c r="X192" s="115"/>
      <x:c r="Y192" s="115"/>
      <x:c r="Z192" s="115"/>
    </x:row>
    <x:row r="193" ht="15" hidden="0" customHeight="1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  <x:c r="S193" s="115"/>
      <x:c r="T193" s="115"/>
      <x:c r="U193" s="115"/>
      <x:c r="V193" s="115"/>
      <x:c r="W193" s="115"/>
      <x:c r="X193" s="115"/>
      <x:c r="Y193" s="115"/>
      <x:c r="Z193" s="115"/>
    </x:row>
    <x:row r="194" ht="15" hidden="0" customHeight="1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  <x:c r="S194" s="115"/>
      <x:c r="T194" s="115"/>
      <x:c r="U194" s="115"/>
      <x:c r="V194" s="115"/>
      <x:c r="W194" s="115"/>
      <x:c r="X194" s="115"/>
      <x:c r="Y194" s="115"/>
      <x:c r="Z194" s="115"/>
    </x:row>
    <x:row r="195" ht="15" hidden="0" customHeight="1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  <x:c r="S195" s="115"/>
      <x:c r="T195" s="115"/>
      <x:c r="U195" s="115"/>
      <x:c r="V195" s="115"/>
      <x:c r="W195" s="115"/>
      <x:c r="X195" s="115"/>
      <x:c r="Y195" s="115"/>
      <x:c r="Z195" s="115"/>
    </x:row>
    <x:row r="196" ht="15" hidden="0" customHeight="1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  <x:c r="S196" s="115"/>
      <x:c r="T196" s="115"/>
      <x:c r="U196" s="115"/>
      <x:c r="V196" s="115"/>
      <x:c r="W196" s="115"/>
      <x:c r="X196" s="115"/>
      <x:c r="Y196" s="115"/>
      <x:c r="Z196" s="115"/>
    </x:row>
    <x:row r="197" ht="15" hidden="0" customHeight="1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  <x:c r="S197" s="115"/>
      <x:c r="T197" s="115"/>
      <x:c r="U197" s="115"/>
      <x:c r="V197" s="115"/>
      <x:c r="W197" s="115"/>
      <x:c r="X197" s="115"/>
      <x:c r="Y197" s="115"/>
      <x:c r="Z197" s="115"/>
    </x:row>
    <x:row r="198" ht="15" hidden="0" customHeight="1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  <x:c r="S198" s="115"/>
      <x:c r="T198" s="115"/>
      <x:c r="U198" s="115"/>
      <x:c r="V198" s="115"/>
      <x:c r="W198" s="115"/>
      <x:c r="X198" s="115"/>
      <x:c r="Y198" s="115"/>
      <x:c r="Z198" s="115"/>
    </x:row>
    <x:row r="199" ht="15" hidden="0" customHeight="1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  <x:c r="S199" s="115"/>
      <x:c r="T199" s="115"/>
      <x:c r="U199" s="115"/>
      <x:c r="V199" s="115"/>
      <x:c r="W199" s="115"/>
      <x:c r="X199" s="115"/>
      <x:c r="Y199" s="115"/>
      <x:c r="Z199" s="115"/>
    </x:row>
    <x:row r="200" ht="15" hidden="0" customHeight="1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  <x:c r="S200" s="115"/>
      <x:c r="T200" s="115"/>
      <x:c r="U200" s="115"/>
      <x:c r="V200" s="115"/>
      <x:c r="W200" s="115"/>
      <x:c r="X200" s="115"/>
      <x:c r="Y200" s="115"/>
      <x:c r="Z200" s="115"/>
    </x:row>
  </x:sheetData>
  <x:mergeCells>
    <x:mergeCell ref="A1:N1"/>
    <x:mergeCell ref="A2:N2"/>
    <x:mergeCell ref="K4:N8"/>
    <x:mergeCell ref="A11:N11"/>
    <x:mergeCell ref="A23:N23"/>
  </x:mergeCells>
  <x:conditionalFormatting sqref="I13:I20">
    <x:cfRule type="expression" dxfId="7" priority="1">
      <x:formula>$I13="Behind"</x:formula>
    </x:cfRule>
    <x:cfRule type="expression" dxfId="8" priority="2">
      <x:formula>$I13="On Track"</x:formula>
    </x:cfRule>
  </x:conditionalFormatting>
  <x:pageMargins left="0.7" right="0.7" top="0.75" bottom="0.75" header="0.3" footer="0.3"/>
  <x:drawing xmlns:r="http://schemas.openxmlformats.org/officeDocument/2006/relationships" r:id="R12b2d9647d0342ec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2" hidden="0" customWidth="1"/>
  </x:cols>
  <x:sheetData>
    <x:row r="1" ht="21.600000381469727" hidden="0" customHeight="1">
      <x:c r="A1" s="188" t="str">
        <x:v>How to Use This Model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  <x:c r="S1" s="115"/>
      <x:c r="T1" s="115"/>
      <x:c r="U1" s="115"/>
      <x:c r="V1" s="115"/>
      <x:c r="W1" s="115"/>
      <x:c r="X1" s="115"/>
      <x:c r="Y1" s="115"/>
      <x:c r="Z1" s="115"/>
    </x:row>
    <x:row r="2" ht="15" hidden="0" customHeight="1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  <x:c r="Q2" s="115"/>
      <x:c r="R2" s="115"/>
      <x:c r="S2" s="115"/>
      <x:c r="T2" s="115"/>
      <x:c r="U2" s="115"/>
      <x:c r="V2" s="115"/>
      <x:c r="W2" s="115"/>
      <x:c r="X2" s="115"/>
      <x:c r="Y2" s="115"/>
      <x:c r="Z2" s="115"/>
    </x:row>
    <x:row r="3" ht="15" hidden="0" customHeight="1">
      <x:c r="A3" s="143" t="str">
        <x:v>Step</x:v>
      </x:c>
      <x:c r="B3" s="143" t="str">
        <x:v>Action</x:v>
      </x:c>
      <x:c r="C3" s="143" t="str">
        <x:v>Details</x:v>
      </x:c>
      <x:c r="D3" s="115"/>
      <x:c r="E3" s="115"/>
      <x:c r="F3" s="115"/>
      <x:c r="G3" s="115"/>
      <x:c r="H3" s="115"/>
      <x:c r="I3" s="115"/>
      <x:c r="J3" s="115"/>
      <x:c r="K3" s="115"/>
      <x:c r="L3" s="115"/>
      <x:c r="M3" s="115"/>
      <x:c r="N3" s="115"/>
      <x:c r="O3" s="115"/>
      <x:c r="P3" s="115"/>
      <x:c r="Q3" s="115"/>
      <x:c r="R3" s="115"/>
      <x:c r="S3" s="115"/>
      <x:c r="T3" s="115"/>
      <x:c r="U3" s="115"/>
      <x:c r="V3" s="115"/>
      <x:c r="W3" s="115"/>
      <x:c r="X3" s="115"/>
      <x:c r="Y3" s="115"/>
      <x:c r="Z3" s="115"/>
    </x:row>
    <x:row r="4" ht="26.399999618530273" hidden="0" customHeight="1">
      <x:c r="A4" s="144" t="str">
        <x:v>1</x:v>
      </x:c>
      <x:c r="B4" s="144" t="str">
        <x:v>Update Inputs</x:v>
      </x:c>
      <x:c r="C4" s="144" t="str">
        <x:v>Edit blue-font assumptions in the Inputs sheet. Update close date, current month, multiples, haircut, and financial baselines.</x:v>
      </x:c>
      <x:c r="D4" s="115"/>
      <x:c r="E4" s="115"/>
      <x:c r="F4" s="115"/>
      <x:c r="G4" s="115"/>
      <x:c r="H4" s="115"/>
      <x:c r="I4" s="115"/>
      <x:c r="J4" s="115"/>
      <x:c r="K4" s="115"/>
      <x:c r="L4" s="115"/>
      <x:c r="M4" s="115"/>
      <x:c r="N4" s="115"/>
      <x:c r="O4" s="115"/>
      <x:c r="P4" s="115"/>
      <x:c r="Q4" s="115"/>
      <x:c r="R4" s="115"/>
      <x:c r="S4" s="115"/>
      <x:c r="T4" s="115"/>
      <x:c r="U4" s="115"/>
      <x:c r="V4" s="115"/>
      <x:c r="W4" s="115"/>
      <x:c r="X4" s="115"/>
      <x:c r="Y4" s="115"/>
      <x:c r="Z4" s="115"/>
    </x:row>
    <x:row r="5" ht="26.399999618530273" hidden="0" customHeight="1">
      <x:c r="A5" s="144" t="str">
        <x:v>2</x:v>
      </x:c>
      <x:c r="B5" s="144" t="str">
        <x:v>Replace sample synergy initiatives</x:v>
      </x:c>
      <x:c r="C5" s="144" t="str">
        <x:v>Use Synergy_Tracker to enter each cost, revenue, systems, footprint, and back-office synergy. Keep one initiative per row.</x:v>
      </x:c>
      <x:c r="D5" s="115"/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  <x:c r="S5" s="115"/>
      <x:c r="T5" s="115"/>
      <x:c r="U5" s="115"/>
      <x:c r="V5" s="115"/>
      <x:c r="W5" s="115"/>
      <x:c r="X5" s="115"/>
      <x:c r="Y5" s="115"/>
      <x:c r="Z5" s="115"/>
    </x:row>
    <x:row r="6" ht="26.399999618530273" hidden="0" customHeight="1">
      <x:c r="A6" s="144" t="str">
        <x:v>3</x:v>
      </x:c>
      <x:c r="B6" s="144" t="str">
        <x:v>Validate one-time costs</x:v>
      </x:c>
      <x:c r="C6" s="144" t="str">
        <x:v>Add integration costs by initiative so the EBITDA and value bridge separates run-rate value from implementation cost.</x:v>
      </x:c>
      <x:c r="D6" s="115"/>
      <x:c r="E6" s="115"/>
      <x:c r="F6" s="115"/>
      <x:c r="G6" s="115"/>
      <x:c r="H6" s="115"/>
      <x:c r="I6" s="115"/>
      <x:c r="J6" s="115"/>
      <x:c r="K6" s="115"/>
      <x:c r="L6" s="115"/>
      <x:c r="M6" s="115"/>
      <x:c r="N6" s="115"/>
      <x:c r="O6" s="115"/>
      <x:c r="P6" s="115"/>
      <x:c r="Q6" s="115"/>
      <x:c r="R6" s="115"/>
      <x:c r="S6" s="115"/>
      <x:c r="T6" s="115"/>
      <x:c r="U6" s="115"/>
      <x:c r="V6" s="115"/>
      <x:c r="W6" s="115"/>
      <x:c r="X6" s="115"/>
      <x:c r="Y6" s="115"/>
      <x:c r="Z6" s="115"/>
    </x:row>
    <x:row r="7" ht="26.399999618530273" hidden="0" customHeight="1">
      <x:c r="A7" s="144" t="str">
        <x:v>4</x:v>
      </x:c>
      <x:c r="B7" s="144" t="str">
        <x:v>Track milestones</x:v>
      </x:c>
      <x:c r="C7" s="144" t="str">
        <x:v>Use Integration_Milestones to manage Day 1, Day 30, Day 100, Month 6, and Month 12 execution.</x:v>
      </x:c>
      <x:c r="D7" s="115"/>
      <x:c r="E7" s="115"/>
      <x:c r="F7" s="115"/>
      <x:c r="G7" s="115"/>
      <x:c r="H7" s="115"/>
      <x:c r="I7" s="115"/>
      <x:c r="J7" s="115"/>
      <x:c r="K7" s="115"/>
      <x:c r="L7" s="115"/>
      <x:c r="M7" s="115"/>
      <x:c r="N7" s="115"/>
      <x:c r="O7" s="115"/>
      <x:c r="P7" s="115"/>
      <x:c r="Q7" s="115"/>
      <x:c r="R7" s="115"/>
      <x:c r="S7" s="115"/>
      <x:c r="T7" s="115"/>
      <x:c r="U7" s="115"/>
      <x:c r="V7" s="115"/>
      <x:c r="W7" s="115"/>
      <x:c r="X7" s="115"/>
      <x:c r="Y7" s="115"/>
      <x:c r="Z7" s="115"/>
    </x:row>
    <x:row r="8" ht="26.399999618530273" hidden="0" customHeight="1">
      <x:c r="A8" s="144" t="str">
        <x:v>5</x:v>
      </x:c>
      <x:c r="B8" s="144" t="str">
        <x:v>Review Workstream Detail</x:v>
      </x:c>
      <x:c r="C8" s="144" t="str">
        <x:v>Use Workstream_Detail to identify which workstreams are behind plan, under-validated, or at risk.</x:v>
      </x:c>
      <x:c r="D8" s="115"/>
      <x:c r="E8" s="115"/>
      <x:c r="F8" s="115"/>
      <x:c r="G8" s="115"/>
      <x:c r="H8" s="115"/>
      <x:c r="I8" s="115"/>
      <x:c r="J8" s="115"/>
      <x:c r="K8" s="115"/>
      <x:c r="L8" s="115"/>
      <x:c r="M8" s="115"/>
      <x:c r="N8" s="115"/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</x:row>
    <x:row r="9" ht="26.399999618530273" hidden="0" customHeight="1">
      <x:c r="A9" s="144" t="str">
        <x:v>6</x:v>
      </x:c>
      <x:c r="B9" s="144" t="str">
        <x:v>Use Dashboard for executive readout</x:v>
      </x:c>
      <x:c r="C9" s="144" t="str">
        <x:v>Use Dashboard for board/management discussion: total synergy target, captured run-rate, validated EBITDA, EV uplift, and priority actions.</x:v>
      </x:c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5"/>
      <x:c r="S9" s="115"/>
      <x:c r="T9" s="115"/>
      <x:c r="U9" s="115"/>
      <x:c r="V9" s="115"/>
      <x:c r="W9" s="115"/>
      <x:c r="X9" s="115"/>
      <x:c r="Y9" s="115"/>
      <x:c r="Z9" s="115"/>
    </x:row>
    <x:row r="10" ht="39.599998474121094" hidden="0" customHeight="1">
      <x:c r="A10" s="144" t="str">
        <x:v>7</x:v>
      </x:c>
      <x:c r="B10" s="144" t="str">
        <x:v>Refresh evidence quality</x:v>
      </x:c>
      <x:c r="C10" s="144" t="str">
        <x:v>Validated EBITDA is risk-weighted by evidence quality. Increase evidence quality only when savings are visible in budget, invoices, headcount, contracts, or booked contribution margin.</x:v>
      </x:c>
      <x:c r="D10" s="115"/>
      <x:c r="E10" s="115"/>
      <x:c r="F10" s="115"/>
      <x:c r="G10" s="115"/>
      <x:c r="H10" s="115"/>
      <x:c r="I10" s="115"/>
      <x:c r="J10" s="115"/>
      <x:c r="K10" s="115"/>
      <x:c r="L10" s="115"/>
      <x:c r="M10" s="115"/>
      <x:c r="N10" s="115"/>
      <x:c r="O10" s="115"/>
      <x:c r="P10" s="115"/>
      <x:c r="Q10" s="115"/>
      <x:c r="R10" s="115"/>
      <x:c r="S10" s="115"/>
      <x:c r="T10" s="115"/>
      <x:c r="U10" s="115"/>
      <x:c r="V10" s="115"/>
      <x:c r="W10" s="115"/>
      <x:c r="X10" s="115"/>
      <x:c r="Y10" s="115"/>
      <x:c r="Z10" s="115"/>
    </x:row>
    <x:row r="11" ht="15" hidden="0" customHeight="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5"/>
      <x:c r="R11" s="115"/>
      <x:c r="S11" s="115"/>
      <x:c r="T11" s="115"/>
      <x:c r="U11" s="115"/>
      <x:c r="V11" s="115"/>
      <x:c r="W11" s="115"/>
      <x:c r="X11" s="115"/>
      <x:c r="Y11" s="115"/>
      <x:c r="Z11" s="115"/>
    </x:row>
    <x:row r="12" ht="15" hidden="0" customHeight="1">
      <x:c r="A12" s="121" t="str">
        <x:v>Workbook Flow</x:v>
      </x:c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5"/>
      <x:c r="P12" s="115"/>
      <x:c r="Q12" s="115"/>
      <x:c r="R12" s="115"/>
      <x:c r="S12" s="115"/>
      <x:c r="T12" s="115"/>
      <x:c r="U12" s="115"/>
      <x:c r="V12" s="115"/>
      <x:c r="W12" s="115"/>
      <x:c r="X12" s="115"/>
      <x:c r="Y12" s="115"/>
      <x:c r="Z12" s="115"/>
    </x:row>
    <x:row r="13" ht="15" hidden="0" customHeight="1">
      <x:c r="A13" s="144" t="str">
        <x:v>Inputs</x:v>
      </x:c>
      <x:c r="B13" s="144" t="str">
        <x:v>Set assumptions and deal baseline</x:v>
      </x:c>
      <x:c r="C13" s="115"/>
      <x:c r="D13" s="115"/>
      <x:c r="E13" s="115"/>
      <x:c r="F13" s="115"/>
      <x:c r="G13" s="115"/>
      <x:c r="H13" s="115"/>
      <x:c r="I13" s="115"/>
      <x:c r="J13" s="115"/>
      <x:c r="K13" s="115"/>
      <x:c r="L13" s="115"/>
      <x:c r="M13" s="115"/>
      <x:c r="N13" s="115"/>
      <x:c r="O13" s="115"/>
      <x:c r="P13" s="115"/>
      <x:c r="Q13" s="115"/>
      <x:c r="R13" s="115"/>
      <x:c r="S13" s="115"/>
      <x:c r="T13" s="115"/>
      <x:c r="U13" s="115"/>
      <x:c r="V13" s="115"/>
      <x:c r="W13" s="115"/>
      <x:c r="X13" s="115"/>
      <x:c r="Y13" s="115"/>
      <x:c r="Z13" s="115"/>
    </x:row>
    <x:row r="14" ht="26.399999618530273" hidden="0" customHeight="1">
      <x:c r="A14" s="144" t="str">
        <x:v>Target_Financials</x:v>
      </x:c>
      <x:c r="B14" s="144" t="str">
        <x:v>Review target cost base and entry economics</x:v>
      </x:c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O14" s="115"/>
      <x:c r="P14" s="115"/>
      <x:c r="Q14" s="115"/>
      <x:c r="R14" s="115"/>
      <x:c r="S14" s="115"/>
      <x:c r="T14" s="115"/>
      <x:c r="U14" s="115"/>
      <x:c r="V14" s="115"/>
      <x:c r="W14" s="115"/>
      <x:c r="X14" s="115"/>
      <x:c r="Y14" s="115"/>
      <x:c r="Z14" s="115"/>
    </x:row>
    <x:row r="15" ht="39.599998474121094" hidden="0" customHeight="1">
      <x:c r="A15" s="144" t="str">
        <x:v>Synergy_Tracker</x:v>
      </x:c>
      <x:c r="B15" s="144" t="str">
        <x:v>Enter initiatives, target values, risk haircuts, realization, evidence quality</x:v>
      </x:c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115"/>
      <x:c r="P15" s="115"/>
      <x:c r="Q15" s="115"/>
      <x:c r="R15" s="115"/>
      <x:c r="S15" s="115"/>
      <x:c r="T15" s="115"/>
      <x:c r="U15" s="115"/>
      <x:c r="V15" s="115"/>
      <x:c r="W15" s="115"/>
      <x:c r="X15" s="115"/>
      <x:c r="Y15" s="115"/>
      <x:c r="Z15" s="115"/>
    </x:row>
    <x:row r="16" ht="26.399999618530273" hidden="0" customHeight="1">
      <x:c r="A16" s="144" t="str">
        <x:v>Integration_Milestones</x:v>
      </x:c>
      <x:c r="B16" s="144" t="str">
        <x:v>Track integration execution and due dates</x:v>
      </x:c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  <x:c r="O16" s="115"/>
      <x:c r="P16" s="115"/>
      <x:c r="Q16" s="115"/>
      <x:c r="R16" s="115"/>
      <x:c r="S16" s="115"/>
      <x:c r="T16" s="115"/>
      <x:c r="U16" s="115"/>
      <x:c r="V16" s="115"/>
      <x:c r="W16" s="115"/>
      <x:c r="X16" s="115"/>
      <x:c r="Y16" s="115"/>
      <x:c r="Z16" s="115"/>
    </x:row>
    <x:row r="17" ht="39.599998474121094" hidden="0" customHeight="1">
      <x:c r="A17" s="144" t="str">
        <x:v>Workstream_Detail</x:v>
      </x:c>
      <x:c r="B17" s="144" t="str">
        <x:v>Summarize target/capture/validation by workstream</x:v>
      </x:c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  <x:c r="O17" s="115"/>
      <x:c r="P17" s="115"/>
      <x:c r="Q17" s="115"/>
      <x:c r="R17" s="115"/>
      <x:c r="S17" s="115"/>
      <x:c r="T17" s="115"/>
      <x:c r="U17" s="115"/>
      <x:c r="V17" s="115"/>
      <x:c r="W17" s="115"/>
      <x:c r="X17" s="115"/>
      <x:c r="Y17" s="115"/>
      <x:c r="Z17" s="115"/>
    </x:row>
    <x:row r="18" ht="39.599998474121094" hidden="0" customHeight="1">
      <x:c r="A18" s="144" t="str">
        <x:v>EBITDA_Bridge</x:v>
      </x:c>
      <x:c r="B18" s="144" t="str">
        <x:v>Translate synergies into post-synergy EBITDA and enterprise value</x:v>
      </x:c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  <x:c r="M18" s="115"/>
      <x:c r="N18" s="115"/>
      <x:c r="O18" s="115"/>
      <x:c r="P18" s="115"/>
      <x:c r="Q18" s="115"/>
      <x:c r="R18" s="115"/>
      <x:c r="S18" s="115"/>
      <x:c r="T18" s="115"/>
      <x:c r="U18" s="115"/>
      <x:c r="V18" s="115"/>
      <x:c r="W18" s="115"/>
      <x:c r="X18" s="115"/>
      <x:c r="Y18" s="115"/>
      <x:c r="Z18" s="115"/>
    </x:row>
    <x:row r="19" ht="26.399999618530273" hidden="0" customHeight="1">
      <x:c r="A19" s="144" t="str">
        <x:v>Dashboard</x:v>
      </x:c>
      <x:c r="B19" s="144" t="str">
        <x:v>Use as executive summary and management action page</x:v>
      </x:c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  <x:c r="O19" s="115"/>
      <x:c r="P19" s="115"/>
      <x:c r="Q19" s="115"/>
      <x:c r="R19" s="115"/>
      <x:c r="S19" s="115"/>
      <x:c r="T19" s="115"/>
      <x:c r="U19" s="115"/>
      <x:c r="V19" s="115"/>
      <x:c r="W19" s="115"/>
      <x:c r="X19" s="115"/>
      <x:c r="Y19" s="115"/>
      <x:c r="Z19" s="115"/>
    </x:row>
    <x:row r="20" ht="15" hidden="0" customHeight="1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  <x:c r="O20" s="115"/>
      <x:c r="P20" s="115"/>
      <x:c r="Q20" s="115"/>
      <x:c r="R20" s="115"/>
      <x:c r="S20" s="115"/>
      <x:c r="T20" s="115"/>
      <x:c r="U20" s="115"/>
      <x:c r="V20" s="115"/>
      <x:c r="W20" s="115"/>
      <x:c r="X20" s="115"/>
      <x:c r="Y20" s="115"/>
      <x:c r="Z20" s="115"/>
    </x:row>
    <x:row r="21" ht="15" hidden="0" customHeight="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  <x:c r="S21" s="115"/>
      <x:c r="T21" s="115"/>
      <x:c r="U21" s="115"/>
      <x:c r="V21" s="115"/>
      <x:c r="W21" s="115"/>
      <x:c r="X21" s="115"/>
      <x:c r="Y21" s="115"/>
      <x:c r="Z21" s="115"/>
    </x:row>
    <x:row r="22" ht="15" hidden="0" customHeight="1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  <x:c r="S22" s="115"/>
      <x:c r="T22" s="115"/>
      <x:c r="U22" s="115"/>
      <x:c r="V22" s="115"/>
      <x:c r="W22" s="115"/>
      <x:c r="X22" s="115"/>
      <x:c r="Y22" s="115"/>
      <x:c r="Z22" s="115"/>
    </x:row>
    <x:row r="23" ht="15" hidden="0" customHeight="1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  <x:c r="S23" s="115"/>
      <x:c r="T23" s="115"/>
      <x:c r="U23" s="115"/>
      <x:c r="V23" s="115"/>
      <x:c r="W23" s="115"/>
      <x:c r="X23" s="115"/>
      <x:c r="Y23" s="115"/>
      <x:c r="Z23" s="115"/>
    </x:row>
    <x:row r="24" ht="15" hidden="0" customHeight="1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  <x:c r="S24" s="115"/>
      <x:c r="T24" s="115"/>
      <x:c r="U24" s="115"/>
      <x:c r="V24" s="115"/>
      <x:c r="W24" s="115"/>
      <x:c r="X24" s="115"/>
      <x:c r="Y24" s="115"/>
      <x:c r="Z24" s="115"/>
    </x:row>
    <x:row r="25" ht="15" hidden="0" customHeight="1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  <x:c r="S25" s="115"/>
      <x:c r="T25" s="115"/>
      <x:c r="U25" s="115"/>
      <x:c r="V25" s="115"/>
      <x:c r="W25" s="115"/>
      <x:c r="X25" s="115"/>
      <x:c r="Y25" s="115"/>
      <x:c r="Z25" s="115"/>
    </x:row>
    <x:row r="26" ht="15" hidden="0" customHeight="1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  <x:c r="S26" s="115"/>
      <x:c r="T26" s="115"/>
      <x:c r="U26" s="115"/>
      <x:c r="V26" s="115"/>
      <x:c r="W26" s="115"/>
      <x:c r="X26" s="115"/>
      <x:c r="Y26" s="115"/>
      <x:c r="Z26" s="115"/>
    </x:row>
    <x:row r="27" ht="15" hidden="0" customHeight="1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  <x:c r="S27" s="115"/>
      <x:c r="T27" s="115"/>
      <x:c r="U27" s="115"/>
      <x:c r="V27" s="115"/>
      <x:c r="W27" s="115"/>
      <x:c r="X27" s="115"/>
      <x:c r="Y27" s="115"/>
      <x:c r="Z27" s="115"/>
    </x:row>
    <x:row r="28" ht="15" hidden="0" customHeight="1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  <x:c r="S28" s="115"/>
      <x:c r="T28" s="115"/>
      <x:c r="U28" s="115"/>
      <x:c r="V28" s="115"/>
      <x:c r="W28" s="115"/>
      <x:c r="X28" s="115"/>
      <x:c r="Y28" s="115"/>
      <x:c r="Z28" s="115"/>
    </x:row>
    <x:row r="29" ht="15" hidden="0" customHeight="1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  <x:c r="S29" s="115"/>
      <x:c r="T29" s="115"/>
      <x:c r="U29" s="115"/>
      <x:c r="V29" s="115"/>
      <x:c r="W29" s="115"/>
      <x:c r="X29" s="115"/>
      <x:c r="Y29" s="115"/>
      <x:c r="Z29" s="115"/>
    </x:row>
    <x:row r="30" ht="15" hidden="0" customHeight="1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  <x:c r="S30" s="115"/>
      <x:c r="T30" s="115"/>
      <x:c r="U30" s="115"/>
      <x:c r="V30" s="115"/>
      <x:c r="W30" s="115"/>
      <x:c r="X30" s="115"/>
      <x:c r="Y30" s="115"/>
      <x:c r="Z30" s="115"/>
    </x:row>
    <x:row r="31" ht="15" hidden="0" customHeight="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  <x:c r="S31" s="115"/>
      <x:c r="T31" s="115"/>
      <x:c r="U31" s="115"/>
      <x:c r="V31" s="115"/>
      <x:c r="W31" s="115"/>
      <x:c r="X31" s="115"/>
      <x:c r="Y31" s="115"/>
      <x:c r="Z31" s="115"/>
    </x:row>
    <x:row r="32" ht="15" hidden="0" customHeight="1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  <x:c r="S32" s="115"/>
      <x:c r="T32" s="115"/>
      <x:c r="U32" s="115"/>
      <x:c r="V32" s="115"/>
      <x:c r="W32" s="115"/>
      <x:c r="X32" s="115"/>
      <x:c r="Y32" s="115"/>
      <x:c r="Z32" s="115"/>
    </x:row>
    <x:row r="33" ht="15" hidden="0" customHeight="1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  <x:c r="S33" s="115"/>
      <x:c r="T33" s="115"/>
      <x:c r="U33" s="115"/>
      <x:c r="V33" s="115"/>
      <x:c r="W33" s="115"/>
      <x:c r="X33" s="115"/>
      <x:c r="Y33" s="115"/>
      <x:c r="Z33" s="115"/>
    </x:row>
    <x:row r="34" ht="15" hidden="0" customHeight="1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  <x:c r="S34" s="115"/>
      <x:c r="T34" s="115"/>
      <x:c r="U34" s="115"/>
      <x:c r="V34" s="115"/>
      <x:c r="W34" s="115"/>
      <x:c r="X34" s="115"/>
      <x:c r="Y34" s="115"/>
      <x:c r="Z34" s="115"/>
    </x:row>
    <x:row r="35" ht="15" hidden="0" customHeight="1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  <x:c r="S35" s="115"/>
      <x:c r="T35" s="115"/>
      <x:c r="U35" s="115"/>
      <x:c r="V35" s="115"/>
      <x:c r="W35" s="115"/>
      <x:c r="X35" s="115"/>
      <x:c r="Y35" s="115"/>
      <x:c r="Z35" s="115"/>
    </x:row>
    <x:row r="36" ht="15" hidden="0" customHeight="1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  <x:c r="S36" s="115"/>
      <x:c r="T36" s="115"/>
      <x:c r="U36" s="115"/>
      <x:c r="V36" s="115"/>
      <x:c r="W36" s="115"/>
      <x:c r="X36" s="115"/>
      <x:c r="Y36" s="115"/>
      <x:c r="Z36" s="115"/>
    </x:row>
    <x:row r="37" ht="15" hidden="0" customHeight="1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  <x:c r="S37" s="115"/>
      <x:c r="T37" s="115"/>
      <x:c r="U37" s="115"/>
      <x:c r="V37" s="115"/>
      <x:c r="W37" s="115"/>
      <x:c r="X37" s="115"/>
      <x:c r="Y37" s="115"/>
      <x:c r="Z37" s="115"/>
    </x:row>
    <x:row r="38" ht="15" hidden="0" customHeight="1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  <x:c r="S38" s="115"/>
      <x:c r="T38" s="115"/>
      <x:c r="U38" s="115"/>
      <x:c r="V38" s="115"/>
      <x:c r="W38" s="115"/>
      <x:c r="X38" s="115"/>
      <x:c r="Y38" s="115"/>
      <x:c r="Z38" s="115"/>
    </x:row>
    <x:row r="39" ht="15" hidden="0" customHeight="1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  <x:c r="S39" s="115"/>
      <x:c r="T39" s="115"/>
      <x:c r="U39" s="115"/>
      <x:c r="V39" s="115"/>
      <x:c r="W39" s="115"/>
      <x:c r="X39" s="115"/>
      <x:c r="Y39" s="115"/>
      <x:c r="Z39" s="115"/>
    </x:row>
    <x:row r="40" ht="15" hidden="0" customHeight="1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  <x:c r="S40" s="115"/>
      <x:c r="T40" s="115"/>
      <x:c r="U40" s="115"/>
      <x:c r="V40" s="115"/>
      <x:c r="W40" s="115"/>
      <x:c r="X40" s="115"/>
      <x:c r="Y40" s="115"/>
      <x:c r="Z40" s="115"/>
    </x:row>
    <x:row r="41" ht="15" hidden="0" customHeight="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  <x:c r="S41" s="115"/>
      <x:c r="T41" s="115"/>
      <x:c r="U41" s="115"/>
      <x:c r="V41" s="115"/>
      <x:c r="W41" s="115"/>
      <x:c r="X41" s="115"/>
      <x:c r="Y41" s="115"/>
      <x:c r="Z41" s="115"/>
    </x:row>
    <x:row r="42" ht="15" hidden="0" customHeight="1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5"/>
      <x:c r="U42" s="115"/>
      <x:c r="V42" s="115"/>
      <x:c r="W42" s="115"/>
      <x:c r="X42" s="115"/>
      <x:c r="Y42" s="115"/>
      <x:c r="Z42" s="115"/>
    </x:row>
    <x:row r="43" ht="15" hidden="0" customHeight="1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  <x:c r="S43" s="115"/>
      <x:c r="T43" s="115"/>
      <x:c r="U43" s="115"/>
      <x:c r="V43" s="115"/>
      <x:c r="W43" s="115"/>
      <x:c r="X43" s="115"/>
      <x:c r="Y43" s="115"/>
      <x:c r="Z43" s="115"/>
    </x:row>
    <x:row r="44" ht="15" hidden="0" customHeight="1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  <x:c r="S44" s="115"/>
      <x:c r="T44" s="115"/>
      <x:c r="U44" s="115"/>
      <x:c r="V44" s="115"/>
      <x:c r="W44" s="115"/>
      <x:c r="X44" s="115"/>
      <x:c r="Y44" s="115"/>
      <x:c r="Z44" s="115"/>
    </x:row>
    <x:row r="45" ht="15" hidden="0" customHeight="1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  <x:c r="S45" s="115"/>
      <x:c r="T45" s="115"/>
      <x:c r="U45" s="115"/>
      <x:c r="V45" s="115"/>
      <x:c r="W45" s="115"/>
      <x:c r="X45" s="115"/>
      <x:c r="Y45" s="115"/>
      <x:c r="Z45" s="115"/>
    </x:row>
    <x:row r="46" ht="15" hidden="0" customHeight="1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  <x:c r="S46" s="115"/>
      <x:c r="T46" s="115"/>
      <x:c r="U46" s="115"/>
      <x:c r="V46" s="115"/>
      <x:c r="W46" s="115"/>
      <x:c r="X46" s="115"/>
      <x:c r="Y46" s="115"/>
      <x:c r="Z46" s="115"/>
    </x:row>
    <x:row r="47" ht="15" hidden="0" customHeight="1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  <x:c r="S47" s="115"/>
      <x:c r="T47" s="115"/>
      <x:c r="U47" s="115"/>
      <x:c r="V47" s="115"/>
      <x:c r="W47" s="115"/>
      <x:c r="X47" s="115"/>
      <x:c r="Y47" s="115"/>
      <x:c r="Z47" s="115"/>
    </x:row>
    <x:row r="48" ht="15" hidden="0" customHeight="1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  <x:c r="S48" s="115"/>
      <x:c r="T48" s="115"/>
      <x:c r="U48" s="115"/>
      <x:c r="V48" s="115"/>
      <x:c r="W48" s="115"/>
      <x:c r="X48" s="115"/>
      <x:c r="Y48" s="115"/>
      <x:c r="Z48" s="115"/>
    </x:row>
    <x:row r="49" ht="15" hidden="0" customHeight="1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  <x:c r="S49" s="115"/>
      <x:c r="T49" s="115"/>
      <x:c r="U49" s="115"/>
      <x:c r="V49" s="115"/>
      <x:c r="W49" s="115"/>
      <x:c r="X49" s="115"/>
      <x:c r="Y49" s="115"/>
      <x:c r="Z49" s="115"/>
    </x:row>
    <x:row r="50" ht="15" hidden="0" customHeight="1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  <x:c r="S50" s="115"/>
      <x:c r="T50" s="115"/>
      <x:c r="U50" s="115"/>
      <x:c r="V50" s="115"/>
      <x:c r="W50" s="115"/>
      <x:c r="X50" s="115"/>
      <x:c r="Y50" s="115"/>
      <x:c r="Z50" s="115"/>
    </x:row>
    <x:row r="51" ht="15" hidden="0" customHeight="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  <x:c r="S51" s="115"/>
      <x:c r="T51" s="115"/>
      <x:c r="U51" s="115"/>
      <x:c r="V51" s="115"/>
      <x:c r="W51" s="115"/>
      <x:c r="X51" s="115"/>
      <x:c r="Y51" s="115"/>
      <x:c r="Z51" s="115"/>
    </x:row>
    <x:row r="52" ht="15" hidden="0" customHeight="1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  <x:c r="S52" s="115"/>
      <x:c r="T52" s="115"/>
      <x:c r="U52" s="115"/>
      <x:c r="V52" s="115"/>
      <x:c r="W52" s="115"/>
      <x:c r="X52" s="115"/>
      <x:c r="Y52" s="115"/>
      <x:c r="Z52" s="115"/>
    </x:row>
    <x:row r="53" ht="15" hidden="0" customHeight="1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  <x:c r="S53" s="115"/>
      <x:c r="T53" s="115"/>
      <x:c r="U53" s="115"/>
      <x:c r="V53" s="115"/>
      <x:c r="W53" s="115"/>
      <x:c r="X53" s="115"/>
      <x:c r="Y53" s="115"/>
      <x:c r="Z53" s="115"/>
    </x:row>
    <x:row r="54" ht="15" hidden="0" customHeight="1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  <x:c r="S54" s="115"/>
      <x:c r="T54" s="115"/>
      <x:c r="U54" s="115"/>
      <x:c r="V54" s="115"/>
      <x:c r="W54" s="115"/>
      <x:c r="X54" s="115"/>
      <x:c r="Y54" s="115"/>
      <x:c r="Z54" s="115"/>
    </x:row>
    <x:row r="55" ht="15" hidden="0" customHeight="1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  <x:c r="S55" s="115"/>
      <x:c r="T55" s="115"/>
      <x:c r="U55" s="115"/>
      <x:c r="V55" s="115"/>
      <x:c r="W55" s="115"/>
      <x:c r="X55" s="115"/>
      <x:c r="Y55" s="115"/>
      <x:c r="Z55" s="115"/>
    </x:row>
    <x:row r="56" ht="15" hidden="0" customHeight="1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  <x:c r="S56" s="115"/>
      <x:c r="T56" s="115"/>
      <x:c r="U56" s="115"/>
      <x:c r="V56" s="115"/>
      <x:c r="W56" s="115"/>
      <x:c r="X56" s="115"/>
      <x:c r="Y56" s="115"/>
      <x:c r="Z56" s="115"/>
    </x:row>
    <x:row r="57" ht="15" hidden="0" customHeight="1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  <x:c r="S57" s="115"/>
      <x:c r="T57" s="115"/>
      <x:c r="U57" s="115"/>
      <x:c r="V57" s="115"/>
      <x:c r="W57" s="115"/>
      <x:c r="X57" s="115"/>
      <x:c r="Y57" s="115"/>
      <x:c r="Z57" s="115"/>
    </x:row>
    <x:row r="58" ht="15" hidden="0" customHeight="1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  <x:c r="S58" s="115"/>
      <x:c r="T58" s="115"/>
      <x:c r="U58" s="115"/>
      <x:c r="V58" s="115"/>
      <x:c r="W58" s="115"/>
      <x:c r="X58" s="115"/>
      <x:c r="Y58" s="115"/>
      <x:c r="Z58" s="115"/>
    </x:row>
    <x:row r="59" ht="15" hidden="0" customHeight="1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15"/>
      <x:c r="T59" s="115"/>
      <x:c r="U59" s="115"/>
      <x:c r="V59" s="115"/>
      <x:c r="W59" s="115"/>
      <x:c r="X59" s="115"/>
      <x:c r="Y59" s="115"/>
      <x:c r="Z59" s="115"/>
    </x:row>
    <x:row r="60" ht="15" hidden="0" customHeight="1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15"/>
      <x:c r="T60" s="115"/>
      <x:c r="U60" s="115"/>
      <x:c r="V60" s="115"/>
      <x:c r="W60" s="115"/>
      <x:c r="X60" s="115"/>
      <x:c r="Y60" s="115"/>
      <x:c r="Z60" s="115"/>
    </x:row>
    <x:row r="61" ht="15" hidden="0" customHeight="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  <x:c r="S61" s="115"/>
      <x:c r="T61" s="115"/>
      <x:c r="U61" s="115"/>
      <x:c r="V61" s="115"/>
      <x:c r="W61" s="115"/>
      <x:c r="X61" s="115"/>
      <x:c r="Y61" s="115"/>
      <x:c r="Z61" s="115"/>
    </x:row>
    <x:row r="62" ht="15" hidden="0" customHeight="1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  <x:c r="S62" s="115"/>
      <x:c r="T62" s="115"/>
      <x:c r="U62" s="115"/>
      <x:c r="V62" s="115"/>
      <x:c r="W62" s="115"/>
      <x:c r="X62" s="115"/>
      <x:c r="Y62" s="115"/>
      <x:c r="Z62" s="115"/>
    </x:row>
    <x:row r="63" ht="15" hidden="0" customHeight="1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5"/>
      <x:c r="T63" s="115"/>
      <x:c r="U63" s="115"/>
      <x:c r="V63" s="115"/>
      <x:c r="W63" s="115"/>
      <x:c r="X63" s="115"/>
      <x:c r="Y63" s="115"/>
      <x:c r="Z63" s="115"/>
    </x:row>
    <x:row r="64" ht="15" hidden="0" customHeight="1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  <x:c r="S64" s="115"/>
      <x:c r="T64" s="115"/>
      <x:c r="U64" s="115"/>
      <x:c r="V64" s="115"/>
      <x:c r="W64" s="115"/>
      <x:c r="X64" s="115"/>
      <x:c r="Y64" s="115"/>
      <x:c r="Z64" s="115"/>
    </x:row>
    <x:row r="65" ht="15" hidden="0" customHeight="1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  <x:c r="S65" s="115"/>
      <x:c r="T65" s="115"/>
      <x:c r="U65" s="115"/>
      <x:c r="V65" s="115"/>
      <x:c r="W65" s="115"/>
      <x:c r="X65" s="115"/>
      <x:c r="Y65" s="115"/>
      <x:c r="Z65" s="115"/>
    </x:row>
    <x:row r="66" ht="15" hidden="0" customHeight="1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  <x:c r="S66" s="115"/>
      <x:c r="T66" s="115"/>
      <x:c r="U66" s="115"/>
      <x:c r="V66" s="115"/>
      <x:c r="W66" s="115"/>
      <x:c r="X66" s="115"/>
      <x:c r="Y66" s="115"/>
      <x:c r="Z66" s="115"/>
    </x:row>
    <x:row r="67" ht="15" hidden="0" customHeight="1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  <x:c r="S67" s="115"/>
      <x:c r="T67" s="115"/>
      <x:c r="U67" s="115"/>
      <x:c r="V67" s="115"/>
      <x:c r="W67" s="115"/>
      <x:c r="X67" s="115"/>
      <x:c r="Y67" s="115"/>
      <x:c r="Z67" s="115"/>
    </x:row>
    <x:row r="68" ht="15" hidden="0" customHeight="1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  <x:c r="S68" s="115"/>
      <x:c r="T68" s="115"/>
      <x:c r="U68" s="115"/>
      <x:c r="V68" s="115"/>
      <x:c r="W68" s="115"/>
      <x:c r="X68" s="115"/>
      <x:c r="Y68" s="115"/>
      <x:c r="Z68" s="115"/>
    </x:row>
    <x:row r="69" ht="15" hidden="0" customHeight="1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  <x:c r="S69" s="115"/>
      <x:c r="T69" s="115"/>
      <x:c r="U69" s="115"/>
      <x:c r="V69" s="115"/>
      <x:c r="W69" s="115"/>
      <x:c r="X69" s="115"/>
      <x:c r="Y69" s="115"/>
      <x:c r="Z69" s="115"/>
    </x:row>
    <x:row r="70" ht="15" hidden="0" customHeight="1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  <x:c r="S70" s="115"/>
      <x:c r="T70" s="115"/>
      <x:c r="U70" s="115"/>
      <x:c r="V70" s="115"/>
      <x:c r="W70" s="115"/>
      <x:c r="X70" s="115"/>
      <x:c r="Y70" s="115"/>
      <x:c r="Z70" s="115"/>
    </x:row>
    <x:row r="71" ht="15" hidden="0" customHeight="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  <x:c r="S71" s="115"/>
      <x:c r="T71" s="115"/>
      <x:c r="U71" s="115"/>
      <x:c r="V71" s="115"/>
      <x:c r="W71" s="115"/>
      <x:c r="X71" s="115"/>
      <x:c r="Y71" s="115"/>
      <x:c r="Z71" s="115"/>
    </x:row>
    <x:row r="72" ht="15" hidden="0" customHeight="1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  <x:c r="S72" s="115"/>
      <x:c r="T72" s="115"/>
      <x:c r="U72" s="115"/>
      <x:c r="V72" s="115"/>
      <x:c r="W72" s="115"/>
      <x:c r="X72" s="115"/>
      <x:c r="Y72" s="115"/>
      <x:c r="Z72" s="115"/>
    </x:row>
    <x:row r="73" ht="15" hidden="0" customHeight="1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  <x:c r="S73" s="115"/>
      <x:c r="T73" s="115"/>
      <x:c r="U73" s="115"/>
      <x:c r="V73" s="115"/>
      <x:c r="W73" s="115"/>
      <x:c r="X73" s="115"/>
      <x:c r="Y73" s="115"/>
      <x:c r="Z73" s="115"/>
    </x:row>
    <x:row r="74" ht="15" hidden="0" customHeight="1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  <x:c r="S74" s="115"/>
      <x:c r="T74" s="115"/>
      <x:c r="U74" s="115"/>
      <x:c r="V74" s="115"/>
      <x:c r="W74" s="115"/>
      <x:c r="X74" s="115"/>
      <x:c r="Y74" s="115"/>
      <x:c r="Z74" s="115"/>
    </x:row>
    <x:row r="75" ht="15" hidden="0" customHeight="1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  <x:c r="S75" s="115"/>
      <x:c r="T75" s="115"/>
      <x:c r="U75" s="115"/>
      <x:c r="V75" s="115"/>
      <x:c r="W75" s="115"/>
      <x:c r="X75" s="115"/>
      <x:c r="Y75" s="115"/>
      <x:c r="Z75" s="115"/>
    </x:row>
    <x:row r="76" ht="15" hidden="0" customHeight="1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  <x:c r="S76" s="115"/>
      <x:c r="T76" s="115"/>
      <x:c r="U76" s="115"/>
      <x:c r="V76" s="115"/>
      <x:c r="W76" s="115"/>
      <x:c r="X76" s="115"/>
      <x:c r="Y76" s="115"/>
      <x:c r="Z76" s="115"/>
    </x:row>
    <x:row r="77" ht="15" hidden="0" customHeight="1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  <x:c r="S77" s="115"/>
      <x:c r="T77" s="115"/>
      <x:c r="U77" s="115"/>
      <x:c r="V77" s="115"/>
      <x:c r="W77" s="115"/>
      <x:c r="X77" s="115"/>
      <x:c r="Y77" s="115"/>
      <x:c r="Z77" s="115"/>
    </x:row>
    <x:row r="78" ht="15" hidden="0" customHeight="1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5"/>
      <x:c r="T78" s="115"/>
      <x:c r="U78" s="115"/>
      <x:c r="V78" s="115"/>
      <x:c r="W78" s="115"/>
      <x:c r="X78" s="115"/>
      <x:c r="Y78" s="115"/>
      <x:c r="Z78" s="115"/>
    </x:row>
    <x:row r="79" ht="15" hidden="0" customHeight="1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  <x:c r="S79" s="115"/>
      <x:c r="T79" s="115"/>
      <x:c r="U79" s="115"/>
      <x:c r="V79" s="115"/>
      <x:c r="W79" s="115"/>
      <x:c r="X79" s="115"/>
      <x:c r="Y79" s="115"/>
      <x:c r="Z79" s="115"/>
    </x:row>
    <x:row r="80" ht="15" hidden="0" customHeight="1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  <x:c r="S80" s="115"/>
      <x:c r="T80" s="115"/>
      <x:c r="U80" s="115"/>
      <x:c r="V80" s="115"/>
      <x:c r="W80" s="115"/>
      <x:c r="X80" s="115"/>
      <x:c r="Y80" s="115"/>
      <x:c r="Z80" s="115"/>
    </x:row>
    <x:row r="81" ht="15" hidden="0" customHeight="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  <x:c r="S81" s="115"/>
      <x:c r="T81" s="115"/>
      <x:c r="U81" s="115"/>
      <x:c r="V81" s="115"/>
      <x:c r="W81" s="115"/>
      <x:c r="X81" s="115"/>
      <x:c r="Y81" s="115"/>
      <x:c r="Z81" s="115"/>
    </x:row>
    <x:row r="82" ht="15" hidden="0" customHeight="1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  <x:c r="S82" s="115"/>
      <x:c r="T82" s="115"/>
      <x:c r="U82" s="115"/>
      <x:c r="V82" s="115"/>
      <x:c r="W82" s="115"/>
      <x:c r="X82" s="115"/>
      <x:c r="Y82" s="115"/>
      <x:c r="Z82" s="115"/>
    </x:row>
    <x:row r="83" ht="15" hidden="0" customHeight="1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  <x:c r="S83" s="115"/>
      <x:c r="T83" s="115"/>
      <x:c r="U83" s="115"/>
      <x:c r="V83" s="115"/>
      <x:c r="W83" s="115"/>
      <x:c r="X83" s="115"/>
      <x:c r="Y83" s="115"/>
      <x:c r="Z83" s="115"/>
    </x:row>
    <x:row r="84" ht="15" hidden="0" customHeight="1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  <x:c r="S84" s="115"/>
      <x:c r="T84" s="115"/>
      <x:c r="U84" s="115"/>
      <x:c r="V84" s="115"/>
      <x:c r="W84" s="115"/>
      <x:c r="X84" s="115"/>
      <x:c r="Y84" s="115"/>
      <x:c r="Z84" s="115"/>
    </x:row>
    <x:row r="85" ht="15" hidden="0" customHeight="1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  <x:c r="S85" s="115"/>
      <x:c r="T85" s="115"/>
      <x:c r="U85" s="115"/>
      <x:c r="V85" s="115"/>
      <x:c r="W85" s="115"/>
      <x:c r="X85" s="115"/>
      <x:c r="Y85" s="115"/>
      <x:c r="Z85" s="115"/>
    </x:row>
    <x:row r="86" ht="15" hidden="0" customHeight="1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  <x:c r="S86" s="115"/>
      <x:c r="T86" s="115"/>
      <x:c r="U86" s="115"/>
      <x:c r="V86" s="115"/>
      <x:c r="W86" s="115"/>
      <x:c r="X86" s="115"/>
      <x:c r="Y86" s="115"/>
      <x:c r="Z86" s="115"/>
    </x:row>
    <x:row r="87" ht="15" hidden="0" customHeight="1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  <x:c r="S87" s="115"/>
      <x:c r="T87" s="115"/>
      <x:c r="U87" s="115"/>
      <x:c r="V87" s="115"/>
      <x:c r="W87" s="115"/>
      <x:c r="X87" s="115"/>
      <x:c r="Y87" s="115"/>
      <x:c r="Z87" s="115"/>
    </x:row>
    <x:row r="88" ht="15" hidden="0" customHeight="1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  <x:c r="S88" s="115"/>
      <x:c r="T88" s="115"/>
      <x:c r="U88" s="115"/>
      <x:c r="V88" s="115"/>
      <x:c r="W88" s="115"/>
      <x:c r="X88" s="115"/>
      <x:c r="Y88" s="115"/>
      <x:c r="Z88" s="115"/>
    </x:row>
    <x:row r="89" ht="15" hidden="0" customHeight="1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  <x:c r="S89" s="115"/>
      <x:c r="T89" s="115"/>
      <x:c r="U89" s="115"/>
      <x:c r="V89" s="115"/>
      <x:c r="W89" s="115"/>
      <x:c r="X89" s="115"/>
      <x:c r="Y89" s="115"/>
      <x:c r="Z89" s="115"/>
    </x:row>
    <x:row r="90" ht="15" hidden="0" customHeight="1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  <x:c r="S90" s="115"/>
      <x:c r="T90" s="115"/>
      <x:c r="U90" s="115"/>
      <x:c r="V90" s="115"/>
      <x:c r="W90" s="115"/>
      <x:c r="X90" s="115"/>
      <x:c r="Y90" s="115"/>
      <x:c r="Z90" s="115"/>
    </x:row>
    <x:row r="91" ht="15" hidden="0" customHeight="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  <x:c r="S91" s="115"/>
      <x:c r="T91" s="115"/>
      <x:c r="U91" s="115"/>
      <x:c r="V91" s="115"/>
      <x:c r="W91" s="115"/>
      <x:c r="X91" s="115"/>
      <x:c r="Y91" s="115"/>
      <x:c r="Z91" s="115"/>
    </x:row>
    <x:row r="92" ht="15" hidden="0" customHeight="1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  <x:c r="S92" s="115"/>
      <x:c r="T92" s="115"/>
      <x:c r="U92" s="115"/>
      <x:c r="V92" s="115"/>
      <x:c r="W92" s="115"/>
      <x:c r="X92" s="115"/>
      <x:c r="Y92" s="115"/>
      <x:c r="Z92" s="115"/>
    </x:row>
    <x:row r="93" ht="15" hidden="0" customHeight="1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  <x:c r="S93" s="115"/>
      <x:c r="T93" s="115"/>
      <x:c r="U93" s="115"/>
      <x:c r="V93" s="115"/>
      <x:c r="W93" s="115"/>
      <x:c r="X93" s="115"/>
      <x:c r="Y93" s="115"/>
      <x:c r="Z93" s="115"/>
    </x:row>
    <x:row r="94" ht="15" hidden="0" customHeight="1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  <x:c r="S94" s="115"/>
      <x:c r="T94" s="115"/>
      <x:c r="U94" s="115"/>
      <x:c r="V94" s="115"/>
      <x:c r="W94" s="115"/>
      <x:c r="X94" s="115"/>
      <x:c r="Y94" s="115"/>
      <x:c r="Z94" s="115"/>
    </x:row>
    <x:row r="95" ht="15" hidden="0" customHeight="1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  <x:c r="S95" s="115"/>
      <x:c r="T95" s="115"/>
      <x:c r="U95" s="115"/>
      <x:c r="V95" s="115"/>
      <x:c r="W95" s="115"/>
      <x:c r="X95" s="115"/>
      <x:c r="Y95" s="115"/>
      <x:c r="Z95" s="115"/>
    </x:row>
    <x:row r="96" ht="15" hidden="0" customHeight="1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  <x:c r="S96" s="115"/>
      <x:c r="T96" s="115"/>
      <x:c r="U96" s="115"/>
      <x:c r="V96" s="115"/>
      <x:c r="W96" s="115"/>
      <x:c r="X96" s="115"/>
      <x:c r="Y96" s="115"/>
      <x:c r="Z96" s="115"/>
    </x:row>
    <x:row r="97" ht="15" hidden="0" customHeight="1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  <x:c r="S97" s="115"/>
      <x:c r="T97" s="115"/>
      <x:c r="U97" s="115"/>
      <x:c r="V97" s="115"/>
      <x:c r="W97" s="115"/>
      <x:c r="X97" s="115"/>
      <x:c r="Y97" s="115"/>
      <x:c r="Z97" s="115"/>
    </x:row>
    <x:row r="98" ht="15" hidden="0" customHeight="1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  <x:c r="S98" s="115"/>
      <x:c r="T98" s="115"/>
      <x:c r="U98" s="115"/>
      <x:c r="V98" s="115"/>
      <x:c r="W98" s="115"/>
      <x:c r="X98" s="115"/>
      <x:c r="Y98" s="115"/>
      <x:c r="Z98" s="115"/>
    </x:row>
    <x:row r="99" ht="15" hidden="0" customHeight="1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  <x:c r="S99" s="115"/>
      <x:c r="T99" s="115"/>
      <x:c r="U99" s="115"/>
      <x:c r="V99" s="115"/>
      <x:c r="W99" s="115"/>
      <x:c r="X99" s="115"/>
      <x:c r="Y99" s="115"/>
      <x:c r="Z99" s="115"/>
    </x:row>
    <x:row r="100" ht="15" hidden="0" customHeight="1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  <x:c r="S100" s="115"/>
      <x:c r="T100" s="115"/>
      <x:c r="U100" s="115"/>
      <x:c r="V100" s="115"/>
      <x:c r="W100" s="115"/>
      <x:c r="X100" s="115"/>
      <x:c r="Y100" s="115"/>
      <x:c r="Z100" s="115"/>
    </x:row>
    <x:row r="101" ht="15" hidden="0" customHeight="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  <x:c r="S101" s="115"/>
      <x:c r="T101" s="115"/>
      <x:c r="U101" s="115"/>
      <x:c r="V101" s="115"/>
      <x:c r="W101" s="115"/>
      <x:c r="X101" s="115"/>
      <x:c r="Y101" s="115"/>
      <x:c r="Z101" s="115"/>
    </x:row>
    <x:row r="102" ht="15" hidden="0" customHeight="1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  <x:c r="S102" s="115"/>
      <x:c r="T102" s="115"/>
      <x:c r="U102" s="115"/>
      <x:c r="V102" s="115"/>
      <x:c r="W102" s="115"/>
      <x:c r="X102" s="115"/>
      <x:c r="Y102" s="115"/>
      <x:c r="Z102" s="115"/>
    </x:row>
    <x:row r="103" ht="15" hidden="0" customHeight="1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  <x:c r="S103" s="115"/>
      <x:c r="T103" s="115"/>
      <x:c r="U103" s="115"/>
      <x:c r="V103" s="115"/>
      <x:c r="W103" s="115"/>
      <x:c r="X103" s="115"/>
      <x:c r="Y103" s="115"/>
      <x:c r="Z103" s="115"/>
    </x:row>
    <x:row r="104" ht="15" hidden="0" customHeight="1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  <x:c r="S104" s="115"/>
      <x:c r="T104" s="115"/>
      <x:c r="U104" s="115"/>
      <x:c r="V104" s="115"/>
      <x:c r="W104" s="115"/>
      <x:c r="X104" s="115"/>
      <x:c r="Y104" s="115"/>
      <x:c r="Z104" s="115"/>
    </x:row>
    <x:row r="105" ht="15" hidden="0" customHeight="1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  <x:c r="S105" s="115"/>
      <x:c r="T105" s="115"/>
      <x:c r="U105" s="115"/>
      <x:c r="V105" s="115"/>
      <x:c r="W105" s="115"/>
      <x:c r="X105" s="115"/>
      <x:c r="Y105" s="115"/>
      <x:c r="Z105" s="115"/>
    </x:row>
    <x:row r="106" ht="15" hidden="0" customHeight="1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  <x:c r="S106" s="115"/>
      <x:c r="T106" s="115"/>
      <x:c r="U106" s="115"/>
      <x:c r="V106" s="115"/>
      <x:c r="W106" s="115"/>
      <x:c r="X106" s="115"/>
      <x:c r="Y106" s="115"/>
      <x:c r="Z106" s="115"/>
    </x:row>
    <x:row r="107" ht="15" hidden="0" customHeight="1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  <x:c r="S107" s="115"/>
      <x:c r="T107" s="115"/>
      <x:c r="U107" s="115"/>
      <x:c r="V107" s="115"/>
      <x:c r="W107" s="115"/>
      <x:c r="X107" s="115"/>
      <x:c r="Y107" s="115"/>
      <x:c r="Z107" s="115"/>
    </x:row>
    <x:row r="108" ht="15" hidden="0" customHeight="1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  <x:c r="S108" s="115"/>
      <x:c r="T108" s="115"/>
      <x:c r="U108" s="115"/>
      <x:c r="V108" s="115"/>
      <x:c r="W108" s="115"/>
      <x:c r="X108" s="115"/>
      <x:c r="Y108" s="115"/>
      <x:c r="Z108" s="115"/>
    </x:row>
    <x:row r="109" ht="15" hidden="0" customHeight="1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  <x:c r="S109" s="115"/>
      <x:c r="T109" s="115"/>
      <x:c r="U109" s="115"/>
      <x:c r="V109" s="115"/>
      <x:c r="W109" s="115"/>
      <x:c r="X109" s="115"/>
      <x:c r="Y109" s="115"/>
      <x:c r="Z109" s="115"/>
    </x:row>
    <x:row r="110" ht="15" hidden="0" customHeight="1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  <x:c r="S110" s="115"/>
      <x:c r="T110" s="115"/>
      <x:c r="U110" s="115"/>
      <x:c r="V110" s="115"/>
      <x:c r="W110" s="115"/>
      <x:c r="X110" s="115"/>
      <x:c r="Y110" s="115"/>
      <x:c r="Z110" s="115"/>
    </x:row>
    <x:row r="111" ht="15" hidden="0" customHeight="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  <x:c r="S111" s="115"/>
      <x:c r="T111" s="115"/>
      <x:c r="U111" s="115"/>
      <x:c r="V111" s="115"/>
      <x:c r="W111" s="115"/>
      <x:c r="X111" s="115"/>
      <x:c r="Y111" s="115"/>
      <x:c r="Z111" s="115"/>
    </x:row>
    <x:row r="112" ht="15" hidden="0" customHeight="1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  <x:c r="S112" s="115"/>
      <x:c r="T112" s="115"/>
      <x:c r="U112" s="115"/>
      <x:c r="V112" s="115"/>
      <x:c r="W112" s="115"/>
      <x:c r="X112" s="115"/>
      <x:c r="Y112" s="115"/>
      <x:c r="Z112" s="115"/>
    </x:row>
    <x:row r="113" ht="15" hidden="0" customHeight="1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  <x:c r="S113" s="115"/>
      <x:c r="T113" s="115"/>
      <x:c r="U113" s="115"/>
      <x:c r="V113" s="115"/>
      <x:c r="W113" s="115"/>
      <x:c r="X113" s="115"/>
      <x:c r="Y113" s="115"/>
      <x:c r="Z113" s="115"/>
    </x:row>
    <x:row r="114" ht="15" hidden="0" customHeight="1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  <x:c r="S114" s="115"/>
      <x:c r="T114" s="115"/>
      <x:c r="U114" s="115"/>
      <x:c r="V114" s="115"/>
      <x:c r="W114" s="115"/>
      <x:c r="X114" s="115"/>
      <x:c r="Y114" s="115"/>
      <x:c r="Z114" s="115"/>
    </x:row>
    <x:row r="115" ht="15" hidden="0" customHeight="1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  <x:c r="S115" s="115"/>
      <x:c r="T115" s="115"/>
      <x:c r="U115" s="115"/>
      <x:c r="V115" s="115"/>
      <x:c r="W115" s="115"/>
      <x:c r="X115" s="115"/>
      <x:c r="Y115" s="115"/>
      <x:c r="Z115" s="115"/>
    </x:row>
    <x:row r="116" ht="15" hidden="0" customHeight="1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  <x:c r="S116" s="115"/>
      <x:c r="T116" s="115"/>
      <x:c r="U116" s="115"/>
      <x:c r="V116" s="115"/>
      <x:c r="W116" s="115"/>
      <x:c r="X116" s="115"/>
      <x:c r="Y116" s="115"/>
      <x:c r="Z116" s="115"/>
    </x:row>
    <x:row r="117" ht="15" hidden="0" customHeight="1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  <x:c r="S117" s="115"/>
      <x:c r="T117" s="115"/>
      <x:c r="U117" s="115"/>
      <x:c r="V117" s="115"/>
      <x:c r="W117" s="115"/>
      <x:c r="X117" s="115"/>
      <x:c r="Y117" s="115"/>
      <x:c r="Z117" s="115"/>
    </x:row>
    <x:row r="118" ht="15" hidden="0" customHeight="1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  <x:c r="S118" s="115"/>
      <x:c r="T118" s="115"/>
      <x:c r="U118" s="115"/>
      <x:c r="V118" s="115"/>
      <x:c r="W118" s="115"/>
      <x:c r="X118" s="115"/>
      <x:c r="Y118" s="115"/>
      <x:c r="Z118" s="115"/>
    </x:row>
    <x:row r="119" ht="15" hidden="0" customHeight="1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  <x:c r="S119" s="115"/>
      <x:c r="T119" s="115"/>
      <x:c r="U119" s="115"/>
      <x:c r="V119" s="115"/>
      <x:c r="W119" s="115"/>
      <x:c r="X119" s="115"/>
      <x:c r="Y119" s="115"/>
      <x:c r="Z119" s="115"/>
    </x:row>
    <x:row r="120" ht="15" hidden="0" customHeight="1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  <x:c r="S120" s="115"/>
      <x:c r="T120" s="115"/>
      <x:c r="U120" s="115"/>
      <x:c r="V120" s="115"/>
      <x:c r="W120" s="115"/>
      <x:c r="X120" s="115"/>
      <x:c r="Y120" s="115"/>
      <x:c r="Z120" s="115"/>
    </x:row>
    <x:row r="121" ht="15" hidden="0" customHeight="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  <x:c r="S121" s="115"/>
      <x:c r="T121" s="115"/>
      <x:c r="U121" s="115"/>
      <x:c r="V121" s="115"/>
      <x:c r="W121" s="115"/>
      <x:c r="X121" s="115"/>
      <x:c r="Y121" s="115"/>
      <x:c r="Z121" s="115"/>
    </x:row>
    <x:row r="122" ht="15" hidden="0" customHeight="1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  <x:c r="S122" s="115"/>
      <x:c r="T122" s="115"/>
      <x:c r="U122" s="115"/>
      <x:c r="V122" s="115"/>
      <x:c r="W122" s="115"/>
      <x:c r="X122" s="115"/>
      <x:c r="Y122" s="115"/>
      <x:c r="Z122" s="115"/>
    </x:row>
    <x:row r="123" ht="15" hidden="0" customHeight="1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  <x:c r="S123" s="115"/>
      <x:c r="T123" s="115"/>
      <x:c r="U123" s="115"/>
      <x:c r="V123" s="115"/>
      <x:c r="W123" s="115"/>
      <x:c r="X123" s="115"/>
      <x:c r="Y123" s="115"/>
      <x:c r="Z123" s="115"/>
    </x:row>
    <x:row r="124" ht="15" hidden="0" customHeight="1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  <x:c r="S124" s="115"/>
      <x:c r="T124" s="115"/>
      <x:c r="U124" s="115"/>
      <x:c r="V124" s="115"/>
      <x:c r="W124" s="115"/>
      <x:c r="X124" s="115"/>
      <x:c r="Y124" s="115"/>
      <x:c r="Z124" s="115"/>
    </x:row>
    <x:row r="125" ht="15" hidden="0" customHeight="1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  <x:c r="S125" s="115"/>
      <x:c r="T125" s="115"/>
      <x:c r="U125" s="115"/>
      <x:c r="V125" s="115"/>
      <x:c r="W125" s="115"/>
      <x:c r="X125" s="115"/>
      <x:c r="Y125" s="115"/>
      <x:c r="Z125" s="115"/>
    </x:row>
    <x:row r="126" ht="15" hidden="0" customHeight="1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  <x:c r="S126" s="115"/>
      <x:c r="T126" s="115"/>
      <x:c r="U126" s="115"/>
      <x:c r="V126" s="115"/>
      <x:c r="W126" s="115"/>
      <x:c r="X126" s="115"/>
      <x:c r="Y126" s="115"/>
      <x:c r="Z126" s="115"/>
    </x:row>
    <x:row r="127" ht="15" hidden="0" customHeight="1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  <x:c r="S127" s="115"/>
      <x:c r="T127" s="115"/>
      <x:c r="U127" s="115"/>
      <x:c r="V127" s="115"/>
      <x:c r="W127" s="115"/>
      <x:c r="X127" s="115"/>
      <x:c r="Y127" s="115"/>
      <x:c r="Z127" s="115"/>
    </x:row>
    <x:row r="128" ht="15" hidden="0" customHeight="1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  <x:c r="S128" s="115"/>
      <x:c r="T128" s="115"/>
      <x:c r="U128" s="115"/>
      <x:c r="V128" s="115"/>
      <x:c r="W128" s="115"/>
      <x:c r="X128" s="115"/>
      <x:c r="Y128" s="115"/>
      <x:c r="Z128" s="115"/>
    </x:row>
    <x:row r="129" ht="15" hidden="0" customHeight="1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  <x:c r="S129" s="115"/>
      <x:c r="T129" s="115"/>
      <x:c r="U129" s="115"/>
      <x:c r="V129" s="115"/>
      <x:c r="W129" s="115"/>
      <x:c r="X129" s="115"/>
      <x:c r="Y129" s="115"/>
      <x:c r="Z129" s="115"/>
    </x:row>
    <x:row r="130" ht="15" hidden="0" customHeight="1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  <x:c r="S130" s="115"/>
      <x:c r="T130" s="115"/>
      <x:c r="U130" s="115"/>
      <x:c r="V130" s="115"/>
      <x:c r="W130" s="115"/>
      <x:c r="X130" s="115"/>
      <x:c r="Y130" s="115"/>
      <x:c r="Z130" s="115"/>
    </x:row>
    <x:row r="131" ht="15" hidden="0" customHeight="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  <x:c r="S131" s="115"/>
      <x:c r="T131" s="115"/>
      <x:c r="U131" s="115"/>
      <x:c r="V131" s="115"/>
      <x:c r="W131" s="115"/>
      <x:c r="X131" s="115"/>
      <x:c r="Y131" s="115"/>
      <x:c r="Z131" s="115"/>
    </x:row>
    <x:row r="132" ht="15" hidden="0" customHeight="1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  <x:c r="S132" s="115"/>
      <x:c r="T132" s="115"/>
      <x:c r="U132" s="115"/>
      <x:c r="V132" s="115"/>
      <x:c r="W132" s="115"/>
      <x:c r="X132" s="115"/>
      <x:c r="Y132" s="115"/>
      <x:c r="Z132" s="115"/>
    </x:row>
    <x:row r="133" ht="15" hidden="0" customHeight="1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  <x:c r="S133" s="115"/>
      <x:c r="T133" s="115"/>
      <x:c r="U133" s="115"/>
      <x:c r="V133" s="115"/>
      <x:c r="W133" s="115"/>
      <x:c r="X133" s="115"/>
      <x:c r="Y133" s="115"/>
      <x:c r="Z133" s="115"/>
    </x:row>
    <x:row r="134" ht="15" hidden="0" customHeight="1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  <x:c r="S134" s="115"/>
      <x:c r="T134" s="115"/>
      <x:c r="U134" s="115"/>
      <x:c r="V134" s="115"/>
      <x:c r="W134" s="115"/>
      <x:c r="X134" s="115"/>
      <x:c r="Y134" s="115"/>
      <x:c r="Z134" s="115"/>
    </x:row>
    <x:row r="135" ht="15" hidden="0" customHeight="1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  <x:c r="S135" s="115"/>
      <x:c r="T135" s="115"/>
      <x:c r="U135" s="115"/>
      <x:c r="V135" s="115"/>
      <x:c r="W135" s="115"/>
      <x:c r="X135" s="115"/>
      <x:c r="Y135" s="115"/>
      <x:c r="Z135" s="115"/>
    </x:row>
    <x:row r="136" ht="15" hidden="0" customHeight="1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  <x:c r="S136" s="115"/>
      <x:c r="T136" s="115"/>
      <x:c r="U136" s="115"/>
      <x:c r="V136" s="115"/>
      <x:c r="W136" s="115"/>
      <x:c r="X136" s="115"/>
      <x:c r="Y136" s="115"/>
      <x:c r="Z136" s="115"/>
    </x:row>
    <x:row r="137" ht="15" hidden="0" customHeight="1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  <x:c r="S137" s="115"/>
      <x:c r="T137" s="115"/>
      <x:c r="U137" s="115"/>
      <x:c r="V137" s="115"/>
      <x:c r="W137" s="115"/>
      <x:c r="X137" s="115"/>
      <x:c r="Y137" s="115"/>
      <x:c r="Z137" s="115"/>
    </x:row>
    <x:row r="138" ht="15" hidden="0" customHeight="1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5"/>
      <x:c r="T138" s="115"/>
      <x:c r="U138" s="115"/>
      <x:c r="V138" s="115"/>
      <x:c r="W138" s="115"/>
      <x:c r="X138" s="115"/>
      <x:c r="Y138" s="115"/>
      <x:c r="Z138" s="115"/>
    </x:row>
    <x:row r="139" ht="15" hidden="0" customHeight="1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  <x:c r="S139" s="115"/>
      <x:c r="T139" s="115"/>
      <x:c r="U139" s="115"/>
      <x:c r="V139" s="115"/>
      <x:c r="W139" s="115"/>
      <x:c r="X139" s="115"/>
      <x:c r="Y139" s="115"/>
      <x:c r="Z139" s="115"/>
    </x:row>
    <x:row r="140" ht="15" hidden="0" customHeight="1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  <x:c r="S140" s="115"/>
      <x:c r="T140" s="115"/>
      <x:c r="U140" s="115"/>
      <x:c r="V140" s="115"/>
      <x:c r="W140" s="115"/>
      <x:c r="X140" s="115"/>
      <x:c r="Y140" s="115"/>
      <x:c r="Z140" s="115"/>
    </x:row>
    <x:row r="141" ht="15" hidden="0" customHeight="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  <x:c r="S141" s="115"/>
      <x:c r="T141" s="115"/>
      <x:c r="U141" s="115"/>
      <x:c r="V141" s="115"/>
      <x:c r="W141" s="115"/>
      <x:c r="X141" s="115"/>
      <x:c r="Y141" s="115"/>
      <x:c r="Z141" s="115"/>
    </x:row>
    <x:row r="142" ht="15" hidden="0" customHeight="1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  <x:c r="S142" s="115"/>
      <x:c r="T142" s="115"/>
      <x:c r="U142" s="115"/>
      <x:c r="V142" s="115"/>
      <x:c r="W142" s="115"/>
      <x:c r="X142" s="115"/>
      <x:c r="Y142" s="115"/>
      <x:c r="Z142" s="115"/>
    </x:row>
    <x:row r="143" ht="15" hidden="0" customHeight="1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  <x:c r="S143" s="115"/>
      <x:c r="T143" s="115"/>
      <x:c r="U143" s="115"/>
      <x:c r="V143" s="115"/>
      <x:c r="W143" s="115"/>
      <x:c r="X143" s="115"/>
      <x:c r="Y143" s="115"/>
      <x:c r="Z143" s="115"/>
    </x:row>
    <x:row r="144" ht="15" hidden="0" customHeight="1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  <x:c r="S144" s="115"/>
      <x:c r="T144" s="115"/>
      <x:c r="U144" s="115"/>
      <x:c r="V144" s="115"/>
      <x:c r="W144" s="115"/>
      <x:c r="X144" s="115"/>
      <x:c r="Y144" s="115"/>
      <x:c r="Z144" s="115"/>
    </x:row>
    <x:row r="145" ht="15" hidden="0" customHeight="1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  <x:c r="S145" s="115"/>
      <x:c r="T145" s="115"/>
      <x:c r="U145" s="115"/>
      <x:c r="V145" s="115"/>
      <x:c r="W145" s="115"/>
      <x:c r="X145" s="115"/>
      <x:c r="Y145" s="115"/>
      <x:c r="Z145" s="115"/>
    </x:row>
    <x:row r="146" ht="15" hidden="0" customHeight="1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  <x:c r="S146" s="115"/>
      <x:c r="T146" s="115"/>
      <x:c r="U146" s="115"/>
      <x:c r="V146" s="115"/>
      <x:c r="W146" s="115"/>
      <x:c r="X146" s="115"/>
      <x:c r="Y146" s="115"/>
      <x:c r="Z146" s="115"/>
    </x:row>
    <x:row r="147" ht="15" hidden="0" customHeight="1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  <x:c r="S147" s="115"/>
      <x:c r="T147" s="115"/>
      <x:c r="U147" s="115"/>
      <x:c r="V147" s="115"/>
      <x:c r="W147" s="115"/>
      <x:c r="X147" s="115"/>
      <x:c r="Y147" s="115"/>
      <x:c r="Z147" s="115"/>
    </x:row>
    <x:row r="148" ht="15" hidden="0" customHeight="1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  <x:c r="S148" s="115"/>
      <x:c r="T148" s="115"/>
      <x:c r="U148" s="115"/>
      <x:c r="V148" s="115"/>
      <x:c r="W148" s="115"/>
      <x:c r="X148" s="115"/>
      <x:c r="Y148" s="115"/>
      <x:c r="Z148" s="115"/>
    </x:row>
    <x:row r="149" ht="15" hidden="0" customHeight="1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  <x:c r="S149" s="115"/>
      <x:c r="T149" s="115"/>
      <x:c r="U149" s="115"/>
      <x:c r="V149" s="115"/>
      <x:c r="W149" s="115"/>
      <x:c r="X149" s="115"/>
      <x:c r="Y149" s="115"/>
      <x:c r="Z149" s="115"/>
    </x:row>
    <x:row r="150" ht="15" hidden="0" customHeight="1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  <x:c r="S150" s="115"/>
      <x:c r="T150" s="115"/>
      <x:c r="U150" s="115"/>
      <x:c r="V150" s="115"/>
      <x:c r="W150" s="115"/>
      <x:c r="X150" s="115"/>
      <x:c r="Y150" s="115"/>
      <x:c r="Z150" s="115"/>
    </x:row>
    <x:row r="151" ht="15" hidden="0" customHeight="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  <x:c r="S151" s="115"/>
      <x:c r="T151" s="115"/>
      <x:c r="U151" s="115"/>
      <x:c r="V151" s="115"/>
      <x:c r="W151" s="115"/>
      <x:c r="X151" s="115"/>
      <x:c r="Y151" s="115"/>
      <x:c r="Z151" s="115"/>
    </x:row>
    <x:row r="152" ht="15" hidden="0" customHeight="1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  <x:c r="S152" s="115"/>
      <x:c r="T152" s="115"/>
      <x:c r="U152" s="115"/>
      <x:c r="V152" s="115"/>
      <x:c r="W152" s="115"/>
      <x:c r="X152" s="115"/>
      <x:c r="Y152" s="115"/>
      <x:c r="Z152" s="115"/>
    </x:row>
    <x:row r="153" ht="15" hidden="0" customHeight="1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  <x:c r="S153" s="115"/>
      <x:c r="T153" s="115"/>
      <x:c r="U153" s="115"/>
      <x:c r="V153" s="115"/>
      <x:c r="W153" s="115"/>
      <x:c r="X153" s="115"/>
      <x:c r="Y153" s="115"/>
      <x:c r="Z153" s="115"/>
    </x:row>
    <x:row r="154" ht="15" hidden="0" customHeight="1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  <x:c r="S154" s="115"/>
      <x:c r="T154" s="115"/>
      <x:c r="U154" s="115"/>
      <x:c r="V154" s="115"/>
      <x:c r="W154" s="115"/>
      <x:c r="X154" s="115"/>
      <x:c r="Y154" s="115"/>
      <x:c r="Z154" s="115"/>
    </x:row>
    <x:row r="155" ht="15" hidden="0" customHeight="1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  <x:c r="S155" s="115"/>
      <x:c r="T155" s="115"/>
      <x:c r="U155" s="115"/>
      <x:c r="V155" s="115"/>
      <x:c r="W155" s="115"/>
      <x:c r="X155" s="115"/>
      <x:c r="Y155" s="115"/>
      <x:c r="Z155" s="115"/>
    </x:row>
    <x:row r="156" ht="15" hidden="0" customHeight="1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  <x:c r="S156" s="115"/>
      <x:c r="T156" s="115"/>
      <x:c r="U156" s="115"/>
      <x:c r="V156" s="115"/>
      <x:c r="W156" s="115"/>
      <x:c r="X156" s="115"/>
      <x:c r="Y156" s="115"/>
      <x:c r="Z156" s="115"/>
    </x:row>
    <x:row r="157" ht="15" hidden="0" customHeight="1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  <x:c r="S157" s="115"/>
      <x:c r="T157" s="115"/>
      <x:c r="U157" s="115"/>
      <x:c r="V157" s="115"/>
      <x:c r="W157" s="115"/>
      <x:c r="X157" s="115"/>
      <x:c r="Y157" s="115"/>
      <x:c r="Z157" s="115"/>
    </x:row>
    <x:row r="158" ht="15" hidden="0" customHeight="1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  <x:c r="S158" s="115"/>
      <x:c r="T158" s="115"/>
      <x:c r="U158" s="115"/>
      <x:c r="V158" s="115"/>
      <x:c r="W158" s="115"/>
      <x:c r="X158" s="115"/>
      <x:c r="Y158" s="115"/>
      <x:c r="Z158" s="115"/>
    </x:row>
    <x:row r="159" ht="15" hidden="0" customHeight="1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  <x:c r="S159" s="115"/>
      <x:c r="T159" s="115"/>
      <x:c r="U159" s="115"/>
      <x:c r="V159" s="115"/>
      <x:c r="W159" s="115"/>
      <x:c r="X159" s="115"/>
      <x:c r="Y159" s="115"/>
      <x:c r="Z159" s="115"/>
    </x:row>
    <x:row r="160" ht="15" hidden="0" customHeight="1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  <x:c r="S160" s="115"/>
      <x:c r="T160" s="115"/>
      <x:c r="U160" s="115"/>
      <x:c r="V160" s="115"/>
      <x:c r="W160" s="115"/>
      <x:c r="X160" s="115"/>
      <x:c r="Y160" s="115"/>
      <x:c r="Z160" s="115"/>
    </x:row>
    <x:row r="161" ht="15" hidden="0" customHeight="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  <x:c r="S161" s="115"/>
      <x:c r="T161" s="115"/>
      <x:c r="U161" s="115"/>
      <x:c r="V161" s="115"/>
      <x:c r="W161" s="115"/>
      <x:c r="X161" s="115"/>
      <x:c r="Y161" s="115"/>
      <x:c r="Z161" s="115"/>
    </x:row>
    <x:row r="162" ht="15" hidden="0" customHeight="1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  <x:c r="S162" s="115"/>
      <x:c r="T162" s="115"/>
      <x:c r="U162" s="115"/>
      <x:c r="V162" s="115"/>
      <x:c r="W162" s="115"/>
      <x:c r="X162" s="115"/>
      <x:c r="Y162" s="115"/>
      <x:c r="Z162" s="115"/>
    </x:row>
    <x:row r="163" ht="15" hidden="0" customHeight="1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  <x:c r="S163" s="115"/>
      <x:c r="T163" s="115"/>
      <x:c r="U163" s="115"/>
      <x:c r="V163" s="115"/>
      <x:c r="W163" s="115"/>
      <x:c r="X163" s="115"/>
      <x:c r="Y163" s="115"/>
      <x:c r="Z163" s="115"/>
    </x:row>
    <x:row r="164" ht="15" hidden="0" customHeight="1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  <x:c r="S164" s="115"/>
      <x:c r="T164" s="115"/>
      <x:c r="U164" s="115"/>
      <x:c r="V164" s="115"/>
      <x:c r="W164" s="115"/>
      <x:c r="X164" s="115"/>
      <x:c r="Y164" s="115"/>
      <x:c r="Z164" s="115"/>
    </x:row>
    <x:row r="165" ht="15" hidden="0" customHeight="1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  <x:c r="S165" s="115"/>
      <x:c r="T165" s="115"/>
      <x:c r="U165" s="115"/>
      <x:c r="V165" s="115"/>
      <x:c r="W165" s="115"/>
      <x:c r="X165" s="115"/>
      <x:c r="Y165" s="115"/>
      <x:c r="Z165" s="115"/>
    </x:row>
    <x:row r="166" ht="15" hidden="0" customHeight="1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  <x:c r="S166" s="115"/>
      <x:c r="T166" s="115"/>
      <x:c r="U166" s="115"/>
      <x:c r="V166" s="115"/>
      <x:c r="W166" s="115"/>
      <x:c r="X166" s="115"/>
      <x:c r="Y166" s="115"/>
      <x:c r="Z166" s="115"/>
    </x:row>
    <x:row r="167" ht="15" hidden="0" customHeight="1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  <x:c r="S167" s="115"/>
      <x:c r="T167" s="115"/>
      <x:c r="U167" s="115"/>
      <x:c r="V167" s="115"/>
      <x:c r="W167" s="115"/>
      <x:c r="X167" s="115"/>
      <x:c r="Y167" s="115"/>
      <x:c r="Z167" s="115"/>
    </x:row>
    <x:row r="168" ht="15" hidden="0" customHeight="1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  <x:c r="S168" s="115"/>
      <x:c r="T168" s="115"/>
      <x:c r="U168" s="115"/>
      <x:c r="V168" s="115"/>
      <x:c r="W168" s="115"/>
      <x:c r="X168" s="115"/>
      <x:c r="Y168" s="115"/>
      <x:c r="Z168" s="115"/>
    </x:row>
    <x:row r="169" ht="15" hidden="0" customHeight="1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  <x:c r="S169" s="115"/>
      <x:c r="T169" s="115"/>
      <x:c r="U169" s="115"/>
      <x:c r="V169" s="115"/>
      <x:c r="W169" s="115"/>
      <x:c r="X169" s="115"/>
      <x:c r="Y169" s="115"/>
      <x:c r="Z169" s="115"/>
    </x:row>
    <x:row r="170" ht="15" hidden="0" customHeight="1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  <x:c r="S170" s="115"/>
      <x:c r="T170" s="115"/>
      <x:c r="U170" s="115"/>
      <x:c r="V170" s="115"/>
      <x:c r="W170" s="115"/>
      <x:c r="X170" s="115"/>
      <x:c r="Y170" s="115"/>
      <x:c r="Z170" s="115"/>
    </x:row>
    <x:row r="171" ht="15" hidden="0" customHeight="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  <x:c r="S171" s="115"/>
      <x:c r="T171" s="115"/>
      <x:c r="U171" s="115"/>
      <x:c r="V171" s="115"/>
      <x:c r="W171" s="115"/>
      <x:c r="X171" s="115"/>
      <x:c r="Y171" s="115"/>
      <x:c r="Z171" s="115"/>
    </x:row>
    <x:row r="172" ht="15" hidden="0" customHeight="1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  <x:c r="S172" s="115"/>
      <x:c r="T172" s="115"/>
      <x:c r="U172" s="115"/>
      <x:c r="V172" s="115"/>
      <x:c r="W172" s="115"/>
      <x:c r="X172" s="115"/>
      <x:c r="Y172" s="115"/>
      <x:c r="Z172" s="115"/>
    </x:row>
    <x:row r="173" ht="15" hidden="0" customHeight="1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  <x:c r="S173" s="115"/>
      <x:c r="T173" s="115"/>
      <x:c r="U173" s="115"/>
      <x:c r="V173" s="115"/>
      <x:c r="W173" s="115"/>
      <x:c r="X173" s="115"/>
      <x:c r="Y173" s="115"/>
      <x:c r="Z173" s="115"/>
    </x:row>
    <x:row r="174" ht="15" hidden="0" customHeight="1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  <x:c r="S174" s="115"/>
      <x:c r="T174" s="115"/>
      <x:c r="U174" s="115"/>
      <x:c r="V174" s="115"/>
      <x:c r="W174" s="115"/>
      <x:c r="X174" s="115"/>
      <x:c r="Y174" s="115"/>
      <x:c r="Z174" s="115"/>
    </x:row>
    <x:row r="175" ht="15" hidden="0" customHeight="1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  <x:c r="S175" s="115"/>
      <x:c r="T175" s="115"/>
      <x:c r="U175" s="115"/>
      <x:c r="V175" s="115"/>
      <x:c r="W175" s="115"/>
      <x:c r="X175" s="115"/>
      <x:c r="Y175" s="115"/>
      <x:c r="Z175" s="115"/>
    </x:row>
    <x:row r="176" ht="15" hidden="0" customHeight="1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  <x:c r="S176" s="115"/>
      <x:c r="T176" s="115"/>
      <x:c r="U176" s="115"/>
      <x:c r="V176" s="115"/>
      <x:c r="W176" s="115"/>
      <x:c r="X176" s="115"/>
      <x:c r="Y176" s="115"/>
      <x:c r="Z176" s="115"/>
    </x:row>
    <x:row r="177" ht="15" hidden="0" customHeight="1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  <x:c r="S177" s="115"/>
      <x:c r="T177" s="115"/>
      <x:c r="U177" s="115"/>
      <x:c r="V177" s="115"/>
      <x:c r="W177" s="115"/>
      <x:c r="X177" s="115"/>
      <x:c r="Y177" s="115"/>
      <x:c r="Z177" s="115"/>
    </x:row>
    <x:row r="178" ht="15" hidden="0" customHeight="1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  <x:c r="S178" s="115"/>
      <x:c r="T178" s="115"/>
      <x:c r="U178" s="115"/>
      <x:c r="V178" s="115"/>
      <x:c r="W178" s="115"/>
      <x:c r="X178" s="115"/>
      <x:c r="Y178" s="115"/>
      <x:c r="Z178" s="115"/>
    </x:row>
    <x:row r="179" ht="15" hidden="0" customHeight="1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  <x:c r="S179" s="115"/>
      <x:c r="T179" s="115"/>
      <x:c r="U179" s="115"/>
      <x:c r="V179" s="115"/>
      <x:c r="W179" s="115"/>
      <x:c r="X179" s="115"/>
      <x:c r="Y179" s="115"/>
      <x:c r="Z179" s="115"/>
    </x:row>
    <x:row r="180" ht="15" hidden="0" customHeight="1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  <x:c r="S180" s="115"/>
      <x:c r="T180" s="115"/>
      <x:c r="U180" s="115"/>
      <x:c r="V180" s="115"/>
      <x:c r="W180" s="115"/>
      <x:c r="X180" s="115"/>
      <x:c r="Y180" s="115"/>
      <x:c r="Z180" s="115"/>
    </x:row>
    <x:row r="181" ht="15" hidden="0" customHeight="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  <x:c r="S181" s="115"/>
      <x:c r="T181" s="115"/>
      <x:c r="U181" s="115"/>
      <x:c r="V181" s="115"/>
      <x:c r="W181" s="115"/>
      <x:c r="X181" s="115"/>
      <x:c r="Y181" s="115"/>
      <x:c r="Z181" s="115"/>
    </x:row>
    <x:row r="182" ht="15" hidden="0" customHeight="1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  <x:c r="S182" s="115"/>
      <x:c r="T182" s="115"/>
      <x:c r="U182" s="115"/>
      <x:c r="V182" s="115"/>
      <x:c r="W182" s="115"/>
      <x:c r="X182" s="115"/>
      <x:c r="Y182" s="115"/>
      <x:c r="Z182" s="115"/>
    </x:row>
    <x:row r="183" ht="15" hidden="0" customHeight="1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5"/>
      <x:c r="U183" s="115"/>
      <x:c r="V183" s="115"/>
      <x:c r="W183" s="115"/>
      <x:c r="X183" s="115"/>
      <x:c r="Y183" s="115"/>
      <x:c r="Z183" s="115"/>
    </x:row>
    <x:row r="184" ht="15" hidden="0" customHeight="1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  <x:c r="S184" s="115"/>
      <x:c r="T184" s="115"/>
      <x:c r="U184" s="115"/>
      <x:c r="V184" s="115"/>
      <x:c r="W184" s="115"/>
      <x:c r="X184" s="115"/>
      <x:c r="Y184" s="115"/>
      <x:c r="Z184" s="115"/>
    </x:row>
    <x:row r="185" ht="15" hidden="0" customHeight="1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  <x:c r="S185" s="115"/>
      <x:c r="T185" s="115"/>
      <x:c r="U185" s="115"/>
      <x:c r="V185" s="115"/>
      <x:c r="W185" s="115"/>
      <x:c r="X185" s="115"/>
      <x:c r="Y185" s="115"/>
      <x:c r="Z185" s="115"/>
    </x:row>
    <x:row r="186" ht="15" hidden="0" customHeight="1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  <x:c r="S186" s="115"/>
      <x:c r="T186" s="115"/>
      <x:c r="U186" s="115"/>
      <x:c r="V186" s="115"/>
      <x:c r="W186" s="115"/>
      <x:c r="X186" s="115"/>
      <x:c r="Y186" s="115"/>
      <x:c r="Z186" s="115"/>
    </x:row>
    <x:row r="187" ht="15" hidden="0" customHeight="1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  <x:c r="S187" s="115"/>
      <x:c r="T187" s="115"/>
      <x:c r="U187" s="115"/>
      <x:c r="V187" s="115"/>
      <x:c r="W187" s="115"/>
      <x:c r="X187" s="115"/>
      <x:c r="Y187" s="115"/>
      <x:c r="Z187" s="115"/>
    </x:row>
    <x:row r="188" ht="15" hidden="0" customHeight="1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  <x:c r="S188" s="115"/>
      <x:c r="T188" s="115"/>
      <x:c r="U188" s="115"/>
      <x:c r="V188" s="115"/>
      <x:c r="W188" s="115"/>
      <x:c r="X188" s="115"/>
      <x:c r="Y188" s="115"/>
      <x:c r="Z188" s="115"/>
    </x:row>
    <x:row r="189" ht="15" hidden="0" customHeight="1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  <x:c r="S189" s="115"/>
      <x:c r="T189" s="115"/>
      <x:c r="U189" s="115"/>
      <x:c r="V189" s="115"/>
      <x:c r="W189" s="115"/>
      <x:c r="X189" s="115"/>
      <x:c r="Y189" s="115"/>
      <x:c r="Z189" s="115"/>
    </x:row>
    <x:row r="190" ht="15" hidden="0" customHeight="1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  <x:c r="S190" s="115"/>
      <x:c r="T190" s="115"/>
      <x:c r="U190" s="115"/>
      <x:c r="V190" s="115"/>
      <x:c r="W190" s="115"/>
      <x:c r="X190" s="115"/>
      <x:c r="Y190" s="115"/>
      <x:c r="Z190" s="115"/>
    </x:row>
    <x:row r="191" ht="15" hidden="0" customHeight="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  <x:c r="S191" s="115"/>
      <x:c r="T191" s="115"/>
      <x:c r="U191" s="115"/>
      <x:c r="V191" s="115"/>
      <x:c r="W191" s="115"/>
      <x:c r="X191" s="115"/>
      <x:c r="Y191" s="115"/>
      <x:c r="Z191" s="115"/>
    </x:row>
    <x:row r="192" ht="15" hidden="0" customHeight="1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  <x:c r="S192" s="115"/>
      <x:c r="T192" s="115"/>
      <x:c r="U192" s="115"/>
      <x:c r="V192" s="115"/>
      <x:c r="W192" s="115"/>
      <x:c r="X192" s="115"/>
      <x:c r="Y192" s="115"/>
      <x:c r="Z192" s="115"/>
    </x:row>
    <x:row r="193" ht="15" hidden="0" customHeight="1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  <x:c r="S193" s="115"/>
      <x:c r="T193" s="115"/>
      <x:c r="U193" s="115"/>
      <x:c r="V193" s="115"/>
      <x:c r="W193" s="115"/>
      <x:c r="X193" s="115"/>
      <x:c r="Y193" s="115"/>
      <x:c r="Z193" s="115"/>
    </x:row>
    <x:row r="194" ht="15" hidden="0" customHeight="1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  <x:c r="S194" s="115"/>
      <x:c r="T194" s="115"/>
      <x:c r="U194" s="115"/>
      <x:c r="V194" s="115"/>
      <x:c r="W194" s="115"/>
      <x:c r="X194" s="115"/>
      <x:c r="Y194" s="115"/>
      <x:c r="Z194" s="115"/>
    </x:row>
    <x:row r="195" ht="15" hidden="0" customHeight="1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  <x:c r="S195" s="115"/>
      <x:c r="T195" s="115"/>
      <x:c r="U195" s="115"/>
      <x:c r="V195" s="115"/>
      <x:c r="W195" s="115"/>
      <x:c r="X195" s="115"/>
      <x:c r="Y195" s="115"/>
      <x:c r="Z195" s="115"/>
    </x:row>
    <x:row r="196" ht="15" hidden="0" customHeight="1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  <x:c r="S196" s="115"/>
      <x:c r="T196" s="115"/>
      <x:c r="U196" s="115"/>
      <x:c r="V196" s="115"/>
      <x:c r="W196" s="115"/>
      <x:c r="X196" s="115"/>
      <x:c r="Y196" s="115"/>
      <x:c r="Z196" s="115"/>
    </x:row>
    <x:row r="197" ht="15" hidden="0" customHeight="1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  <x:c r="S197" s="115"/>
      <x:c r="T197" s="115"/>
      <x:c r="U197" s="115"/>
      <x:c r="V197" s="115"/>
      <x:c r="W197" s="115"/>
      <x:c r="X197" s="115"/>
      <x:c r="Y197" s="115"/>
      <x:c r="Z197" s="115"/>
    </x:row>
    <x:row r="198" ht="15" hidden="0" customHeight="1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  <x:c r="S198" s="115"/>
      <x:c r="T198" s="115"/>
      <x:c r="U198" s="115"/>
      <x:c r="V198" s="115"/>
      <x:c r="W198" s="115"/>
      <x:c r="X198" s="115"/>
      <x:c r="Y198" s="115"/>
      <x:c r="Z198" s="115"/>
    </x:row>
    <x:row r="199" ht="15" hidden="0" customHeight="1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  <x:c r="S199" s="115"/>
      <x:c r="T199" s="115"/>
      <x:c r="U199" s="115"/>
      <x:c r="V199" s="115"/>
      <x:c r="W199" s="115"/>
      <x:c r="X199" s="115"/>
      <x:c r="Y199" s="115"/>
      <x:c r="Z199" s="115"/>
    </x:row>
    <x:row r="200" ht="15" hidden="0" customHeight="1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  <x:c r="S200" s="115"/>
      <x:c r="T200" s="115"/>
      <x:c r="U200" s="115"/>
      <x:c r="V200" s="115"/>
      <x:c r="W200" s="115"/>
      <x:c r="X200" s="115"/>
      <x:c r="Y200" s="115"/>
      <x:c r="Z200" s="115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1.600000381469727" hidden="0" customHeight="1">
      <x:c r="A1" s="188" t="str">
        <x:v>Ops2EBITDA — Add-On Synergy &amp; Integration Value Capture Model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  <x:c r="S1" s="115"/>
      <x:c r="T1" s="115"/>
      <x:c r="U1" s="115"/>
      <x:c r="V1" s="115"/>
      <x:c r="W1" s="115"/>
      <x:c r="X1" s="115"/>
      <x:c r="Y1" s="115"/>
      <x:c r="Z1" s="115"/>
    </x:row>
    <x:row r="2" ht="15" hidden="0" customHeight="1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  <x:c r="Q2" s="115"/>
      <x:c r="R2" s="115"/>
      <x:c r="S2" s="115"/>
      <x:c r="T2" s="115"/>
      <x:c r="U2" s="115"/>
      <x:c r="V2" s="115"/>
      <x:c r="W2" s="115"/>
      <x:c r="X2" s="115"/>
      <x:c r="Y2" s="115"/>
      <x:c r="Z2" s="115"/>
    </x:row>
    <x:row r="3" ht="15" hidden="0" customHeight="1">
      <x:c r="A3" s="121" t="str">
        <x:v>Editable Assumptions</x:v>
      </x:c>
      <x:c r="B3" s="115"/>
      <x:c r="C3" s="115"/>
      <x:c r="D3" s="115"/>
      <x:c r="E3" s="115"/>
      <x:c r="F3" s="115"/>
      <x:c r="G3" s="115"/>
      <x:c r="H3" s="115"/>
      <x:c r="I3" s="115"/>
      <x:c r="J3" s="115"/>
      <x:c r="K3" s="115"/>
      <x:c r="L3" s="115"/>
      <x:c r="M3" s="115"/>
      <x:c r="N3" s="115"/>
      <x:c r="O3" s="115"/>
      <x:c r="P3" s="115"/>
      <x:c r="Q3" s="115"/>
      <x:c r="R3" s="115"/>
      <x:c r="S3" s="115"/>
      <x:c r="T3" s="115"/>
      <x:c r="U3" s="115"/>
      <x:c r="V3" s="115"/>
      <x:c r="W3" s="115"/>
      <x:c r="X3" s="115"/>
      <x:c r="Y3" s="115"/>
      <x:c r="Z3" s="115"/>
    </x:row>
    <x:row r="4" ht="15" hidden="0" customHeight="1">
      <x:c r="A4" s="122" t="str">
        <x:v>Assumption</x:v>
      </x:c>
      <x:c r="B4" s="122" t="str">
        <x:v>Value</x:v>
      </x:c>
      <x:c r="C4" s="122" t="str">
        <x:v>Units / Format</x:v>
      </x:c>
      <x:c r="D4" s="122" t="str">
        <x:v>Notes</x:v>
      </x:c>
      <x:c r="E4" s="115"/>
      <x:c r="F4" s="115"/>
      <x:c r="G4" s="115"/>
      <x:c r="H4" s="115"/>
      <x:c r="I4" s="115"/>
      <x:c r="J4" s="115"/>
      <x:c r="K4" s="115"/>
      <x:c r="L4" s="115"/>
      <x:c r="M4" s="115"/>
      <x:c r="N4" s="115"/>
      <x:c r="O4" s="115"/>
      <x:c r="P4" s="115"/>
      <x:c r="Q4" s="115"/>
      <x:c r="R4" s="115"/>
      <x:c r="S4" s="115"/>
      <x:c r="T4" s="115"/>
      <x:c r="U4" s="115"/>
      <x:c r="V4" s="115"/>
      <x:c r="W4" s="115"/>
      <x:c r="X4" s="115"/>
      <x:c r="Y4" s="115"/>
      <x:c r="Z4" s="115"/>
    </x:row>
    <x:row r="5" ht="15" hidden="0" customHeight="1">
      <x:c r="A5" s="115" t="str">
        <x:v>Platform Revenue</x:v>
      </x:c>
      <x:c r="B5" s="190" t="n">
        <x:v>250000000</x:v>
      </x:c>
      <x:c r="C5" s="115" t="str">
        <x:v>$</x:v>
      </x:c>
      <x:c r="D5" s="115" t="str">
        <x:v>Standalone platform revenue</x:v>
      </x:c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  <x:c r="S5" s="115"/>
      <x:c r="T5" s="115"/>
      <x:c r="U5" s="115"/>
      <x:c r="V5" s="115"/>
      <x:c r="W5" s="115"/>
      <x:c r="X5" s="115"/>
      <x:c r="Y5" s="115"/>
      <x:c r="Z5" s="115"/>
    </x:row>
    <x:row r="6" ht="15" hidden="0" customHeight="1">
      <x:c r="A6" s="115" t="str">
        <x:v>Platform EBITDA</x:v>
      </x:c>
      <x:c r="B6" s="190" t="n">
        <x:v>37500000</x:v>
      </x:c>
      <x:c r="C6" s="115" t="str">
        <x:v>$</x:v>
      </x:c>
      <x:c r="D6" s="115" t="str">
        <x:v>Standalone platform EBITDA</x:v>
      </x:c>
      <x:c r="E6" s="115"/>
      <x:c r="F6" s="115"/>
      <x:c r="G6" s="115"/>
      <x:c r="H6" s="115"/>
      <x:c r="I6" s="115"/>
      <x:c r="J6" s="115"/>
      <x:c r="K6" s="115"/>
      <x:c r="L6" s="115"/>
      <x:c r="M6" s="115"/>
      <x:c r="N6" s="115"/>
      <x:c r="O6" s="115"/>
      <x:c r="P6" s="115"/>
      <x:c r="Q6" s="115"/>
      <x:c r="R6" s="115"/>
      <x:c r="S6" s="115"/>
      <x:c r="T6" s="115"/>
      <x:c r="U6" s="115"/>
      <x:c r="V6" s="115"/>
      <x:c r="W6" s="115"/>
      <x:c r="X6" s="115"/>
      <x:c r="Y6" s="115"/>
      <x:c r="Z6" s="115"/>
    </x:row>
    <x:row r="7" ht="15" hidden="0" customHeight="1">
      <x:c r="A7" s="115" t="str">
        <x:v>Target Revenue</x:v>
      </x:c>
      <x:c r="B7" s="190" t="n">
        <x:v>50000000</x:v>
      </x:c>
      <x:c r="C7" s="115" t="str">
        <x:v>$</x:v>
      </x:c>
      <x:c r="D7" s="115" t="str">
        <x:v>Acquired target annual revenue</x:v>
      </x:c>
      <x:c r="E7" s="115"/>
      <x:c r="F7" s="115"/>
      <x:c r="G7" s="115"/>
      <x:c r="H7" s="115"/>
      <x:c r="I7" s="115"/>
      <x:c r="J7" s="115"/>
      <x:c r="K7" s="115"/>
      <x:c r="L7" s="115"/>
      <x:c r="M7" s="115"/>
      <x:c r="N7" s="115"/>
      <x:c r="O7" s="115"/>
      <x:c r="P7" s="115"/>
      <x:c r="Q7" s="115"/>
      <x:c r="R7" s="115"/>
      <x:c r="S7" s="115"/>
      <x:c r="T7" s="115"/>
      <x:c r="U7" s="115"/>
      <x:c r="V7" s="115"/>
      <x:c r="W7" s="115"/>
      <x:c r="X7" s="115"/>
      <x:c r="Y7" s="115"/>
      <x:c r="Z7" s="115"/>
    </x:row>
    <x:row r="8" ht="15" hidden="0" customHeight="1">
      <x:c r="A8" s="115" t="str">
        <x:v>Target EBITDA</x:v>
      </x:c>
      <x:c r="B8" s="190" t="n">
        <x:v>6500000</x:v>
      </x:c>
      <x:c r="C8" s="115" t="str">
        <x:v>$</x:v>
      </x:c>
      <x:c r="D8" s="115" t="str">
        <x:v>Acquired target standalone EBITDA</x:v>
      </x:c>
      <x:c r="E8" s="115"/>
      <x:c r="F8" s="115"/>
      <x:c r="G8" s="115"/>
      <x:c r="H8" s="115"/>
      <x:c r="I8" s="115"/>
      <x:c r="J8" s="115"/>
      <x:c r="K8" s="115"/>
      <x:c r="L8" s="115"/>
      <x:c r="M8" s="115"/>
      <x:c r="N8" s="115"/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</x:row>
    <x:row r="9" ht="15" hidden="0" customHeight="1">
      <x:c r="A9" s="115" t="str">
        <x:v>Platform Exit Multiple</x:v>
      </x:c>
      <x:c r="B9" s="191" t="n">
        <x:v>11.5</x:v>
      </x:c>
      <x:c r="C9" s="115" t="str">
        <x:v>x</x:v>
      </x:c>
      <x:c r="D9" s="115" t="str">
        <x:v>Valuation multiple for value capture</x:v>
      </x:c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5"/>
      <x:c r="S9" s="115"/>
      <x:c r="T9" s="115"/>
      <x:c r="U9" s="115"/>
      <x:c r="V9" s="115"/>
      <x:c r="W9" s="115"/>
      <x:c r="X9" s="115"/>
      <x:c r="Y9" s="115"/>
      <x:c r="Z9" s="115"/>
    </x:row>
    <x:row r="10" ht="15" hidden="0" customHeight="1">
      <x:c r="A10" s="115" t="str">
        <x:v>Target Purchase Multiple</x:v>
      </x:c>
      <x:c r="B10" s="191" t="n">
        <x:v>7</x:v>
      </x:c>
      <x:c r="C10" s="115" t="str">
        <x:v>x</x:v>
      </x:c>
      <x:c r="D10" s="115" t="str">
        <x:v>Entry multiple paid for target EBITDA</x:v>
      </x:c>
      <x:c r="E10" s="115"/>
      <x:c r="F10" s="115"/>
      <x:c r="G10" s="115"/>
      <x:c r="H10" s="115"/>
      <x:c r="I10" s="115"/>
      <x:c r="J10" s="115"/>
      <x:c r="K10" s="115"/>
      <x:c r="L10" s="115"/>
      <x:c r="M10" s="115"/>
      <x:c r="N10" s="115"/>
      <x:c r="O10" s="115"/>
      <x:c r="P10" s="115"/>
      <x:c r="Q10" s="115"/>
      <x:c r="R10" s="115"/>
      <x:c r="S10" s="115"/>
      <x:c r="T10" s="115"/>
      <x:c r="U10" s="115"/>
      <x:c r="V10" s="115"/>
      <x:c r="W10" s="115"/>
      <x:c r="X10" s="115"/>
      <x:c r="Y10" s="115"/>
      <x:c r="Z10" s="115"/>
    </x:row>
    <x:row r="11" ht="15" hidden="0" customHeight="1">
      <x:c r="A11" s="115" t="str">
        <x:v>Tax / Leakage Rate</x:v>
      </x:c>
      <x:c r="B11" s="192" t="n">
        <x:v>0</x:v>
      </x:c>
      <x:c r="C11" s="115" t="str">
        <x:v>%</x:v>
      </x:c>
      <x:c r="D11" s="115" t="str">
        <x:v>Optional leakage rate for net value</x:v>
      </x:c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5"/>
      <x:c r="R11" s="115"/>
      <x:c r="S11" s="115"/>
      <x:c r="T11" s="115"/>
      <x:c r="U11" s="115"/>
      <x:c r="V11" s="115"/>
      <x:c r="W11" s="115"/>
      <x:c r="X11" s="115"/>
      <x:c r="Y11" s="115"/>
      <x:c r="Z11" s="115"/>
    </x:row>
    <x:row r="12" ht="15" hidden="0" customHeight="1">
      <x:c r="A12" s="115" t="str">
        <x:v>Synergy Realization Haircut</x:v>
      </x:c>
      <x:c r="B12" s="192" t="n">
        <x:v>0.15</x:v>
      </x:c>
      <x:c r="C12" s="115" t="str">
        <x:v>%</x:v>
      </x:c>
      <x:c r="D12" s="115" t="str">
        <x:v>Default risk haircut for savings realization</x:v>
      </x:c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5"/>
      <x:c r="P12" s="115"/>
      <x:c r="Q12" s="115"/>
      <x:c r="R12" s="115"/>
      <x:c r="S12" s="115"/>
      <x:c r="T12" s="115"/>
      <x:c r="U12" s="115"/>
      <x:c r="V12" s="115"/>
      <x:c r="W12" s="115"/>
      <x:c r="X12" s="115"/>
      <x:c r="Y12" s="115"/>
      <x:c r="Z12" s="115"/>
    </x:row>
    <x:row r="13" ht="15" hidden="0" customHeight="1">
      <x:c r="A13" s="115" t="str">
        <x:v>One-Time Integration Cost Multiple</x:v>
      </x:c>
      <x:c r="B13" s="191" t="n">
        <x:v>1.2</x:v>
      </x:c>
      <x:c r="C13" s="115" t="str">
        <x:v>x</x:v>
      </x:c>
      <x:c r="D13" s="115" t="str">
        <x:v>Default one-time cost as multiple of Year 1 gross run-rate synergy</x:v>
      </x:c>
      <x:c r="E13" s="115"/>
      <x:c r="F13" s="115"/>
      <x:c r="G13" s="115"/>
      <x:c r="H13" s="115"/>
      <x:c r="I13" s="115"/>
      <x:c r="J13" s="115"/>
      <x:c r="K13" s="115"/>
      <x:c r="L13" s="115"/>
      <x:c r="M13" s="115"/>
      <x:c r="N13" s="115"/>
      <x:c r="O13" s="115"/>
      <x:c r="P13" s="115"/>
      <x:c r="Q13" s="115"/>
      <x:c r="R13" s="115"/>
      <x:c r="S13" s="115"/>
      <x:c r="T13" s="115"/>
      <x:c r="U13" s="115"/>
      <x:c r="V13" s="115"/>
      <x:c r="W13" s="115"/>
      <x:c r="X13" s="115"/>
      <x:c r="Y13" s="115"/>
      <x:c r="Z13" s="115"/>
    </x:row>
    <x:row r="14" ht="15" hidden="0" customHeight="1">
      <x:c r="A14" s="115" t="str">
        <x:v>Integration Start Date</x:v>
      </x:c>
      <x:c r="B14" s="193" t="n">
        <x:v>46174</x:v>
      </x:c>
      <x:c r="C14" s="115" t="str">
        <x:v>date</x:v>
      </x:c>
      <x:c r="D14" s="115" t="str">
        <x:v>Expected Day 1 / close date</x:v>
      </x:c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O14" s="115"/>
      <x:c r="P14" s="115"/>
      <x:c r="Q14" s="115"/>
      <x:c r="R14" s="115"/>
      <x:c r="S14" s="115"/>
      <x:c r="T14" s="115"/>
      <x:c r="U14" s="115"/>
      <x:c r="V14" s="115"/>
      <x:c r="W14" s="115"/>
      <x:c r="X14" s="115"/>
      <x:c r="Y14" s="115"/>
      <x:c r="Z14" s="115"/>
    </x:row>
    <x:row r="15" ht="15" hidden="0" customHeight="1">
      <x:c r="A15" s="115" t="str">
        <x:v>Current Month</x:v>
      </x:c>
      <x:c r="B15" s="193" t="n">
        <x:v>46265</x:v>
      </x:c>
      <x:c r="C15" s="115" t="str">
        <x:v>date</x:v>
      </x:c>
      <x:c r="D15" s="115" t="str">
        <x:v>Used for status and run-rate tracking</x:v>
      </x:c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115"/>
      <x:c r="P15" s="115"/>
      <x:c r="Q15" s="115"/>
      <x:c r="R15" s="115"/>
      <x:c r="S15" s="115"/>
      <x:c r="T15" s="115"/>
      <x:c r="U15" s="115"/>
      <x:c r="V15" s="115"/>
      <x:c r="W15" s="115"/>
      <x:c r="X15" s="115"/>
      <x:c r="Y15" s="115"/>
      <x:c r="Z15" s="115"/>
    </x:row>
    <x:row r="16" ht="15" hidden="0" customHeight="1">
      <x:c r="A16" s="115" t="str">
        <x:v>EBITDA Validation Threshold</x:v>
      </x:c>
      <x:c r="B16" s="194" t="n">
        <x:v>0.8</x:v>
      </x:c>
      <x:c r="C16" s="115" t="str">
        <x:v>%</x:v>
      </x:c>
      <x:c r="D16" s="115" t="str">
        <x:v>Minimum validated / target threshold for green status</x:v>
      </x:c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  <x:c r="O16" s="115"/>
      <x:c r="P16" s="115"/>
      <x:c r="Q16" s="115"/>
      <x:c r="R16" s="115"/>
      <x:c r="S16" s="115"/>
      <x:c r="T16" s="115"/>
      <x:c r="U16" s="115"/>
      <x:c r="V16" s="115"/>
      <x:c r="W16" s="115"/>
      <x:c r="X16" s="115"/>
      <x:c r="Y16" s="115"/>
      <x:c r="Z16" s="115"/>
    </x:row>
    <x:row r="17" ht="15" hidden="0" customHeight="1">
      <x:c r="A17" s="115" t="str">
        <x:v>Run-Rate Threshold</x:v>
      </x:c>
      <x:c r="B17" s="194" t="n">
        <x:v>0.6</x:v>
      </x:c>
      <x:c r="C17" s="115" t="str">
        <x:v>%</x:v>
      </x:c>
      <x:c r="D17" s="115" t="str">
        <x:v>Minimum run-rate / target threshold for watchlist</x:v>
      </x:c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  <x:c r="O17" s="115"/>
      <x:c r="P17" s="115"/>
      <x:c r="Q17" s="115"/>
      <x:c r="R17" s="115"/>
      <x:c r="S17" s="115"/>
      <x:c r="T17" s="115"/>
      <x:c r="U17" s="115"/>
      <x:c r="V17" s="115"/>
      <x:c r="W17" s="115"/>
      <x:c r="X17" s="115"/>
      <x:c r="Y17" s="115"/>
      <x:c r="Z17" s="115"/>
    </x:row>
    <x:row r="18" ht="15" hidden="0" customHeight="1">
      <x:c r="A18" s="115" t="str">
        <x:v>Currency</x:v>
      </x:c>
      <x:c r="B18" s="194" t="str">
        <x:v>USD</x:v>
      </x:c>
      <x:c r="C18" s="115" t="str">
        <x:v>text</x:v>
      </x:c>
      <x:c r="D18" s="115" t="str">
        <x:v>Model currency</x:v>
      </x:c>
      <x:c r="E18" s="115"/>
      <x:c r="F18" s="115"/>
      <x:c r="G18" s="115"/>
      <x:c r="H18" s="115"/>
      <x:c r="I18" s="115"/>
      <x:c r="J18" s="115"/>
      <x:c r="K18" s="115"/>
      <x:c r="L18" s="115"/>
      <x:c r="M18" s="115"/>
      <x:c r="N18" s="115"/>
      <x:c r="O18" s="115"/>
      <x:c r="P18" s="115"/>
      <x:c r="Q18" s="115"/>
      <x:c r="R18" s="115"/>
      <x:c r="S18" s="115"/>
      <x:c r="T18" s="115"/>
      <x:c r="U18" s="115"/>
      <x:c r="V18" s="115"/>
      <x:c r="W18" s="115"/>
      <x:c r="X18" s="115"/>
      <x:c r="Y18" s="115"/>
      <x:c r="Z18" s="115"/>
    </x:row>
    <x:row r="19" ht="15" hidden="0" customHeight="1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  <x:c r="O19" s="115"/>
      <x:c r="P19" s="115"/>
      <x:c r="Q19" s="115"/>
      <x:c r="R19" s="115"/>
      <x:c r="S19" s="115"/>
      <x:c r="T19" s="115"/>
      <x:c r="U19" s="115"/>
      <x:c r="V19" s="115"/>
      <x:c r="W19" s="115"/>
      <x:c r="X19" s="115"/>
      <x:c r="Y19" s="115"/>
      <x:c r="Z19" s="115"/>
    </x:row>
    <x:row r="20" ht="15" hidden="0" customHeight="1">
      <x:c r="A20" s="121" t="str">
        <x:v>Workstream Benchmarks / Default Realization Curves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  <x:c r="O20" s="115"/>
      <x:c r="P20" s="115"/>
      <x:c r="Q20" s="115"/>
      <x:c r="R20" s="115"/>
      <x:c r="S20" s="115"/>
      <x:c r="T20" s="115"/>
      <x:c r="U20" s="115"/>
      <x:c r="V20" s="115"/>
      <x:c r="W20" s="115"/>
      <x:c r="X20" s="115"/>
      <x:c r="Y20" s="115"/>
      <x:c r="Z20" s="115"/>
    </x:row>
    <x:row r="21" ht="15" hidden="0" customHeight="1">
      <x:c r="A21" s="122" t="str">
        <x:v>Workstream</x:v>
      </x:c>
      <x:c r="B21" s="122" t="str">
        <x:v>Default Owner</x:v>
      </x:c>
      <x:c r="C21" s="122" t="str">
        <x:v>Realization Month 3</x:v>
      </x:c>
      <x:c r="D21" s="122" t="str">
        <x:v>Realization Month 6</x:v>
      </x:c>
      <x:c r="E21" s="122" t="str">
        <x:v>Realization Month 12</x:v>
      </x:c>
      <x:c r="F21" s="122" t="str">
        <x:v>Risk Level</x:v>
      </x:c>
      <x:c r="G21" s="122" t="str">
        <x:v>Typical Evidence Required</x:v>
      </x:c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  <x:c r="S21" s="115"/>
      <x:c r="T21" s="115"/>
      <x:c r="U21" s="115"/>
      <x:c r="V21" s="115"/>
      <x:c r="W21" s="115"/>
      <x:c r="X21" s="115"/>
      <x:c r="Y21" s="115"/>
      <x:c r="Z21" s="115"/>
    </x:row>
    <x:row r="22" ht="15" hidden="0" customHeight="1">
      <x:c r="A22" s="115" t="str">
        <x:v>Procurement</x:v>
      </x:c>
      <x:c r="B22" s="115" t="str">
        <x:v>CPO / CFO</x:v>
      </x:c>
      <x:c r="C22" s="156" t="n">
        <x:v>0.25</x:v>
      </x:c>
      <x:c r="D22" s="156" t="n">
        <x:v>0.55</x:v>
      </x:c>
      <x:c r="E22" s="156" t="n">
        <x:v>0.9</x:v>
      </x:c>
      <x:c r="F22" s="115" t="str">
        <x:v>Medium</x:v>
      </x:c>
      <x:c r="G22" s="115" t="str">
        <x:v>Signed vendor contract, invoice proof, purchase order compliance</x:v>
      </x:c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  <x:c r="S22" s="115"/>
      <x:c r="T22" s="115"/>
      <x:c r="U22" s="115"/>
      <x:c r="V22" s="115"/>
      <x:c r="W22" s="115"/>
      <x:c r="X22" s="115"/>
      <x:c r="Y22" s="115"/>
      <x:c r="Z22" s="115"/>
    </x:row>
    <x:row r="23" ht="15" hidden="0" customHeight="1">
      <x:c r="A23" s="115" t="str">
        <x:v>G&amp;A / SG&amp;A</x:v>
      </x:c>
      <x:c r="B23" s="115" t="str">
        <x:v>CFO / COO</x:v>
      </x:c>
      <x:c r="C23" s="156" t="n">
        <x:v>0.35</x:v>
      </x:c>
      <x:c r="D23" s="156" t="n">
        <x:v>0.7</x:v>
      </x:c>
      <x:c r="E23" s="156" t="n">
        <x:v>1</x:v>
      </x:c>
      <x:c r="F23" s="115" t="str">
        <x:v>Medium</x:v>
      </x:c>
      <x:c r="G23" s="115" t="str">
        <x:v>Org changes, eliminated run-rate spend, budget removal</x:v>
      </x:c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  <x:c r="S23" s="115"/>
      <x:c r="T23" s="115"/>
      <x:c r="U23" s="115"/>
      <x:c r="V23" s="115"/>
      <x:c r="W23" s="115"/>
      <x:c r="X23" s="115"/>
      <x:c r="Y23" s="115"/>
      <x:c r="Z23" s="115"/>
    </x:row>
    <x:row r="24" ht="15" hidden="0" customHeight="1">
      <x:c r="A24" s="115" t="str">
        <x:v>Systems / IT</x:v>
      </x:c>
      <x:c r="B24" s="115" t="str">
        <x:v>CIO / Integration Lead</x:v>
      </x:c>
      <x:c r="C24" s="156" t="n">
        <x:v>0.1</x:v>
      </x:c>
      <x:c r="D24" s="156" t="n">
        <x:v>0.35</x:v>
      </x:c>
      <x:c r="E24" s="156" t="n">
        <x:v>0.75</x:v>
      </x:c>
      <x:c r="F24" s="115" t="str">
        <x:v>High</x:v>
      </x:c>
      <x:c r="G24" s="115" t="str">
        <x:v>System decommissioning, license termination, support cost removal</x:v>
      </x:c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  <x:c r="S24" s="115"/>
      <x:c r="T24" s="115"/>
      <x:c r="U24" s="115"/>
      <x:c r="V24" s="115"/>
      <x:c r="W24" s="115"/>
      <x:c r="X24" s="115"/>
      <x:c r="Y24" s="115"/>
      <x:c r="Z24" s="115"/>
    </x:row>
    <x:row r="25" ht="15" hidden="0" customHeight="1">
      <x:c r="A25" s="115" t="str">
        <x:v>Revenue / Cross-sell</x:v>
      </x:c>
      <x:c r="B25" s="115" t="str">
        <x:v>CRO</x:v>
      </x:c>
      <x:c r="C25" s="156" t="n">
        <x:v>0.05</x:v>
      </x:c>
      <x:c r="D25" s="156" t="n">
        <x:v>0.2</x:v>
      </x:c>
      <x:c r="E25" s="156" t="n">
        <x:v>0.55</x:v>
      </x:c>
      <x:c r="F25" s="115" t="str">
        <x:v>High</x:v>
      </x:c>
      <x:c r="G25" s="115" t="str">
        <x:v>Booked revenue, retained margin, CRM opportunity proof</x:v>
      </x:c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  <x:c r="S25" s="115"/>
      <x:c r="T25" s="115"/>
      <x:c r="U25" s="115"/>
      <x:c r="V25" s="115"/>
      <x:c r="W25" s="115"/>
      <x:c r="X25" s="115"/>
      <x:c r="Y25" s="115"/>
      <x:c r="Z25" s="115"/>
    </x:row>
    <x:row r="26" ht="15" hidden="0" customHeight="1">
      <x:c r="A26" s="115" t="str">
        <x:v>Facilities / Footprint</x:v>
      </x:c>
      <x:c r="B26" s="115" t="str">
        <x:v>COO</x:v>
      </x:c>
      <x:c r="C26" s="156" t="n">
        <x:v>0.15</x:v>
      </x:c>
      <x:c r="D26" s="156" t="n">
        <x:v>0.45</x:v>
      </x:c>
      <x:c r="E26" s="156" t="n">
        <x:v>0.85</x:v>
      </x:c>
      <x:c r="F26" s="115" t="str">
        <x:v>High</x:v>
      </x:c>
      <x:c r="G26" s="115" t="str">
        <x:v>Lease exit, utilization evidence, cost baseline</x:v>
      </x:c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  <x:c r="S26" s="115"/>
      <x:c r="T26" s="115"/>
      <x:c r="U26" s="115"/>
      <x:c r="V26" s="115"/>
      <x:c r="W26" s="115"/>
      <x:c r="X26" s="115"/>
      <x:c r="Y26" s="115"/>
      <x:c r="Z26" s="115"/>
    </x:row>
    <x:row r="27" ht="15" hidden="0" customHeight="1">
      <x:c r="A27" s="115" t="str">
        <x:v>Finance / Back Office</x:v>
      </x:c>
      <x:c r="B27" s="115" t="str">
        <x:v>CFO</x:v>
      </x:c>
      <x:c r="C27" s="156" t="n">
        <x:v>0.25</x:v>
      </x:c>
      <x:c r="D27" s="156" t="n">
        <x:v>0.6</x:v>
      </x:c>
      <x:c r="E27" s="156" t="n">
        <x:v>0.95</x:v>
      </x:c>
      <x:c r="F27" s="115" t="str">
        <x:v>Medium</x:v>
      </x:c>
      <x:c r="G27" s="115" t="str">
        <x:v>Closed process migration, headcount/vendor cost removal</x:v>
      </x:c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  <x:c r="S27" s="115"/>
      <x:c r="T27" s="115"/>
      <x:c r="U27" s="115"/>
      <x:c r="V27" s="115"/>
      <x:c r="W27" s="115"/>
      <x:c r="X27" s="115"/>
      <x:c r="Y27" s="115"/>
      <x:c r="Z27" s="115"/>
    </x:row>
    <x:row r="28" ht="15" hidden="0" customHeight="1">
      <x:c r="A28" s="115" t="str">
        <x:v>Supply Chain / Logistics</x:v>
      </x:c>
      <x:c r="B28" s="115" t="str">
        <x:v>COO / VP Supply Chain</x:v>
      </x:c>
      <x:c r="C28" s="156" t="n">
        <x:v>0.2</x:v>
      </x:c>
      <x:c r="D28" s="156" t="n">
        <x:v>0.5</x:v>
      </x:c>
      <x:c r="E28" s="156" t="n">
        <x:v>0.9</x:v>
      </x:c>
      <x:c r="F28" s="115" t="str">
        <x:v>Medium</x:v>
      </x:c>
      <x:c r="G28" s="115" t="str">
        <x:v>Carrier rate proof, lane-level savings, freight invoices</x:v>
      </x:c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  <x:c r="S28" s="115"/>
      <x:c r="T28" s="115"/>
      <x:c r="U28" s="115"/>
      <x:c r="V28" s="115"/>
      <x:c r="W28" s="115"/>
      <x:c r="X28" s="115"/>
      <x:c r="Y28" s="115"/>
      <x:c r="Z28" s="115"/>
    </x:row>
    <x:row r="29" ht="15" hidden="0" customHeight="1">
      <x:c r="A29" s="115" t="str">
        <x:v>Revenue Leakage</x:v>
      </x:c>
      <x:c r="B29" s="115" t="str">
        <x:v>CRO / CFO</x:v>
      </x:c>
      <x:c r="C29" s="156" t="n">
        <x:v>0.2</x:v>
      </x:c>
      <x:c r="D29" s="156" t="n">
        <x:v>0.55</x:v>
      </x:c>
      <x:c r="E29" s="156" t="n">
        <x:v>0.9</x:v>
      </x:c>
      <x:c r="F29" s="115" t="str">
        <x:v>Medium</x:v>
      </x:c>
      <x:c r="G29" s="115" t="str">
        <x:v>Contract compliance, billing correction, invoice proof</x:v>
      </x:c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  <x:c r="S29" s="115"/>
      <x:c r="T29" s="115"/>
      <x:c r="U29" s="115"/>
      <x:c r="V29" s="115"/>
      <x:c r="W29" s="115"/>
      <x:c r="X29" s="115"/>
      <x:c r="Y29" s="115"/>
      <x:c r="Z29" s="115"/>
    </x:row>
    <x:row r="30" ht="15" hidden="0" customHeight="1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  <x:c r="S30" s="115"/>
      <x:c r="T30" s="115"/>
      <x:c r="U30" s="115"/>
      <x:c r="V30" s="115"/>
      <x:c r="W30" s="115"/>
      <x:c r="X30" s="115"/>
      <x:c r="Y30" s="115"/>
      <x:c r="Z30" s="115"/>
    </x:row>
    <x:row r="31" ht="15" hidden="0" customHeight="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  <x:c r="S31" s="115"/>
      <x:c r="T31" s="115"/>
      <x:c r="U31" s="115"/>
      <x:c r="V31" s="115"/>
      <x:c r="W31" s="115"/>
      <x:c r="X31" s="115"/>
      <x:c r="Y31" s="115"/>
      <x:c r="Z31" s="115"/>
    </x:row>
    <x:row r="32" ht="15" hidden="0" customHeight="1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  <x:c r="S32" s="115"/>
      <x:c r="T32" s="115"/>
      <x:c r="U32" s="115"/>
      <x:c r="V32" s="115"/>
      <x:c r="W32" s="115"/>
      <x:c r="X32" s="115"/>
      <x:c r="Y32" s="115"/>
      <x:c r="Z32" s="115"/>
    </x:row>
    <x:row r="33" ht="15" hidden="0" customHeight="1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  <x:c r="S33" s="115"/>
      <x:c r="T33" s="115"/>
      <x:c r="U33" s="115"/>
      <x:c r="V33" s="115"/>
      <x:c r="W33" s="115"/>
      <x:c r="X33" s="115"/>
      <x:c r="Y33" s="115"/>
      <x:c r="Z33" s="115"/>
    </x:row>
    <x:row r="34" ht="15" hidden="0" customHeight="1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  <x:c r="S34" s="115"/>
      <x:c r="T34" s="115"/>
      <x:c r="U34" s="115"/>
      <x:c r="V34" s="115"/>
      <x:c r="W34" s="115"/>
      <x:c r="X34" s="115"/>
      <x:c r="Y34" s="115"/>
      <x:c r="Z34" s="115"/>
    </x:row>
    <x:row r="35" ht="15" hidden="0" customHeight="1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  <x:c r="S35" s="115"/>
      <x:c r="T35" s="115"/>
      <x:c r="U35" s="115"/>
      <x:c r="V35" s="115"/>
      <x:c r="W35" s="115"/>
      <x:c r="X35" s="115"/>
      <x:c r="Y35" s="115"/>
      <x:c r="Z35" s="115"/>
    </x:row>
    <x:row r="36" ht="15" hidden="0" customHeight="1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  <x:c r="S36" s="115"/>
      <x:c r="T36" s="115"/>
      <x:c r="U36" s="115"/>
      <x:c r="V36" s="115"/>
      <x:c r="W36" s="115"/>
      <x:c r="X36" s="115"/>
      <x:c r="Y36" s="115"/>
      <x:c r="Z36" s="115"/>
    </x:row>
    <x:row r="37" ht="15" hidden="0" customHeight="1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  <x:c r="S37" s="115"/>
      <x:c r="T37" s="115"/>
      <x:c r="U37" s="115"/>
      <x:c r="V37" s="115"/>
      <x:c r="W37" s="115"/>
      <x:c r="X37" s="115"/>
      <x:c r="Y37" s="115"/>
      <x:c r="Z37" s="115"/>
    </x:row>
    <x:row r="38" ht="15" hidden="0" customHeight="1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  <x:c r="S38" s="115"/>
      <x:c r="T38" s="115"/>
      <x:c r="U38" s="115"/>
      <x:c r="V38" s="115"/>
      <x:c r="W38" s="115"/>
      <x:c r="X38" s="115"/>
      <x:c r="Y38" s="115"/>
      <x:c r="Z38" s="115"/>
    </x:row>
    <x:row r="39" ht="15" hidden="0" customHeight="1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  <x:c r="S39" s="115"/>
      <x:c r="T39" s="115"/>
      <x:c r="U39" s="115"/>
      <x:c r="V39" s="115"/>
      <x:c r="W39" s="115"/>
      <x:c r="X39" s="115"/>
      <x:c r="Y39" s="115"/>
      <x:c r="Z39" s="115"/>
    </x:row>
    <x:row r="40" ht="15" hidden="0" customHeight="1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  <x:c r="S40" s="115"/>
      <x:c r="T40" s="115"/>
      <x:c r="U40" s="115"/>
      <x:c r="V40" s="115"/>
      <x:c r="W40" s="115"/>
      <x:c r="X40" s="115"/>
      <x:c r="Y40" s="115"/>
      <x:c r="Z40" s="115"/>
    </x:row>
    <x:row r="41" ht="15" hidden="0" customHeight="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  <x:c r="S41" s="115"/>
      <x:c r="T41" s="115"/>
      <x:c r="U41" s="115"/>
      <x:c r="V41" s="115"/>
      <x:c r="W41" s="115"/>
      <x:c r="X41" s="115"/>
      <x:c r="Y41" s="115"/>
      <x:c r="Z41" s="115"/>
    </x:row>
    <x:row r="42" ht="15" hidden="0" customHeight="1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5"/>
      <x:c r="U42" s="115"/>
      <x:c r="V42" s="115"/>
      <x:c r="W42" s="115"/>
      <x:c r="X42" s="115"/>
      <x:c r="Y42" s="115"/>
      <x:c r="Z42" s="115"/>
    </x:row>
    <x:row r="43" ht="15" hidden="0" customHeight="1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  <x:c r="S43" s="115"/>
      <x:c r="T43" s="115"/>
      <x:c r="U43" s="115"/>
      <x:c r="V43" s="115"/>
      <x:c r="W43" s="115"/>
      <x:c r="X43" s="115"/>
      <x:c r="Y43" s="115"/>
      <x:c r="Z43" s="115"/>
    </x:row>
    <x:row r="44" ht="15" hidden="0" customHeight="1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  <x:c r="S44" s="115"/>
      <x:c r="T44" s="115"/>
      <x:c r="U44" s="115"/>
      <x:c r="V44" s="115"/>
      <x:c r="W44" s="115"/>
      <x:c r="X44" s="115"/>
      <x:c r="Y44" s="115"/>
      <x:c r="Z44" s="115"/>
    </x:row>
    <x:row r="45" ht="15" hidden="0" customHeight="1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  <x:c r="S45" s="115"/>
      <x:c r="T45" s="115"/>
      <x:c r="U45" s="115"/>
      <x:c r="V45" s="115"/>
      <x:c r="W45" s="115"/>
      <x:c r="X45" s="115"/>
      <x:c r="Y45" s="115"/>
      <x:c r="Z45" s="115"/>
    </x:row>
    <x:row r="46" ht="15" hidden="0" customHeight="1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  <x:c r="S46" s="115"/>
      <x:c r="T46" s="115"/>
      <x:c r="U46" s="115"/>
      <x:c r="V46" s="115"/>
      <x:c r="W46" s="115"/>
      <x:c r="X46" s="115"/>
      <x:c r="Y46" s="115"/>
      <x:c r="Z46" s="115"/>
    </x:row>
    <x:row r="47" ht="15" hidden="0" customHeight="1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  <x:c r="S47" s="115"/>
      <x:c r="T47" s="115"/>
      <x:c r="U47" s="115"/>
      <x:c r="V47" s="115"/>
      <x:c r="W47" s="115"/>
      <x:c r="X47" s="115"/>
      <x:c r="Y47" s="115"/>
      <x:c r="Z47" s="115"/>
    </x:row>
    <x:row r="48" ht="15" hidden="0" customHeight="1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  <x:c r="S48" s="115"/>
      <x:c r="T48" s="115"/>
      <x:c r="U48" s="115"/>
      <x:c r="V48" s="115"/>
      <x:c r="W48" s="115"/>
      <x:c r="X48" s="115"/>
      <x:c r="Y48" s="115"/>
      <x:c r="Z48" s="115"/>
    </x:row>
    <x:row r="49" ht="15" hidden="0" customHeight="1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  <x:c r="S49" s="115"/>
      <x:c r="T49" s="115"/>
      <x:c r="U49" s="115"/>
      <x:c r="V49" s="115"/>
      <x:c r="W49" s="115"/>
      <x:c r="X49" s="115"/>
      <x:c r="Y49" s="115"/>
      <x:c r="Z49" s="115"/>
    </x:row>
    <x:row r="50" ht="15" hidden="0" customHeight="1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  <x:c r="S50" s="115"/>
      <x:c r="T50" s="115"/>
      <x:c r="U50" s="115"/>
      <x:c r="V50" s="115"/>
      <x:c r="W50" s="115"/>
      <x:c r="X50" s="115"/>
      <x:c r="Y50" s="115"/>
      <x:c r="Z50" s="115"/>
    </x:row>
    <x:row r="51" ht="15" hidden="0" customHeight="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  <x:c r="S51" s="115"/>
      <x:c r="T51" s="115"/>
      <x:c r="U51" s="115"/>
      <x:c r="V51" s="115"/>
      <x:c r="W51" s="115"/>
      <x:c r="X51" s="115"/>
      <x:c r="Y51" s="115"/>
      <x:c r="Z51" s="115"/>
    </x:row>
    <x:row r="52" ht="15" hidden="0" customHeight="1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  <x:c r="S52" s="115"/>
      <x:c r="T52" s="115"/>
      <x:c r="U52" s="115"/>
      <x:c r="V52" s="115"/>
      <x:c r="W52" s="115"/>
      <x:c r="X52" s="115"/>
      <x:c r="Y52" s="115"/>
      <x:c r="Z52" s="115"/>
    </x:row>
    <x:row r="53" ht="15" hidden="0" customHeight="1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  <x:c r="S53" s="115"/>
      <x:c r="T53" s="115"/>
      <x:c r="U53" s="115"/>
      <x:c r="V53" s="115"/>
      <x:c r="W53" s="115"/>
      <x:c r="X53" s="115"/>
      <x:c r="Y53" s="115"/>
      <x:c r="Z53" s="115"/>
    </x:row>
    <x:row r="54" ht="15" hidden="0" customHeight="1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  <x:c r="S54" s="115"/>
      <x:c r="T54" s="115"/>
      <x:c r="U54" s="115"/>
      <x:c r="V54" s="115"/>
      <x:c r="W54" s="115"/>
      <x:c r="X54" s="115"/>
      <x:c r="Y54" s="115"/>
      <x:c r="Z54" s="115"/>
    </x:row>
    <x:row r="55" ht="15" hidden="0" customHeight="1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  <x:c r="S55" s="115"/>
      <x:c r="T55" s="115"/>
      <x:c r="U55" s="115"/>
      <x:c r="V55" s="115"/>
      <x:c r="W55" s="115"/>
      <x:c r="X55" s="115"/>
      <x:c r="Y55" s="115"/>
      <x:c r="Z55" s="115"/>
    </x:row>
    <x:row r="56" ht="15" hidden="0" customHeight="1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  <x:c r="S56" s="115"/>
      <x:c r="T56" s="115"/>
      <x:c r="U56" s="115"/>
      <x:c r="V56" s="115"/>
      <x:c r="W56" s="115"/>
      <x:c r="X56" s="115"/>
      <x:c r="Y56" s="115"/>
      <x:c r="Z56" s="115"/>
    </x:row>
    <x:row r="57" ht="15" hidden="0" customHeight="1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  <x:c r="S57" s="115"/>
      <x:c r="T57" s="115"/>
      <x:c r="U57" s="115"/>
      <x:c r="V57" s="115"/>
      <x:c r="W57" s="115"/>
      <x:c r="X57" s="115"/>
      <x:c r="Y57" s="115"/>
      <x:c r="Z57" s="115"/>
    </x:row>
    <x:row r="58" ht="15" hidden="0" customHeight="1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  <x:c r="S58" s="115"/>
      <x:c r="T58" s="115"/>
      <x:c r="U58" s="115"/>
      <x:c r="V58" s="115"/>
      <x:c r="W58" s="115"/>
      <x:c r="X58" s="115"/>
      <x:c r="Y58" s="115"/>
      <x:c r="Z58" s="115"/>
    </x:row>
    <x:row r="59" ht="15" hidden="0" customHeight="1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15"/>
      <x:c r="T59" s="115"/>
      <x:c r="U59" s="115"/>
      <x:c r="V59" s="115"/>
      <x:c r="W59" s="115"/>
      <x:c r="X59" s="115"/>
      <x:c r="Y59" s="115"/>
      <x:c r="Z59" s="115"/>
    </x:row>
    <x:row r="60" ht="15" hidden="0" customHeight="1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15"/>
      <x:c r="T60" s="115"/>
      <x:c r="U60" s="115"/>
      <x:c r="V60" s="115"/>
      <x:c r="W60" s="115"/>
      <x:c r="X60" s="115"/>
      <x:c r="Y60" s="115"/>
      <x:c r="Z60" s="115"/>
    </x:row>
    <x:row r="61" ht="15" hidden="0" customHeight="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  <x:c r="S61" s="115"/>
      <x:c r="T61" s="115"/>
      <x:c r="U61" s="115"/>
      <x:c r="V61" s="115"/>
      <x:c r="W61" s="115"/>
      <x:c r="X61" s="115"/>
      <x:c r="Y61" s="115"/>
      <x:c r="Z61" s="115"/>
    </x:row>
    <x:row r="62" ht="15" hidden="0" customHeight="1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  <x:c r="S62" s="115"/>
      <x:c r="T62" s="115"/>
      <x:c r="U62" s="115"/>
      <x:c r="V62" s="115"/>
      <x:c r="W62" s="115"/>
      <x:c r="X62" s="115"/>
      <x:c r="Y62" s="115"/>
      <x:c r="Z62" s="115"/>
    </x:row>
    <x:row r="63" ht="15" hidden="0" customHeight="1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5"/>
      <x:c r="T63" s="115"/>
      <x:c r="U63" s="115"/>
      <x:c r="V63" s="115"/>
      <x:c r="W63" s="115"/>
      <x:c r="X63" s="115"/>
      <x:c r="Y63" s="115"/>
      <x:c r="Z63" s="115"/>
    </x:row>
    <x:row r="64" ht="15" hidden="0" customHeight="1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  <x:c r="S64" s="115"/>
      <x:c r="T64" s="115"/>
      <x:c r="U64" s="115"/>
      <x:c r="V64" s="115"/>
      <x:c r="W64" s="115"/>
      <x:c r="X64" s="115"/>
      <x:c r="Y64" s="115"/>
      <x:c r="Z64" s="115"/>
    </x:row>
    <x:row r="65" ht="15" hidden="0" customHeight="1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  <x:c r="S65" s="115"/>
      <x:c r="T65" s="115"/>
      <x:c r="U65" s="115"/>
      <x:c r="V65" s="115"/>
      <x:c r="W65" s="115"/>
      <x:c r="X65" s="115"/>
      <x:c r="Y65" s="115"/>
      <x:c r="Z65" s="115"/>
    </x:row>
    <x:row r="66" ht="15" hidden="0" customHeight="1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  <x:c r="S66" s="115"/>
      <x:c r="T66" s="115"/>
      <x:c r="U66" s="115"/>
      <x:c r="V66" s="115"/>
      <x:c r="W66" s="115"/>
      <x:c r="X66" s="115"/>
      <x:c r="Y66" s="115"/>
      <x:c r="Z66" s="115"/>
    </x:row>
    <x:row r="67" ht="15" hidden="0" customHeight="1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  <x:c r="S67" s="115"/>
      <x:c r="T67" s="115"/>
      <x:c r="U67" s="115"/>
      <x:c r="V67" s="115"/>
      <x:c r="W67" s="115"/>
      <x:c r="X67" s="115"/>
      <x:c r="Y67" s="115"/>
      <x:c r="Z67" s="115"/>
    </x:row>
    <x:row r="68" ht="15" hidden="0" customHeight="1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  <x:c r="S68" s="115"/>
      <x:c r="T68" s="115"/>
      <x:c r="U68" s="115"/>
      <x:c r="V68" s="115"/>
      <x:c r="W68" s="115"/>
      <x:c r="X68" s="115"/>
      <x:c r="Y68" s="115"/>
      <x:c r="Z68" s="115"/>
    </x:row>
    <x:row r="69" ht="15" hidden="0" customHeight="1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  <x:c r="S69" s="115"/>
      <x:c r="T69" s="115"/>
      <x:c r="U69" s="115"/>
      <x:c r="V69" s="115"/>
      <x:c r="W69" s="115"/>
      <x:c r="X69" s="115"/>
      <x:c r="Y69" s="115"/>
      <x:c r="Z69" s="115"/>
    </x:row>
    <x:row r="70" ht="15" hidden="0" customHeight="1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  <x:c r="S70" s="115"/>
      <x:c r="T70" s="115"/>
      <x:c r="U70" s="115"/>
      <x:c r="V70" s="115"/>
      <x:c r="W70" s="115"/>
      <x:c r="X70" s="115"/>
      <x:c r="Y70" s="115"/>
      <x:c r="Z70" s="115"/>
    </x:row>
    <x:row r="71" ht="15" hidden="0" customHeight="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  <x:c r="S71" s="115"/>
      <x:c r="T71" s="115"/>
      <x:c r="U71" s="115"/>
      <x:c r="V71" s="115"/>
      <x:c r="W71" s="115"/>
      <x:c r="X71" s="115"/>
      <x:c r="Y71" s="115"/>
      <x:c r="Z71" s="115"/>
    </x:row>
    <x:row r="72" ht="15" hidden="0" customHeight="1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  <x:c r="S72" s="115"/>
      <x:c r="T72" s="115"/>
      <x:c r="U72" s="115"/>
      <x:c r="V72" s="115"/>
      <x:c r="W72" s="115"/>
      <x:c r="X72" s="115"/>
      <x:c r="Y72" s="115"/>
      <x:c r="Z72" s="115"/>
    </x:row>
    <x:row r="73" ht="15" hidden="0" customHeight="1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  <x:c r="S73" s="115"/>
      <x:c r="T73" s="115"/>
      <x:c r="U73" s="115"/>
      <x:c r="V73" s="115"/>
      <x:c r="W73" s="115"/>
      <x:c r="X73" s="115"/>
      <x:c r="Y73" s="115"/>
      <x:c r="Z73" s="115"/>
    </x:row>
    <x:row r="74" ht="15" hidden="0" customHeight="1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  <x:c r="S74" s="115"/>
      <x:c r="T74" s="115"/>
      <x:c r="U74" s="115"/>
      <x:c r="V74" s="115"/>
      <x:c r="W74" s="115"/>
      <x:c r="X74" s="115"/>
      <x:c r="Y74" s="115"/>
      <x:c r="Z74" s="115"/>
    </x:row>
    <x:row r="75" ht="15" hidden="0" customHeight="1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  <x:c r="S75" s="115"/>
      <x:c r="T75" s="115"/>
      <x:c r="U75" s="115"/>
      <x:c r="V75" s="115"/>
      <x:c r="W75" s="115"/>
      <x:c r="X75" s="115"/>
      <x:c r="Y75" s="115"/>
      <x:c r="Z75" s="115"/>
    </x:row>
    <x:row r="76" ht="15" hidden="0" customHeight="1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  <x:c r="S76" s="115"/>
      <x:c r="T76" s="115"/>
      <x:c r="U76" s="115"/>
      <x:c r="V76" s="115"/>
      <x:c r="W76" s="115"/>
      <x:c r="X76" s="115"/>
      <x:c r="Y76" s="115"/>
      <x:c r="Z76" s="115"/>
    </x:row>
    <x:row r="77" ht="15" hidden="0" customHeight="1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  <x:c r="S77" s="115"/>
      <x:c r="T77" s="115"/>
      <x:c r="U77" s="115"/>
      <x:c r="V77" s="115"/>
      <x:c r="W77" s="115"/>
      <x:c r="X77" s="115"/>
      <x:c r="Y77" s="115"/>
      <x:c r="Z77" s="115"/>
    </x:row>
    <x:row r="78" ht="15" hidden="0" customHeight="1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5"/>
      <x:c r="T78" s="115"/>
      <x:c r="U78" s="115"/>
      <x:c r="V78" s="115"/>
      <x:c r="W78" s="115"/>
      <x:c r="X78" s="115"/>
      <x:c r="Y78" s="115"/>
      <x:c r="Z78" s="115"/>
    </x:row>
    <x:row r="79" ht="15" hidden="0" customHeight="1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  <x:c r="S79" s="115"/>
      <x:c r="T79" s="115"/>
      <x:c r="U79" s="115"/>
      <x:c r="V79" s="115"/>
      <x:c r="W79" s="115"/>
      <x:c r="X79" s="115"/>
      <x:c r="Y79" s="115"/>
      <x:c r="Z79" s="115"/>
    </x:row>
    <x:row r="80" ht="15" hidden="0" customHeight="1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  <x:c r="S80" s="115"/>
      <x:c r="T80" s="115"/>
      <x:c r="U80" s="115"/>
      <x:c r="V80" s="115"/>
      <x:c r="W80" s="115"/>
      <x:c r="X80" s="115"/>
      <x:c r="Y80" s="115"/>
      <x:c r="Z80" s="115"/>
    </x:row>
    <x:row r="81" ht="15" hidden="0" customHeight="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  <x:c r="S81" s="115"/>
      <x:c r="T81" s="115"/>
      <x:c r="U81" s="115"/>
      <x:c r="V81" s="115"/>
      <x:c r="W81" s="115"/>
      <x:c r="X81" s="115"/>
      <x:c r="Y81" s="115"/>
      <x:c r="Z81" s="115"/>
    </x:row>
    <x:row r="82" ht="15" hidden="0" customHeight="1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  <x:c r="S82" s="115"/>
      <x:c r="T82" s="115"/>
      <x:c r="U82" s="115"/>
      <x:c r="V82" s="115"/>
      <x:c r="W82" s="115"/>
      <x:c r="X82" s="115"/>
      <x:c r="Y82" s="115"/>
      <x:c r="Z82" s="115"/>
    </x:row>
    <x:row r="83" ht="15" hidden="0" customHeight="1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  <x:c r="S83" s="115"/>
      <x:c r="T83" s="115"/>
      <x:c r="U83" s="115"/>
      <x:c r="V83" s="115"/>
      <x:c r="W83" s="115"/>
      <x:c r="X83" s="115"/>
      <x:c r="Y83" s="115"/>
      <x:c r="Z83" s="115"/>
    </x:row>
    <x:row r="84" ht="15" hidden="0" customHeight="1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  <x:c r="S84" s="115"/>
      <x:c r="T84" s="115"/>
      <x:c r="U84" s="115"/>
      <x:c r="V84" s="115"/>
      <x:c r="W84" s="115"/>
      <x:c r="X84" s="115"/>
      <x:c r="Y84" s="115"/>
      <x:c r="Z84" s="115"/>
    </x:row>
    <x:row r="85" ht="15" hidden="0" customHeight="1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  <x:c r="S85" s="115"/>
      <x:c r="T85" s="115"/>
      <x:c r="U85" s="115"/>
      <x:c r="V85" s="115"/>
      <x:c r="W85" s="115"/>
      <x:c r="X85" s="115"/>
      <x:c r="Y85" s="115"/>
      <x:c r="Z85" s="115"/>
    </x:row>
    <x:row r="86" ht="15" hidden="0" customHeight="1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  <x:c r="S86" s="115"/>
      <x:c r="T86" s="115"/>
      <x:c r="U86" s="115"/>
      <x:c r="V86" s="115"/>
      <x:c r="W86" s="115"/>
      <x:c r="X86" s="115"/>
      <x:c r="Y86" s="115"/>
      <x:c r="Z86" s="115"/>
    </x:row>
    <x:row r="87" ht="15" hidden="0" customHeight="1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  <x:c r="S87" s="115"/>
      <x:c r="T87" s="115"/>
      <x:c r="U87" s="115"/>
      <x:c r="V87" s="115"/>
      <x:c r="W87" s="115"/>
      <x:c r="X87" s="115"/>
      <x:c r="Y87" s="115"/>
      <x:c r="Z87" s="115"/>
    </x:row>
    <x:row r="88" ht="15" hidden="0" customHeight="1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  <x:c r="S88" s="115"/>
      <x:c r="T88" s="115"/>
      <x:c r="U88" s="115"/>
      <x:c r="V88" s="115"/>
      <x:c r="W88" s="115"/>
      <x:c r="X88" s="115"/>
      <x:c r="Y88" s="115"/>
      <x:c r="Z88" s="115"/>
    </x:row>
    <x:row r="89" ht="15" hidden="0" customHeight="1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  <x:c r="S89" s="115"/>
      <x:c r="T89" s="115"/>
      <x:c r="U89" s="115"/>
      <x:c r="V89" s="115"/>
      <x:c r="W89" s="115"/>
      <x:c r="X89" s="115"/>
      <x:c r="Y89" s="115"/>
      <x:c r="Z89" s="115"/>
    </x:row>
    <x:row r="90" ht="15" hidden="0" customHeight="1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  <x:c r="S90" s="115"/>
      <x:c r="T90" s="115"/>
      <x:c r="U90" s="115"/>
      <x:c r="V90" s="115"/>
      <x:c r="W90" s="115"/>
      <x:c r="X90" s="115"/>
      <x:c r="Y90" s="115"/>
      <x:c r="Z90" s="115"/>
    </x:row>
    <x:row r="91" ht="15" hidden="0" customHeight="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  <x:c r="S91" s="115"/>
      <x:c r="T91" s="115"/>
      <x:c r="U91" s="115"/>
      <x:c r="V91" s="115"/>
      <x:c r="W91" s="115"/>
      <x:c r="X91" s="115"/>
      <x:c r="Y91" s="115"/>
      <x:c r="Z91" s="115"/>
    </x:row>
    <x:row r="92" ht="15" hidden="0" customHeight="1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  <x:c r="S92" s="115"/>
      <x:c r="T92" s="115"/>
      <x:c r="U92" s="115"/>
      <x:c r="V92" s="115"/>
      <x:c r="W92" s="115"/>
      <x:c r="X92" s="115"/>
      <x:c r="Y92" s="115"/>
      <x:c r="Z92" s="115"/>
    </x:row>
    <x:row r="93" ht="15" hidden="0" customHeight="1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  <x:c r="S93" s="115"/>
      <x:c r="T93" s="115"/>
      <x:c r="U93" s="115"/>
      <x:c r="V93" s="115"/>
      <x:c r="W93" s="115"/>
      <x:c r="X93" s="115"/>
      <x:c r="Y93" s="115"/>
      <x:c r="Z93" s="115"/>
    </x:row>
    <x:row r="94" ht="15" hidden="0" customHeight="1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  <x:c r="S94" s="115"/>
      <x:c r="T94" s="115"/>
      <x:c r="U94" s="115"/>
      <x:c r="V94" s="115"/>
      <x:c r="W94" s="115"/>
      <x:c r="X94" s="115"/>
      <x:c r="Y94" s="115"/>
      <x:c r="Z94" s="115"/>
    </x:row>
    <x:row r="95" ht="15" hidden="0" customHeight="1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  <x:c r="S95" s="115"/>
      <x:c r="T95" s="115"/>
      <x:c r="U95" s="115"/>
      <x:c r="V95" s="115"/>
      <x:c r="W95" s="115"/>
      <x:c r="X95" s="115"/>
      <x:c r="Y95" s="115"/>
      <x:c r="Z95" s="115"/>
    </x:row>
    <x:row r="96" ht="15" hidden="0" customHeight="1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  <x:c r="S96" s="115"/>
      <x:c r="T96" s="115"/>
      <x:c r="U96" s="115"/>
      <x:c r="V96" s="115"/>
      <x:c r="W96" s="115"/>
      <x:c r="X96" s="115"/>
      <x:c r="Y96" s="115"/>
      <x:c r="Z96" s="115"/>
    </x:row>
    <x:row r="97" ht="15" hidden="0" customHeight="1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  <x:c r="S97" s="115"/>
      <x:c r="T97" s="115"/>
      <x:c r="U97" s="115"/>
      <x:c r="V97" s="115"/>
      <x:c r="W97" s="115"/>
      <x:c r="X97" s="115"/>
      <x:c r="Y97" s="115"/>
      <x:c r="Z97" s="115"/>
    </x:row>
    <x:row r="98" ht="15" hidden="0" customHeight="1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  <x:c r="S98" s="115"/>
      <x:c r="T98" s="115"/>
      <x:c r="U98" s="115"/>
      <x:c r="V98" s="115"/>
      <x:c r="W98" s="115"/>
      <x:c r="X98" s="115"/>
      <x:c r="Y98" s="115"/>
      <x:c r="Z98" s="115"/>
    </x:row>
    <x:row r="99" ht="15" hidden="0" customHeight="1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  <x:c r="S99" s="115"/>
      <x:c r="T99" s="115"/>
      <x:c r="U99" s="115"/>
      <x:c r="V99" s="115"/>
      <x:c r="W99" s="115"/>
      <x:c r="X99" s="115"/>
      <x:c r="Y99" s="115"/>
      <x:c r="Z99" s="115"/>
    </x:row>
    <x:row r="100" ht="15" hidden="0" customHeight="1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  <x:c r="S100" s="115"/>
      <x:c r="T100" s="115"/>
      <x:c r="U100" s="115"/>
      <x:c r="V100" s="115"/>
      <x:c r="W100" s="115"/>
      <x:c r="X100" s="115"/>
      <x:c r="Y100" s="115"/>
      <x:c r="Z100" s="115"/>
    </x:row>
    <x:row r="101" ht="15" hidden="0" customHeight="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  <x:c r="S101" s="115"/>
      <x:c r="T101" s="115"/>
      <x:c r="U101" s="115"/>
      <x:c r="V101" s="115"/>
      <x:c r="W101" s="115"/>
      <x:c r="X101" s="115"/>
      <x:c r="Y101" s="115"/>
      <x:c r="Z101" s="115"/>
    </x:row>
    <x:row r="102" ht="15" hidden="0" customHeight="1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  <x:c r="S102" s="115"/>
      <x:c r="T102" s="115"/>
      <x:c r="U102" s="115"/>
      <x:c r="V102" s="115"/>
      <x:c r="W102" s="115"/>
      <x:c r="X102" s="115"/>
      <x:c r="Y102" s="115"/>
      <x:c r="Z102" s="115"/>
    </x:row>
    <x:row r="103" ht="15" hidden="0" customHeight="1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  <x:c r="S103" s="115"/>
      <x:c r="T103" s="115"/>
      <x:c r="U103" s="115"/>
      <x:c r="V103" s="115"/>
      <x:c r="W103" s="115"/>
      <x:c r="X103" s="115"/>
      <x:c r="Y103" s="115"/>
      <x:c r="Z103" s="115"/>
    </x:row>
    <x:row r="104" ht="15" hidden="0" customHeight="1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  <x:c r="S104" s="115"/>
      <x:c r="T104" s="115"/>
      <x:c r="U104" s="115"/>
      <x:c r="V104" s="115"/>
      <x:c r="W104" s="115"/>
      <x:c r="X104" s="115"/>
      <x:c r="Y104" s="115"/>
      <x:c r="Z104" s="115"/>
    </x:row>
    <x:row r="105" ht="15" hidden="0" customHeight="1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  <x:c r="S105" s="115"/>
      <x:c r="T105" s="115"/>
      <x:c r="U105" s="115"/>
      <x:c r="V105" s="115"/>
      <x:c r="W105" s="115"/>
      <x:c r="X105" s="115"/>
      <x:c r="Y105" s="115"/>
      <x:c r="Z105" s="115"/>
    </x:row>
    <x:row r="106" ht="15" hidden="0" customHeight="1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  <x:c r="S106" s="115"/>
      <x:c r="T106" s="115"/>
      <x:c r="U106" s="115"/>
      <x:c r="V106" s="115"/>
      <x:c r="W106" s="115"/>
      <x:c r="X106" s="115"/>
      <x:c r="Y106" s="115"/>
      <x:c r="Z106" s="115"/>
    </x:row>
    <x:row r="107" ht="15" hidden="0" customHeight="1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  <x:c r="S107" s="115"/>
      <x:c r="T107" s="115"/>
      <x:c r="U107" s="115"/>
      <x:c r="V107" s="115"/>
      <x:c r="W107" s="115"/>
      <x:c r="X107" s="115"/>
      <x:c r="Y107" s="115"/>
      <x:c r="Z107" s="115"/>
    </x:row>
    <x:row r="108" ht="15" hidden="0" customHeight="1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  <x:c r="S108" s="115"/>
      <x:c r="T108" s="115"/>
      <x:c r="U108" s="115"/>
      <x:c r="V108" s="115"/>
      <x:c r="W108" s="115"/>
      <x:c r="X108" s="115"/>
      <x:c r="Y108" s="115"/>
      <x:c r="Z108" s="115"/>
    </x:row>
    <x:row r="109" ht="15" hidden="0" customHeight="1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  <x:c r="S109" s="115"/>
      <x:c r="T109" s="115"/>
      <x:c r="U109" s="115"/>
      <x:c r="V109" s="115"/>
      <x:c r="W109" s="115"/>
      <x:c r="X109" s="115"/>
      <x:c r="Y109" s="115"/>
      <x:c r="Z109" s="115"/>
    </x:row>
    <x:row r="110" ht="15" hidden="0" customHeight="1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  <x:c r="S110" s="115"/>
      <x:c r="T110" s="115"/>
      <x:c r="U110" s="115"/>
      <x:c r="V110" s="115"/>
      <x:c r="W110" s="115"/>
      <x:c r="X110" s="115"/>
      <x:c r="Y110" s="115"/>
      <x:c r="Z110" s="115"/>
    </x:row>
    <x:row r="111" ht="15" hidden="0" customHeight="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  <x:c r="S111" s="115"/>
      <x:c r="T111" s="115"/>
      <x:c r="U111" s="115"/>
      <x:c r="V111" s="115"/>
      <x:c r="W111" s="115"/>
      <x:c r="X111" s="115"/>
      <x:c r="Y111" s="115"/>
      <x:c r="Z111" s="115"/>
    </x:row>
    <x:row r="112" ht="15" hidden="0" customHeight="1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  <x:c r="S112" s="115"/>
      <x:c r="T112" s="115"/>
      <x:c r="U112" s="115"/>
      <x:c r="V112" s="115"/>
      <x:c r="W112" s="115"/>
      <x:c r="X112" s="115"/>
      <x:c r="Y112" s="115"/>
      <x:c r="Z112" s="115"/>
    </x:row>
    <x:row r="113" ht="15" hidden="0" customHeight="1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  <x:c r="S113" s="115"/>
      <x:c r="T113" s="115"/>
      <x:c r="U113" s="115"/>
      <x:c r="V113" s="115"/>
      <x:c r="W113" s="115"/>
      <x:c r="X113" s="115"/>
      <x:c r="Y113" s="115"/>
      <x:c r="Z113" s="115"/>
    </x:row>
    <x:row r="114" ht="15" hidden="0" customHeight="1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  <x:c r="S114" s="115"/>
      <x:c r="T114" s="115"/>
      <x:c r="U114" s="115"/>
      <x:c r="V114" s="115"/>
      <x:c r="W114" s="115"/>
      <x:c r="X114" s="115"/>
      <x:c r="Y114" s="115"/>
      <x:c r="Z114" s="115"/>
    </x:row>
    <x:row r="115" ht="15" hidden="0" customHeight="1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  <x:c r="S115" s="115"/>
      <x:c r="T115" s="115"/>
      <x:c r="U115" s="115"/>
      <x:c r="V115" s="115"/>
      <x:c r="W115" s="115"/>
      <x:c r="X115" s="115"/>
      <x:c r="Y115" s="115"/>
      <x:c r="Z115" s="115"/>
    </x:row>
    <x:row r="116" ht="15" hidden="0" customHeight="1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  <x:c r="S116" s="115"/>
      <x:c r="T116" s="115"/>
      <x:c r="U116" s="115"/>
      <x:c r="V116" s="115"/>
      <x:c r="W116" s="115"/>
      <x:c r="X116" s="115"/>
      <x:c r="Y116" s="115"/>
      <x:c r="Z116" s="115"/>
    </x:row>
    <x:row r="117" ht="15" hidden="0" customHeight="1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  <x:c r="S117" s="115"/>
      <x:c r="T117" s="115"/>
      <x:c r="U117" s="115"/>
      <x:c r="V117" s="115"/>
      <x:c r="W117" s="115"/>
      <x:c r="X117" s="115"/>
      <x:c r="Y117" s="115"/>
      <x:c r="Z117" s="115"/>
    </x:row>
    <x:row r="118" ht="15" hidden="0" customHeight="1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  <x:c r="S118" s="115"/>
      <x:c r="T118" s="115"/>
      <x:c r="U118" s="115"/>
      <x:c r="V118" s="115"/>
      <x:c r="W118" s="115"/>
      <x:c r="X118" s="115"/>
      <x:c r="Y118" s="115"/>
      <x:c r="Z118" s="115"/>
    </x:row>
    <x:row r="119" ht="15" hidden="0" customHeight="1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  <x:c r="S119" s="115"/>
      <x:c r="T119" s="115"/>
      <x:c r="U119" s="115"/>
      <x:c r="V119" s="115"/>
      <x:c r="W119" s="115"/>
      <x:c r="X119" s="115"/>
      <x:c r="Y119" s="115"/>
      <x:c r="Z119" s="115"/>
    </x:row>
    <x:row r="120" ht="15" hidden="0" customHeight="1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  <x:c r="S120" s="115"/>
      <x:c r="T120" s="115"/>
      <x:c r="U120" s="115"/>
      <x:c r="V120" s="115"/>
      <x:c r="W120" s="115"/>
      <x:c r="X120" s="115"/>
      <x:c r="Y120" s="115"/>
      <x:c r="Z120" s="115"/>
    </x:row>
    <x:row r="121" ht="15" hidden="0" customHeight="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  <x:c r="S121" s="115"/>
      <x:c r="T121" s="115"/>
      <x:c r="U121" s="115"/>
      <x:c r="V121" s="115"/>
      <x:c r="W121" s="115"/>
      <x:c r="X121" s="115"/>
      <x:c r="Y121" s="115"/>
      <x:c r="Z121" s="115"/>
    </x:row>
    <x:row r="122" ht="15" hidden="0" customHeight="1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  <x:c r="S122" s="115"/>
      <x:c r="T122" s="115"/>
      <x:c r="U122" s="115"/>
      <x:c r="V122" s="115"/>
      <x:c r="W122" s="115"/>
      <x:c r="X122" s="115"/>
      <x:c r="Y122" s="115"/>
      <x:c r="Z122" s="115"/>
    </x:row>
    <x:row r="123" ht="15" hidden="0" customHeight="1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  <x:c r="S123" s="115"/>
      <x:c r="T123" s="115"/>
      <x:c r="U123" s="115"/>
      <x:c r="V123" s="115"/>
      <x:c r="W123" s="115"/>
      <x:c r="X123" s="115"/>
      <x:c r="Y123" s="115"/>
      <x:c r="Z123" s="115"/>
    </x:row>
    <x:row r="124" ht="15" hidden="0" customHeight="1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  <x:c r="S124" s="115"/>
      <x:c r="T124" s="115"/>
      <x:c r="U124" s="115"/>
      <x:c r="V124" s="115"/>
      <x:c r="W124" s="115"/>
      <x:c r="X124" s="115"/>
      <x:c r="Y124" s="115"/>
      <x:c r="Z124" s="115"/>
    </x:row>
    <x:row r="125" ht="15" hidden="0" customHeight="1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  <x:c r="S125" s="115"/>
      <x:c r="T125" s="115"/>
      <x:c r="U125" s="115"/>
      <x:c r="V125" s="115"/>
      <x:c r="W125" s="115"/>
      <x:c r="X125" s="115"/>
      <x:c r="Y125" s="115"/>
      <x:c r="Z125" s="115"/>
    </x:row>
    <x:row r="126" ht="15" hidden="0" customHeight="1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  <x:c r="S126" s="115"/>
      <x:c r="T126" s="115"/>
      <x:c r="U126" s="115"/>
      <x:c r="V126" s="115"/>
      <x:c r="W126" s="115"/>
      <x:c r="X126" s="115"/>
      <x:c r="Y126" s="115"/>
      <x:c r="Z126" s="115"/>
    </x:row>
    <x:row r="127" ht="15" hidden="0" customHeight="1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  <x:c r="S127" s="115"/>
      <x:c r="T127" s="115"/>
      <x:c r="U127" s="115"/>
      <x:c r="V127" s="115"/>
      <x:c r="W127" s="115"/>
      <x:c r="X127" s="115"/>
      <x:c r="Y127" s="115"/>
      <x:c r="Z127" s="115"/>
    </x:row>
    <x:row r="128" ht="15" hidden="0" customHeight="1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  <x:c r="S128" s="115"/>
      <x:c r="T128" s="115"/>
      <x:c r="U128" s="115"/>
      <x:c r="V128" s="115"/>
      <x:c r="W128" s="115"/>
      <x:c r="X128" s="115"/>
      <x:c r="Y128" s="115"/>
      <x:c r="Z128" s="115"/>
    </x:row>
    <x:row r="129" ht="15" hidden="0" customHeight="1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  <x:c r="S129" s="115"/>
      <x:c r="T129" s="115"/>
      <x:c r="U129" s="115"/>
      <x:c r="V129" s="115"/>
      <x:c r="W129" s="115"/>
      <x:c r="X129" s="115"/>
      <x:c r="Y129" s="115"/>
      <x:c r="Z129" s="115"/>
    </x:row>
    <x:row r="130" ht="15" hidden="0" customHeight="1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  <x:c r="S130" s="115"/>
      <x:c r="T130" s="115"/>
      <x:c r="U130" s="115"/>
      <x:c r="V130" s="115"/>
      <x:c r="W130" s="115"/>
      <x:c r="X130" s="115"/>
      <x:c r="Y130" s="115"/>
      <x:c r="Z130" s="115"/>
    </x:row>
    <x:row r="131" ht="15" hidden="0" customHeight="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  <x:c r="S131" s="115"/>
      <x:c r="T131" s="115"/>
      <x:c r="U131" s="115"/>
      <x:c r="V131" s="115"/>
      <x:c r="W131" s="115"/>
      <x:c r="X131" s="115"/>
      <x:c r="Y131" s="115"/>
      <x:c r="Z131" s="115"/>
    </x:row>
    <x:row r="132" ht="15" hidden="0" customHeight="1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  <x:c r="S132" s="115"/>
      <x:c r="T132" s="115"/>
      <x:c r="U132" s="115"/>
      <x:c r="V132" s="115"/>
      <x:c r="W132" s="115"/>
      <x:c r="X132" s="115"/>
      <x:c r="Y132" s="115"/>
      <x:c r="Z132" s="115"/>
    </x:row>
    <x:row r="133" ht="15" hidden="0" customHeight="1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  <x:c r="S133" s="115"/>
      <x:c r="T133" s="115"/>
      <x:c r="U133" s="115"/>
      <x:c r="V133" s="115"/>
      <x:c r="W133" s="115"/>
      <x:c r="X133" s="115"/>
      <x:c r="Y133" s="115"/>
      <x:c r="Z133" s="115"/>
    </x:row>
    <x:row r="134" ht="15" hidden="0" customHeight="1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  <x:c r="S134" s="115"/>
      <x:c r="T134" s="115"/>
      <x:c r="U134" s="115"/>
      <x:c r="V134" s="115"/>
      <x:c r="W134" s="115"/>
      <x:c r="X134" s="115"/>
      <x:c r="Y134" s="115"/>
      <x:c r="Z134" s="115"/>
    </x:row>
    <x:row r="135" ht="15" hidden="0" customHeight="1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  <x:c r="S135" s="115"/>
      <x:c r="T135" s="115"/>
      <x:c r="U135" s="115"/>
      <x:c r="V135" s="115"/>
      <x:c r="W135" s="115"/>
      <x:c r="X135" s="115"/>
      <x:c r="Y135" s="115"/>
      <x:c r="Z135" s="115"/>
    </x:row>
    <x:row r="136" ht="15" hidden="0" customHeight="1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  <x:c r="S136" s="115"/>
      <x:c r="T136" s="115"/>
      <x:c r="U136" s="115"/>
      <x:c r="V136" s="115"/>
      <x:c r="W136" s="115"/>
      <x:c r="X136" s="115"/>
      <x:c r="Y136" s="115"/>
      <x:c r="Z136" s="115"/>
    </x:row>
    <x:row r="137" ht="15" hidden="0" customHeight="1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  <x:c r="S137" s="115"/>
      <x:c r="T137" s="115"/>
      <x:c r="U137" s="115"/>
      <x:c r="V137" s="115"/>
      <x:c r="W137" s="115"/>
      <x:c r="X137" s="115"/>
      <x:c r="Y137" s="115"/>
      <x:c r="Z137" s="115"/>
    </x:row>
    <x:row r="138" ht="15" hidden="0" customHeight="1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5"/>
      <x:c r="T138" s="115"/>
      <x:c r="U138" s="115"/>
      <x:c r="V138" s="115"/>
      <x:c r="W138" s="115"/>
      <x:c r="X138" s="115"/>
      <x:c r="Y138" s="115"/>
      <x:c r="Z138" s="115"/>
    </x:row>
    <x:row r="139" ht="15" hidden="0" customHeight="1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  <x:c r="S139" s="115"/>
      <x:c r="T139" s="115"/>
      <x:c r="U139" s="115"/>
      <x:c r="V139" s="115"/>
      <x:c r="W139" s="115"/>
      <x:c r="X139" s="115"/>
      <x:c r="Y139" s="115"/>
      <x:c r="Z139" s="115"/>
    </x:row>
    <x:row r="140" ht="15" hidden="0" customHeight="1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  <x:c r="S140" s="115"/>
      <x:c r="T140" s="115"/>
      <x:c r="U140" s="115"/>
      <x:c r="V140" s="115"/>
      <x:c r="W140" s="115"/>
      <x:c r="X140" s="115"/>
      <x:c r="Y140" s="115"/>
      <x:c r="Z140" s="115"/>
    </x:row>
    <x:row r="141" ht="15" hidden="0" customHeight="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  <x:c r="S141" s="115"/>
      <x:c r="T141" s="115"/>
      <x:c r="U141" s="115"/>
      <x:c r="V141" s="115"/>
      <x:c r="W141" s="115"/>
      <x:c r="X141" s="115"/>
      <x:c r="Y141" s="115"/>
      <x:c r="Z141" s="115"/>
    </x:row>
    <x:row r="142" ht="15" hidden="0" customHeight="1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  <x:c r="S142" s="115"/>
      <x:c r="T142" s="115"/>
      <x:c r="U142" s="115"/>
      <x:c r="V142" s="115"/>
      <x:c r="W142" s="115"/>
      <x:c r="X142" s="115"/>
      <x:c r="Y142" s="115"/>
      <x:c r="Z142" s="115"/>
    </x:row>
    <x:row r="143" ht="15" hidden="0" customHeight="1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  <x:c r="S143" s="115"/>
      <x:c r="T143" s="115"/>
      <x:c r="U143" s="115"/>
      <x:c r="V143" s="115"/>
      <x:c r="W143" s="115"/>
      <x:c r="X143" s="115"/>
      <x:c r="Y143" s="115"/>
      <x:c r="Z143" s="115"/>
    </x:row>
    <x:row r="144" ht="15" hidden="0" customHeight="1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  <x:c r="S144" s="115"/>
      <x:c r="T144" s="115"/>
      <x:c r="U144" s="115"/>
      <x:c r="V144" s="115"/>
      <x:c r="W144" s="115"/>
      <x:c r="X144" s="115"/>
      <x:c r="Y144" s="115"/>
      <x:c r="Z144" s="115"/>
    </x:row>
    <x:row r="145" ht="15" hidden="0" customHeight="1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  <x:c r="S145" s="115"/>
      <x:c r="T145" s="115"/>
      <x:c r="U145" s="115"/>
      <x:c r="V145" s="115"/>
      <x:c r="W145" s="115"/>
      <x:c r="X145" s="115"/>
      <x:c r="Y145" s="115"/>
      <x:c r="Z145" s="115"/>
    </x:row>
    <x:row r="146" ht="15" hidden="0" customHeight="1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  <x:c r="S146" s="115"/>
      <x:c r="T146" s="115"/>
      <x:c r="U146" s="115"/>
      <x:c r="V146" s="115"/>
      <x:c r="W146" s="115"/>
      <x:c r="X146" s="115"/>
      <x:c r="Y146" s="115"/>
      <x:c r="Z146" s="115"/>
    </x:row>
    <x:row r="147" ht="15" hidden="0" customHeight="1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  <x:c r="S147" s="115"/>
      <x:c r="T147" s="115"/>
      <x:c r="U147" s="115"/>
      <x:c r="V147" s="115"/>
      <x:c r="W147" s="115"/>
      <x:c r="X147" s="115"/>
      <x:c r="Y147" s="115"/>
      <x:c r="Z147" s="115"/>
    </x:row>
    <x:row r="148" ht="15" hidden="0" customHeight="1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  <x:c r="S148" s="115"/>
      <x:c r="T148" s="115"/>
      <x:c r="U148" s="115"/>
      <x:c r="V148" s="115"/>
      <x:c r="W148" s="115"/>
      <x:c r="X148" s="115"/>
      <x:c r="Y148" s="115"/>
      <x:c r="Z148" s="115"/>
    </x:row>
    <x:row r="149" ht="15" hidden="0" customHeight="1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  <x:c r="S149" s="115"/>
      <x:c r="T149" s="115"/>
      <x:c r="U149" s="115"/>
      <x:c r="V149" s="115"/>
      <x:c r="W149" s="115"/>
      <x:c r="X149" s="115"/>
      <x:c r="Y149" s="115"/>
      <x:c r="Z149" s="115"/>
    </x:row>
    <x:row r="150" ht="15" hidden="0" customHeight="1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  <x:c r="S150" s="115"/>
      <x:c r="T150" s="115"/>
      <x:c r="U150" s="115"/>
      <x:c r="V150" s="115"/>
      <x:c r="W150" s="115"/>
      <x:c r="X150" s="115"/>
      <x:c r="Y150" s="115"/>
      <x:c r="Z150" s="115"/>
    </x:row>
    <x:row r="151" ht="15" hidden="0" customHeight="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  <x:c r="S151" s="115"/>
      <x:c r="T151" s="115"/>
      <x:c r="U151" s="115"/>
      <x:c r="V151" s="115"/>
      <x:c r="W151" s="115"/>
      <x:c r="X151" s="115"/>
      <x:c r="Y151" s="115"/>
      <x:c r="Z151" s="115"/>
    </x:row>
    <x:row r="152" ht="15" hidden="0" customHeight="1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  <x:c r="S152" s="115"/>
      <x:c r="T152" s="115"/>
      <x:c r="U152" s="115"/>
      <x:c r="V152" s="115"/>
      <x:c r="W152" s="115"/>
      <x:c r="X152" s="115"/>
      <x:c r="Y152" s="115"/>
      <x:c r="Z152" s="115"/>
    </x:row>
    <x:row r="153" ht="15" hidden="0" customHeight="1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  <x:c r="S153" s="115"/>
      <x:c r="T153" s="115"/>
      <x:c r="U153" s="115"/>
      <x:c r="V153" s="115"/>
      <x:c r="W153" s="115"/>
      <x:c r="X153" s="115"/>
      <x:c r="Y153" s="115"/>
      <x:c r="Z153" s="115"/>
    </x:row>
    <x:row r="154" ht="15" hidden="0" customHeight="1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  <x:c r="S154" s="115"/>
      <x:c r="T154" s="115"/>
      <x:c r="U154" s="115"/>
      <x:c r="V154" s="115"/>
      <x:c r="W154" s="115"/>
      <x:c r="X154" s="115"/>
      <x:c r="Y154" s="115"/>
      <x:c r="Z154" s="115"/>
    </x:row>
    <x:row r="155" ht="15" hidden="0" customHeight="1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  <x:c r="S155" s="115"/>
      <x:c r="T155" s="115"/>
      <x:c r="U155" s="115"/>
      <x:c r="V155" s="115"/>
      <x:c r="W155" s="115"/>
      <x:c r="X155" s="115"/>
      <x:c r="Y155" s="115"/>
      <x:c r="Z155" s="115"/>
    </x:row>
    <x:row r="156" ht="15" hidden="0" customHeight="1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  <x:c r="S156" s="115"/>
      <x:c r="T156" s="115"/>
      <x:c r="U156" s="115"/>
      <x:c r="V156" s="115"/>
      <x:c r="W156" s="115"/>
      <x:c r="X156" s="115"/>
      <x:c r="Y156" s="115"/>
      <x:c r="Z156" s="115"/>
    </x:row>
    <x:row r="157" ht="15" hidden="0" customHeight="1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  <x:c r="S157" s="115"/>
      <x:c r="T157" s="115"/>
      <x:c r="U157" s="115"/>
      <x:c r="V157" s="115"/>
      <x:c r="W157" s="115"/>
      <x:c r="X157" s="115"/>
      <x:c r="Y157" s="115"/>
      <x:c r="Z157" s="115"/>
    </x:row>
    <x:row r="158" ht="15" hidden="0" customHeight="1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  <x:c r="S158" s="115"/>
      <x:c r="T158" s="115"/>
      <x:c r="U158" s="115"/>
      <x:c r="V158" s="115"/>
      <x:c r="W158" s="115"/>
      <x:c r="X158" s="115"/>
      <x:c r="Y158" s="115"/>
      <x:c r="Z158" s="115"/>
    </x:row>
    <x:row r="159" ht="15" hidden="0" customHeight="1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  <x:c r="S159" s="115"/>
      <x:c r="T159" s="115"/>
      <x:c r="U159" s="115"/>
      <x:c r="V159" s="115"/>
      <x:c r="W159" s="115"/>
      <x:c r="X159" s="115"/>
      <x:c r="Y159" s="115"/>
      <x:c r="Z159" s="115"/>
    </x:row>
    <x:row r="160" ht="15" hidden="0" customHeight="1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  <x:c r="S160" s="115"/>
      <x:c r="T160" s="115"/>
      <x:c r="U160" s="115"/>
      <x:c r="V160" s="115"/>
      <x:c r="W160" s="115"/>
      <x:c r="X160" s="115"/>
      <x:c r="Y160" s="115"/>
      <x:c r="Z160" s="115"/>
    </x:row>
    <x:row r="161" ht="15" hidden="0" customHeight="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  <x:c r="S161" s="115"/>
      <x:c r="T161" s="115"/>
      <x:c r="U161" s="115"/>
      <x:c r="V161" s="115"/>
      <x:c r="W161" s="115"/>
      <x:c r="X161" s="115"/>
      <x:c r="Y161" s="115"/>
      <x:c r="Z161" s="115"/>
    </x:row>
    <x:row r="162" ht="15" hidden="0" customHeight="1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  <x:c r="S162" s="115"/>
      <x:c r="T162" s="115"/>
      <x:c r="U162" s="115"/>
      <x:c r="V162" s="115"/>
      <x:c r="W162" s="115"/>
      <x:c r="X162" s="115"/>
      <x:c r="Y162" s="115"/>
      <x:c r="Z162" s="115"/>
    </x:row>
    <x:row r="163" ht="15" hidden="0" customHeight="1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  <x:c r="S163" s="115"/>
      <x:c r="T163" s="115"/>
      <x:c r="U163" s="115"/>
      <x:c r="V163" s="115"/>
      <x:c r="W163" s="115"/>
      <x:c r="X163" s="115"/>
      <x:c r="Y163" s="115"/>
      <x:c r="Z163" s="115"/>
    </x:row>
    <x:row r="164" ht="15" hidden="0" customHeight="1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  <x:c r="S164" s="115"/>
      <x:c r="T164" s="115"/>
      <x:c r="U164" s="115"/>
      <x:c r="V164" s="115"/>
      <x:c r="W164" s="115"/>
      <x:c r="X164" s="115"/>
      <x:c r="Y164" s="115"/>
      <x:c r="Z164" s="115"/>
    </x:row>
    <x:row r="165" ht="15" hidden="0" customHeight="1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  <x:c r="S165" s="115"/>
      <x:c r="T165" s="115"/>
      <x:c r="U165" s="115"/>
      <x:c r="V165" s="115"/>
      <x:c r="W165" s="115"/>
      <x:c r="X165" s="115"/>
      <x:c r="Y165" s="115"/>
      <x:c r="Z165" s="115"/>
    </x:row>
    <x:row r="166" ht="15" hidden="0" customHeight="1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  <x:c r="S166" s="115"/>
      <x:c r="T166" s="115"/>
      <x:c r="U166" s="115"/>
      <x:c r="V166" s="115"/>
      <x:c r="W166" s="115"/>
      <x:c r="X166" s="115"/>
      <x:c r="Y166" s="115"/>
      <x:c r="Z166" s="115"/>
    </x:row>
    <x:row r="167" ht="15" hidden="0" customHeight="1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  <x:c r="S167" s="115"/>
      <x:c r="T167" s="115"/>
      <x:c r="U167" s="115"/>
      <x:c r="V167" s="115"/>
      <x:c r="W167" s="115"/>
      <x:c r="X167" s="115"/>
      <x:c r="Y167" s="115"/>
      <x:c r="Z167" s="115"/>
    </x:row>
    <x:row r="168" ht="15" hidden="0" customHeight="1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  <x:c r="S168" s="115"/>
      <x:c r="T168" s="115"/>
      <x:c r="U168" s="115"/>
      <x:c r="V168" s="115"/>
      <x:c r="W168" s="115"/>
      <x:c r="X168" s="115"/>
      <x:c r="Y168" s="115"/>
      <x:c r="Z168" s="115"/>
    </x:row>
    <x:row r="169" ht="15" hidden="0" customHeight="1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  <x:c r="S169" s="115"/>
      <x:c r="T169" s="115"/>
      <x:c r="U169" s="115"/>
      <x:c r="V169" s="115"/>
      <x:c r="W169" s="115"/>
      <x:c r="X169" s="115"/>
      <x:c r="Y169" s="115"/>
      <x:c r="Z169" s="115"/>
    </x:row>
    <x:row r="170" ht="15" hidden="0" customHeight="1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  <x:c r="S170" s="115"/>
      <x:c r="T170" s="115"/>
      <x:c r="U170" s="115"/>
      <x:c r="V170" s="115"/>
      <x:c r="W170" s="115"/>
      <x:c r="X170" s="115"/>
      <x:c r="Y170" s="115"/>
      <x:c r="Z170" s="115"/>
    </x:row>
    <x:row r="171" ht="15" hidden="0" customHeight="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  <x:c r="S171" s="115"/>
      <x:c r="T171" s="115"/>
      <x:c r="U171" s="115"/>
      <x:c r="V171" s="115"/>
      <x:c r="W171" s="115"/>
      <x:c r="X171" s="115"/>
      <x:c r="Y171" s="115"/>
      <x:c r="Z171" s="115"/>
    </x:row>
    <x:row r="172" ht="15" hidden="0" customHeight="1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  <x:c r="S172" s="115"/>
      <x:c r="T172" s="115"/>
      <x:c r="U172" s="115"/>
      <x:c r="V172" s="115"/>
      <x:c r="W172" s="115"/>
      <x:c r="X172" s="115"/>
      <x:c r="Y172" s="115"/>
      <x:c r="Z172" s="115"/>
    </x:row>
    <x:row r="173" ht="15" hidden="0" customHeight="1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  <x:c r="S173" s="115"/>
      <x:c r="T173" s="115"/>
      <x:c r="U173" s="115"/>
      <x:c r="V173" s="115"/>
      <x:c r="W173" s="115"/>
      <x:c r="X173" s="115"/>
      <x:c r="Y173" s="115"/>
      <x:c r="Z173" s="115"/>
    </x:row>
    <x:row r="174" ht="15" hidden="0" customHeight="1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  <x:c r="S174" s="115"/>
      <x:c r="T174" s="115"/>
      <x:c r="U174" s="115"/>
      <x:c r="V174" s="115"/>
      <x:c r="W174" s="115"/>
      <x:c r="X174" s="115"/>
      <x:c r="Y174" s="115"/>
      <x:c r="Z174" s="115"/>
    </x:row>
    <x:row r="175" ht="15" hidden="0" customHeight="1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  <x:c r="S175" s="115"/>
      <x:c r="T175" s="115"/>
      <x:c r="U175" s="115"/>
      <x:c r="V175" s="115"/>
      <x:c r="W175" s="115"/>
      <x:c r="X175" s="115"/>
      <x:c r="Y175" s="115"/>
      <x:c r="Z175" s="115"/>
    </x:row>
    <x:row r="176" ht="15" hidden="0" customHeight="1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  <x:c r="S176" s="115"/>
      <x:c r="T176" s="115"/>
      <x:c r="U176" s="115"/>
      <x:c r="V176" s="115"/>
      <x:c r="W176" s="115"/>
      <x:c r="X176" s="115"/>
      <x:c r="Y176" s="115"/>
      <x:c r="Z176" s="115"/>
    </x:row>
    <x:row r="177" ht="15" hidden="0" customHeight="1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  <x:c r="S177" s="115"/>
      <x:c r="T177" s="115"/>
      <x:c r="U177" s="115"/>
      <x:c r="V177" s="115"/>
      <x:c r="W177" s="115"/>
      <x:c r="X177" s="115"/>
      <x:c r="Y177" s="115"/>
      <x:c r="Z177" s="115"/>
    </x:row>
    <x:row r="178" ht="15" hidden="0" customHeight="1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  <x:c r="S178" s="115"/>
      <x:c r="T178" s="115"/>
      <x:c r="U178" s="115"/>
      <x:c r="V178" s="115"/>
      <x:c r="W178" s="115"/>
      <x:c r="X178" s="115"/>
      <x:c r="Y178" s="115"/>
      <x:c r="Z178" s="115"/>
    </x:row>
    <x:row r="179" ht="15" hidden="0" customHeight="1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  <x:c r="S179" s="115"/>
      <x:c r="T179" s="115"/>
      <x:c r="U179" s="115"/>
      <x:c r="V179" s="115"/>
      <x:c r="W179" s="115"/>
      <x:c r="X179" s="115"/>
      <x:c r="Y179" s="115"/>
      <x:c r="Z179" s="115"/>
    </x:row>
    <x:row r="180" ht="15" hidden="0" customHeight="1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  <x:c r="S180" s="115"/>
      <x:c r="T180" s="115"/>
      <x:c r="U180" s="115"/>
      <x:c r="V180" s="115"/>
      <x:c r="W180" s="115"/>
      <x:c r="X180" s="115"/>
      <x:c r="Y180" s="115"/>
      <x:c r="Z180" s="115"/>
    </x:row>
    <x:row r="181" ht="15" hidden="0" customHeight="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  <x:c r="S181" s="115"/>
      <x:c r="T181" s="115"/>
      <x:c r="U181" s="115"/>
      <x:c r="V181" s="115"/>
      <x:c r="W181" s="115"/>
      <x:c r="X181" s="115"/>
      <x:c r="Y181" s="115"/>
      <x:c r="Z181" s="115"/>
    </x:row>
    <x:row r="182" ht="15" hidden="0" customHeight="1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  <x:c r="S182" s="115"/>
      <x:c r="T182" s="115"/>
      <x:c r="U182" s="115"/>
      <x:c r="V182" s="115"/>
      <x:c r="W182" s="115"/>
      <x:c r="X182" s="115"/>
      <x:c r="Y182" s="115"/>
      <x:c r="Z182" s="115"/>
    </x:row>
    <x:row r="183" ht="15" hidden="0" customHeight="1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5"/>
      <x:c r="U183" s="115"/>
      <x:c r="V183" s="115"/>
      <x:c r="W183" s="115"/>
      <x:c r="X183" s="115"/>
      <x:c r="Y183" s="115"/>
      <x:c r="Z183" s="115"/>
    </x:row>
    <x:row r="184" ht="15" hidden="0" customHeight="1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  <x:c r="S184" s="115"/>
      <x:c r="T184" s="115"/>
      <x:c r="U184" s="115"/>
      <x:c r="V184" s="115"/>
      <x:c r="W184" s="115"/>
      <x:c r="X184" s="115"/>
      <x:c r="Y184" s="115"/>
      <x:c r="Z184" s="115"/>
    </x:row>
    <x:row r="185" ht="15" hidden="0" customHeight="1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  <x:c r="S185" s="115"/>
      <x:c r="T185" s="115"/>
      <x:c r="U185" s="115"/>
      <x:c r="V185" s="115"/>
      <x:c r="W185" s="115"/>
      <x:c r="X185" s="115"/>
      <x:c r="Y185" s="115"/>
      <x:c r="Z185" s="115"/>
    </x:row>
    <x:row r="186" ht="15" hidden="0" customHeight="1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  <x:c r="S186" s="115"/>
      <x:c r="T186" s="115"/>
      <x:c r="U186" s="115"/>
      <x:c r="V186" s="115"/>
      <x:c r="W186" s="115"/>
      <x:c r="X186" s="115"/>
      <x:c r="Y186" s="115"/>
      <x:c r="Z186" s="115"/>
    </x:row>
    <x:row r="187" ht="15" hidden="0" customHeight="1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  <x:c r="S187" s="115"/>
      <x:c r="T187" s="115"/>
      <x:c r="U187" s="115"/>
      <x:c r="V187" s="115"/>
      <x:c r="W187" s="115"/>
      <x:c r="X187" s="115"/>
      <x:c r="Y187" s="115"/>
      <x:c r="Z187" s="115"/>
    </x:row>
    <x:row r="188" ht="15" hidden="0" customHeight="1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  <x:c r="S188" s="115"/>
      <x:c r="T188" s="115"/>
      <x:c r="U188" s="115"/>
      <x:c r="V188" s="115"/>
      <x:c r="W188" s="115"/>
      <x:c r="X188" s="115"/>
      <x:c r="Y188" s="115"/>
      <x:c r="Z188" s="115"/>
    </x:row>
    <x:row r="189" ht="15" hidden="0" customHeight="1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  <x:c r="S189" s="115"/>
      <x:c r="T189" s="115"/>
      <x:c r="U189" s="115"/>
      <x:c r="V189" s="115"/>
      <x:c r="W189" s="115"/>
      <x:c r="X189" s="115"/>
      <x:c r="Y189" s="115"/>
      <x:c r="Z189" s="115"/>
    </x:row>
    <x:row r="190" ht="15" hidden="0" customHeight="1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  <x:c r="S190" s="115"/>
      <x:c r="T190" s="115"/>
      <x:c r="U190" s="115"/>
      <x:c r="V190" s="115"/>
      <x:c r="W190" s="115"/>
      <x:c r="X190" s="115"/>
      <x:c r="Y190" s="115"/>
      <x:c r="Z190" s="115"/>
    </x:row>
    <x:row r="191" ht="15" hidden="0" customHeight="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  <x:c r="S191" s="115"/>
      <x:c r="T191" s="115"/>
      <x:c r="U191" s="115"/>
      <x:c r="V191" s="115"/>
      <x:c r="W191" s="115"/>
      <x:c r="X191" s="115"/>
      <x:c r="Y191" s="115"/>
      <x:c r="Z191" s="115"/>
    </x:row>
    <x:row r="192" ht="15" hidden="0" customHeight="1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  <x:c r="S192" s="115"/>
      <x:c r="T192" s="115"/>
      <x:c r="U192" s="115"/>
      <x:c r="V192" s="115"/>
      <x:c r="W192" s="115"/>
      <x:c r="X192" s="115"/>
      <x:c r="Y192" s="115"/>
      <x:c r="Z192" s="115"/>
    </x:row>
    <x:row r="193" ht="15" hidden="0" customHeight="1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  <x:c r="S193" s="115"/>
      <x:c r="T193" s="115"/>
      <x:c r="U193" s="115"/>
      <x:c r="V193" s="115"/>
      <x:c r="W193" s="115"/>
      <x:c r="X193" s="115"/>
      <x:c r="Y193" s="115"/>
      <x:c r="Z193" s="115"/>
    </x:row>
    <x:row r="194" ht="15" hidden="0" customHeight="1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  <x:c r="S194" s="115"/>
      <x:c r="T194" s="115"/>
      <x:c r="U194" s="115"/>
      <x:c r="V194" s="115"/>
      <x:c r="W194" s="115"/>
      <x:c r="X194" s="115"/>
      <x:c r="Y194" s="115"/>
      <x:c r="Z194" s="115"/>
    </x:row>
    <x:row r="195" ht="15" hidden="0" customHeight="1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  <x:c r="S195" s="115"/>
      <x:c r="T195" s="115"/>
      <x:c r="U195" s="115"/>
      <x:c r="V195" s="115"/>
      <x:c r="W195" s="115"/>
      <x:c r="X195" s="115"/>
      <x:c r="Y195" s="115"/>
      <x:c r="Z195" s="115"/>
    </x:row>
    <x:row r="196" ht="15" hidden="0" customHeight="1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  <x:c r="S196" s="115"/>
      <x:c r="T196" s="115"/>
      <x:c r="U196" s="115"/>
      <x:c r="V196" s="115"/>
      <x:c r="W196" s="115"/>
      <x:c r="X196" s="115"/>
      <x:c r="Y196" s="115"/>
      <x:c r="Z196" s="115"/>
    </x:row>
    <x:row r="197" ht="15" hidden="0" customHeight="1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  <x:c r="S197" s="115"/>
      <x:c r="T197" s="115"/>
      <x:c r="U197" s="115"/>
      <x:c r="V197" s="115"/>
      <x:c r="W197" s="115"/>
      <x:c r="X197" s="115"/>
      <x:c r="Y197" s="115"/>
      <x:c r="Z197" s="115"/>
    </x:row>
    <x:row r="198" ht="15" hidden="0" customHeight="1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  <x:c r="S198" s="115"/>
      <x:c r="T198" s="115"/>
      <x:c r="U198" s="115"/>
      <x:c r="V198" s="115"/>
      <x:c r="W198" s="115"/>
      <x:c r="X198" s="115"/>
      <x:c r="Y198" s="115"/>
      <x:c r="Z198" s="115"/>
    </x:row>
    <x:row r="199" ht="15" hidden="0" customHeight="1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  <x:c r="S199" s="115"/>
      <x:c r="T199" s="115"/>
      <x:c r="U199" s="115"/>
      <x:c r="V199" s="115"/>
      <x:c r="W199" s="115"/>
      <x:c r="X199" s="115"/>
      <x:c r="Y199" s="115"/>
      <x:c r="Z199" s="115"/>
    </x:row>
    <x:row r="200" ht="15" hidden="0" customHeight="1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  <x:c r="S200" s="115"/>
      <x:c r="T200" s="115"/>
      <x:c r="U200" s="115"/>
      <x:c r="V200" s="115"/>
      <x:c r="W200" s="115"/>
      <x:c r="X200" s="115"/>
      <x:c r="Y200" s="115"/>
      <x:c r="Z200" s="115"/>
    </x:row>
  </x:sheetData>
  <x:mergeCells>
    <x:mergeCell ref="A1:H1"/>
    <x:mergeCell ref="A3:H3"/>
    <x:mergeCell ref="A20:H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8" hidden="0" customWidth="1"/>
  </x:cols>
  <x:sheetData>
    <x:row r="1" ht="21.600000381469727" hidden="0" customHeight="1">
      <x:c r="A1" s="188" t="str">
        <x:v>Target + Platform Financial Baseline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  <x:c r="S1" s="115"/>
      <x:c r="T1" s="115"/>
      <x:c r="U1" s="115"/>
      <x:c r="V1" s="115"/>
      <x:c r="W1" s="115"/>
      <x:c r="X1" s="115"/>
      <x:c r="Y1" s="115"/>
      <x:c r="Z1" s="115"/>
    </x:row>
    <x:row r="2" ht="15" hidden="0" customHeight="1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  <x:c r="Q2" s="115"/>
      <x:c r="R2" s="115"/>
      <x:c r="S2" s="115"/>
      <x:c r="T2" s="115"/>
      <x:c r="U2" s="115"/>
      <x:c r="V2" s="115"/>
      <x:c r="W2" s="115"/>
      <x:c r="X2" s="115"/>
      <x:c r="Y2" s="115"/>
      <x:c r="Z2" s="115"/>
    </x:row>
    <x:row r="3" ht="15" hidden="0" customHeight="1">
      <x:c r="A3" s="121" t="str">
        <x:v>Financial Baseline and Entry Value</x:v>
      </x:c>
      <x:c r="B3" s="115"/>
      <x:c r="C3" s="115"/>
      <x:c r="D3" s="115"/>
      <x:c r="E3" s="115"/>
      <x:c r="F3" s="115"/>
      <x:c r="G3" s="115"/>
      <x:c r="H3" s="115"/>
      <x:c r="I3" s="115"/>
      <x:c r="J3" s="115"/>
      <x:c r="K3" s="115"/>
      <x:c r="L3" s="115"/>
      <x:c r="M3" s="115"/>
      <x:c r="N3" s="115"/>
      <x:c r="O3" s="115"/>
      <x:c r="P3" s="115"/>
      <x:c r="Q3" s="115"/>
      <x:c r="R3" s="115"/>
      <x:c r="S3" s="115"/>
      <x:c r="T3" s="115"/>
      <x:c r="U3" s="115"/>
      <x:c r="V3" s="115"/>
      <x:c r="W3" s="115"/>
      <x:c r="X3" s="115"/>
      <x:c r="Y3" s="115"/>
      <x:c r="Z3" s="115"/>
    </x:row>
    <x:row r="4" ht="15" hidden="0" customHeight="1">
      <x:c r="A4" s="122" t="str">
        <x:v>Metric</x:v>
      </x:c>
      <x:c r="B4" s="122" t="str">
        <x:v>Platform</x:v>
      </x:c>
      <x:c r="C4" s="122" t="str">
        <x:v>Target</x:v>
      </x:c>
      <x:c r="D4" s="122" t="str">
        <x:v>Combined Pre-Synergy</x:v>
      </x:c>
      <x:c r="E4" s="122" t="str">
        <x:v>Formula / Notes</x:v>
      </x:c>
      <x:c r="F4" s="115"/>
      <x:c r="G4" s="115"/>
      <x:c r="H4" s="115"/>
      <x:c r="I4" s="115"/>
      <x:c r="J4" s="115"/>
      <x:c r="K4" s="115"/>
      <x:c r="L4" s="115"/>
      <x:c r="M4" s="115"/>
      <x:c r="N4" s="115"/>
      <x:c r="O4" s="115"/>
      <x:c r="P4" s="115"/>
      <x:c r="Q4" s="115"/>
      <x:c r="R4" s="115"/>
      <x:c r="S4" s="115"/>
      <x:c r="T4" s="115"/>
      <x:c r="U4" s="115"/>
      <x:c r="V4" s="115"/>
      <x:c r="W4" s="115"/>
      <x:c r="X4" s="115"/>
      <x:c r="Y4" s="115"/>
      <x:c r="Z4" s="115"/>
    </x:row>
    <x:row r="5" ht="15" hidden="0" customHeight="1">
      <x:c r="A5" s="115" t="str">
        <x:v>Revenue ($)</x:v>
      </x:c>
      <x:c r="B5" s="123" t="n">
        <x:f>Inputs!B5</x:f>
        <x:v>250000000</x:v>
      </x:c>
      <x:c r="C5" s="123" t="n">
        <x:f>Inputs!B7</x:f>
        <x:v>50000000</x:v>
      </x:c>
      <x:c r="D5" s="123" t="n">
        <x:f>B5+C5</x:f>
        <x:v>300000000</x:v>
      </x:c>
      <x:c r="E5" s="115" t="str">
        <x:v>Platform + target</x:v>
      </x:c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  <x:c r="S5" s="115"/>
      <x:c r="T5" s="115"/>
      <x:c r="U5" s="115"/>
      <x:c r="V5" s="115"/>
      <x:c r="W5" s="115"/>
      <x:c r="X5" s="115"/>
      <x:c r="Y5" s="115"/>
      <x:c r="Z5" s="115"/>
    </x:row>
    <x:row r="6" ht="15" hidden="0" customHeight="1">
      <x:c r="A6" s="115" t="str">
        <x:v>EBITDA ($)</x:v>
      </x:c>
      <x:c r="B6" s="123" t="n">
        <x:f>Inputs!B6</x:f>
        <x:v>37500000</x:v>
      </x:c>
      <x:c r="C6" s="123" t="n">
        <x:f>Inputs!B8</x:f>
        <x:v>6500000</x:v>
      </x:c>
      <x:c r="D6" s="123" t="n">
        <x:f>B6+C6</x:f>
        <x:v>44000000</x:v>
      </x:c>
      <x:c r="E6" s="115" t="str">
        <x:v>Standalone EBITDA</x:v>
      </x:c>
      <x:c r="F6" s="115"/>
      <x:c r="G6" s="115"/>
      <x:c r="H6" s="115"/>
      <x:c r="I6" s="115"/>
      <x:c r="J6" s="115"/>
      <x:c r="K6" s="115"/>
      <x:c r="L6" s="115"/>
      <x:c r="M6" s="115"/>
      <x:c r="N6" s="115"/>
      <x:c r="O6" s="115"/>
      <x:c r="P6" s="115"/>
      <x:c r="Q6" s="115"/>
      <x:c r="R6" s="115"/>
      <x:c r="S6" s="115"/>
      <x:c r="T6" s="115"/>
      <x:c r="U6" s="115"/>
      <x:c r="V6" s="115"/>
      <x:c r="W6" s="115"/>
      <x:c r="X6" s="115"/>
      <x:c r="Y6" s="115"/>
      <x:c r="Z6" s="115"/>
    </x:row>
    <x:row r="7" ht="15" hidden="0" customHeight="1">
      <x:c r="A7" s="115" t="str">
        <x:v>EBITDA Margin</x:v>
      </x:c>
      <x:c r="B7" s="124" t="n">
        <x:f>B6/B5</x:f>
        <x:v>0.15</x:v>
      </x:c>
      <x:c r="C7" s="124" t="n">
        <x:f>C6/C5</x:f>
        <x:v>0.13</x:v>
      </x:c>
      <x:c r="D7" s="124" t="n">
        <x:f>D6/D5</x:f>
        <x:v>0.14666666666666667</x:v>
      </x:c>
      <x:c r="E7" s="115" t="str">
        <x:v>EBITDA / Revenue</x:v>
      </x:c>
      <x:c r="F7" s="115"/>
      <x:c r="G7" s="115"/>
      <x:c r="H7" s="115"/>
      <x:c r="I7" s="115"/>
      <x:c r="J7" s="115"/>
      <x:c r="K7" s="115"/>
      <x:c r="L7" s="115"/>
      <x:c r="M7" s="115"/>
      <x:c r="N7" s="115"/>
      <x:c r="O7" s="115"/>
      <x:c r="P7" s="115"/>
      <x:c r="Q7" s="115"/>
      <x:c r="R7" s="115"/>
      <x:c r="S7" s="115"/>
      <x:c r="T7" s="115"/>
      <x:c r="U7" s="115"/>
      <x:c r="V7" s="115"/>
      <x:c r="W7" s="115"/>
      <x:c r="X7" s="115"/>
      <x:c r="Y7" s="115"/>
      <x:c r="Z7" s="115"/>
    </x:row>
    <x:row r="8" ht="15" hidden="0" customHeight="1">
      <x:c r="A8" s="115" t="str">
        <x:v>Purchase Enterprise Value ($)</x:v>
      </x:c>
      <x:c r="B8" s="115" t="str"/>
      <x:c r="C8" s="123" t="n">
        <x:f>Inputs!B8*Inputs!B10</x:f>
        <x:v>45500000</x:v>
      </x:c>
      <x:c r="D8" s="123" t="str"/>
      <x:c r="E8" s="115" t="str">
        <x:v>Target EBITDA x purchase multiple</x:v>
      </x:c>
      <x:c r="F8" s="115"/>
      <x:c r="G8" s="115"/>
      <x:c r="H8" s="115"/>
      <x:c r="I8" s="115"/>
      <x:c r="J8" s="115"/>
      <x:c r="K8" s="115"/>
      <x:c r="L8" s="115"/>
      <x:c r="M8" s="115"/>
      <x:c r="N8" s="115"/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</x:row>
    <x:row r="9" ht="15" hidden="0" customHeight="1">
      <x:c r="A9" s="115" t="str">
        <x:v>Implied Revenue Multiple</x:v>
      </x:c>
      <x:c r="B9" s="115" t="str"/>
      <x:c r="C9" s="154" t="n">
        <x:f>C8/C5</x:f>
        <x:v>0.91</x:v>
      </x:c>
      <x:c r="D9" s="123" t="str"/>
      <x:c r="E9" s="115" t="str">
        <x:v>Purchase EV / target revenue</x:v>
      </x:c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5"/>
      <x:c r="S9" s="115"/>
      <x:c r="T9" s="115"/>
      <x:c r="U9" s="115"/>
      <x:c r="V9" s="115"/>
      <x:c r="W9" s="115"/>
      <x:c r="X9" s="115"/>
      <x:c r="Y9" s="115"/>
      <x:c r="Z9" s="115"/>
    </x:row>
    <x:row r="10" ht="15" hidden="0" customHeight="1">
      <x:c r="A10" s="115" t="str">
        <x:v>Platform EV at Exit Multiple</x:v>
      </x:c>
      <x:c r="B10" s="123" t="n">
        <x:f>Inputs!B6*Inputs!B9</x:f>
        <x:v>431250000</x:v>
      </x:c>
      <x:c r="C10" s="123" t="str"/>
      <x:c r="D10" s="123" t="n">
        <x:f>D6*Inputs!B9</x:f>
        <x:v>506000000</x:v>
      </x:c>
      <x:c r="E10" s="115" t="str">
        <x:v>EBITDA x platform multiple</x:v>
      </x:c>
      <x:c r="F10" s="115"/>
      <x:c r="G10" s="115"/>
      <x:c r="H10" s="115"/>
      <x:c r="I10" s="115"/>
      <x:c r="J10" s="115"/>
      <x:c r="K10" s="115"/>
      <x:c r="L10" s="115"/>
      <x:c r="M10" s="115"/>
      <x:c r="N10" s="115"/>
      <x:c r="O10" s="115"/>
      <x:c r="P10" s="115"/>
      <x:c r="Q10" s="115"/>
      <x:c r="R10" s="115"/>
      <x:c r="S10" s="115"/>
      <x:c r="T10" s="115"/>
      <x:c r="U10" s="115"/>
      <x:c r="V10" s="115"/>
      <x:c r="W10" s="115"/>
      <x:c r="X10" s="115"/>
      <x:c r="Y10" s="115"/>
      <x:c r="Z10" s="115"/>
    </x:row>
    <x:row r="11" ht="15" hidden="0" customHeight="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5"/>
      <x:c r="R11" s="115"/>
      <x:c r="S11" s="115"/>
      <x:c r="T11" s="115"/>
      <x:c r="U11" s="115"/>
      <x:c r="V11" s="115"/>
      <x:c r="W11" s="115"/>
      <x:c r="X11" s="115"/>
      <x:c r="Y11" s="115"/>
      <x:c r="Z11" s="115"/>
    </x:row>
    <x:row r="12" ht="15" hidden="0" customHeight="1">
      <x:c r="A12" s="121" t="str">
        <x:v>Standalone Target P&amp;L by Function / Cost Base</x:v>
      </x:c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5"/>
      <x:c r="P12" s="115"/>
      <x:c r="Q12" s="115"/>
      <x:c r="R12" s="115"/>
      <x:c r="S12" s="115"/>
      <x:c r="T12" s="115"/>
      <x:c r="U12" s="115"/>
      <x:c r="V12" s="115"/>
      <x:c r="W12" s="115"/>
      <x:c r="X12" s="115"/>
      <x:c r="Y12" s="115"/>
      <x:c r="Z12" s="115"/>
    </x:row>
    <x:row r="13" ht="15" hidden="0" customHeight="1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  <x:c r="L13" s="115"/>
      <x:c r="M13" s="115"/>
      <x:c r="N13" s="115"/>
      <x:c r="O13" s="115"/>
      <x:c r="P13" s="115"/>
      <x:c r="Q13" s="115"/>
      <x:c r="R13" s="115"/>
      <x:c r="S13" s="115"/>
      <x:c r="T13" s="115"/>
      <x:c r="U13" s="115"/>
      <x:c r="V13" s="115"/>
      <x:c r="W13" s="115"/>
      <x:c r="X13" s="115"/>
      <x:c r="Y13" s="115"/>
      <x:c r="Z13" s="115"/>
    </x:row>
    <x:row r="14" ht="15" hidden="0" customHeight="1">
      <x:c r="A14" s="122" t="str">
        <x:v>Function / Cost Base</x:v>
      </x:c>
      <x:c r="B14" s="122" t="str">
        <x:v>Annual Cost / Revenue ($)</x:v>
      </x:c>
      <x:c r="C14" s="122" t="str">
        <x:v>% of Target Revenue</x:v>
      </x:c>
      <x:c r="D14" s="122" t="str">
        <x:v>Integration Relevance</x:v>
      </x:c>
      <x:c r="E14" s="122" t="str">
        <x:v>Primary Synergy Lever</x:v>
      </x:c>
      <x:c r="F14" s="122" t="str">
        <x:v>Notes</x:v>
      </x:c>
      <x:c r="G14" s="115"/>
      <x:c r="H14" s="115"/>
      <x:c r="I14" s="115"/>
      <x:c r="J14" s="115"/>
      <x:c r="K14" s="115"/>
      <x:c r="L14" s="115"/>
      <x:c r="M14" s="115"/>
      <x:c r="N14" s="115"/>
      <x:c r="O14" s="115"/>
      <x:c r="P14" s="115"/>
      <x:c r="Q14" s="115"/>
      <x:c r="R14" s="115"/>
      <x:c r="S14" s="115"/>
      <x:c r="T14" s="115"/>
      <x:c r="U14" s="115"/>
      <x:c r="V14" s="115"/>
      <x:c r="W14" s="115"/>
      <x:c r="X14" s="115"/>
      <x:c r="Y14" s="115"/>
      <x:c r="Z14" s="115"/>
    </x:row>
    <x:row r="15" ht="15" hidden="0" customHeight="1">
      <x:c r="A15" s="115" t="str">
        <x:v>Direct Materials / COGS</x:v>
      </x:c>
      <x:c r="B15" s="123" t="n">
        <x:v>21000000</x:v>
      </x:c>
      <x:c r="C15" s="124" t="n">
        <x:f>B15/Inputs!B7</x:f>
        <x:v>0.42</x:v>
      </x:c>
      <x:c r="D15" s="115" t="str">
        <x:v>High</x:v>
      </x:c>
      <x:c r="E15" s="115" t="str">
        <x:v>Procurement / supply chain</x:v>
      </x:c>
      <x:c r="F15" s="115" t="str">
        <x:v>Vendor terms, commodity rates, volume leverage</x:v>
      </x:c>
      <x:c r="G15" s="115"/>
      <x:c r="H15" s="115"/>
      <x:c r="I15" s="115"/>
      <x:c r="J15" s="115"/>
      <x:c r="K15" s="115"/>
      <x:c r="L15" s="115"/>
      <x:c r="M15" s="115"/>
      <x:c r="N15" s="115"/>
      <x:c r="O15" s="115"/>
      <x:c r="P15" s="115"/>
      <x:c r="Q15" s="115"/>
      <x:c r="R15" s="115"/>
      <x:c r="S15" s="115"/>
      <x:c r="T15" s="115"/>
      <x:c r="U15" s="115"/>
      <x:c r="V15" s="115"/>
      <x:c r="W15" s="115"/>
      <x:c r="X15" s="115"/>
      <x:c r="Y15" s="115"/>
      <x:c r="Z15" s="115"/>
    </x:row>
    <x:row r="16" ht="15" hidden="0" customHeight="1">
      <x:c r="A16" s="115" t="str">
        <x:v>Freight &amp; Logistics</x:v>
      </x:c>
      <x:c r="B16" s="123" t="n">
        <x:v>3800000</x:v>
      </x:c>
      <x:c r="C16" s="124" t="n">
        <x:f>B16/Inputs!B7</x:f>
        <x:v>0.076</x:v>
      </x:c>
      <x:c r="D16" s="115" t="str">
        <x:v>High</x:v>
      </x:c>
      <x:c r="E16" s="115" t="str">
        <x:v>Supply Chain / Logistics</x:v>
      </x:c>
      <x:c r="F16" s="115" t="str">
        <x:v>Carrier consolidation and lane optimization</x:v>
      </x:c>
      <x:c r="G16" s="115"/>
      <x:c r="H16" s="115"/>
      <x:c r="I16" s="115"/>
      <x:c r="J16" s="115"/>
      <x:c r="K16" s="115"/>
      <x:c r="L16" s="115"/>
      <x:c r="M16" s="115"/>
      <x:c r="N16" s="115"/>
      <x:c r="O16" s="115"/>
      <x:c r="P16" s="115"/>
      <x:c r="Q16" s="115"/>
      <x:c r="R16" s="115"/>
      <x:c r="S16" s="115"/>
      <x:c r="T16" s="115"/>
      <x:c r="U16" s="115"/>
      <x:c r="V16" s="115"/>
      <x:c r="W16" s="115"/>
      <x:c r="X16" s="115"/>
      <x:c r="Y16" s="115"/>
      <x:c r="Z16" s="115"/>
    </x:row>
    <x:row r="17" ht="15" hidden="0" customHeight="1">
      <x:c r="A17" s="115" t="str">
        <x:v>Sales &amp; Marketing</x:v>
      </x:c>
      <x:c r="B17" s="123" t="n">
        <x:v>6500000</x:v>
      </x:c>
      <x:c r="C17" s="124" t="n">
        <x:f>B17/Inputs!B7</x:f>
        <x:v>0.13</x:v>
      </x:c>
      <x:c r="D17" s="115" t="str">
        <x:v>Medium</x:v>
      </x:c>
      <x:c r="E17" s="115" t="str">
        <x:v>G&amp;A / Revenue</x:v>
      </x:c>
      <x:c r="F17" s="115" t="str">
        <x:v>Channel overlap, cross-sell, marketing stack</x:v>
      </x:c>
      <x:c r="G17" s="115"/>
      <x:c r="H17" s="115"/>
      <x:c r="I17" s="115"/>
      <x:c r="J17" s="115"/>
      <x:c r="K17" s="115"/>
      <x:c r="L17" s="115"/>
      <x:c r="M17" s="115"/>
      <x:c r="N17" s="115"/>
      <x:c r="O17" s="115"/>
      <x:c r="P17" s="115"/>
      <x:c r="Q17" s="115"/>
      <x:c r="R17" s="115"/>
      <x:c r="S17" s="115"/>
      <x:c r="T17" s="115"/>
      <x:c r="U17" s="115"/>
      <x:c r="V17" s="115"/>
      <x:c r="W17" s="115"/>
      <x:c r="X17" s="115"/>
      <x:c r="Y17" s="115"/>
      <x:c r="Z17" s="115"/>
    </x:row>
    <x:row r="18" ht="15" hidden="0" customHeight="1">
      <x:c r="A18" s="115" t="str">
        <x:v>G&amp;A Payroll</x:v>
      </x:c>
      <x:c r="B18" s="123" t="n">
        <x:v>7200000</x:v>
      </x:c>
      <x:c r="C18" s="124" t="n">
        <x:f>B18/Inputs!B7</x:f>
        <x:v>0.144</x:v>
      </x:c>
      <x:c r="D18" s="115" t="str">
        <x:v>High</x:v>
      </x:c>
      <x:c r="E18" s="115" t="str">
        <x:v>G&amp;A / SG&amp;A</x:v>
      </x:c>
      <x:c r="F18" s="115" t="str">
        <x:v>Duplicative finance, HR, admin roles</x:v>
      </x:c>
      <x:c r="G18" s="115"/>
      <x:c r="H18" s="115"/>
      <x:c r="I18" s="115"/>
      <x:c r="J18" s="115"/>
      <x:c r="K18" s="115"/>
      <x:c r="L18" s="115"/>
      <x:c r="M18" s="115"/>
      <x:c r="N18" s="115"/>
      <x:c r="O18" s="115"/>
      <x:c r="P18" s="115"/>
      <x:c r="Q18" s="115"/>
      <x:c r="R18" s="115"/>
      <x:c r="S18" s="115"/>
      <x:c r="T18" s="115"/>
      <x:c r="U18" s="115"/>
      <x:c r="V18" s="115"/>
      <x:c r="W18" s="115"/>
      <x:c r="X18" s="115"/>
      <x:c r="Y18" s="115"/>
      <x:c r="Z18" s="115"/>
    </x:row>
    <x:row r="19" ht="15" hidden="0" customHeight="1">
      <x:c r="A19" s="115" t="str">
        <x:v>IT Software &amp; Infrastructure</x:v>
      </x:c>
      <x:c r="B19" s="123" t="n">
        <x:v>2400000</x:v>
      </x:c>
      <x:c r="C19" s="124" t="n">
        <x:f>B19/Inputs!B7</x:f>
        <x:v>0.048</x:v>
      </x:c>
      <x:c r="D19" s="115" t="str">
        <x:v>High</x:v>
      </x:c>
      <x:c r="E19" s="115" t="str">
        <x:v>Systems / IT</x:v>
      </x:c>
      <x:c r="F19" s="115" t="str">
        <x:v>Duplicate systems, licenses, hosting, support</x:v>
      </x:c>
      <x:c r="G19" s="115"/>
      <x:c r="H19" s="115"/>
      <x:c r="I19" s="115"/>
      <x:c r="J19" s="115"/>
      <x:c r="K19" s="115"/>
      <x:c r="L19" s="115"/>
      <x:c r="M19" s="115"/>
      <x:c r="N19" s="115"/>
      <x:c r="O19" s="115"/>
      <x:c r="P19" s="115"/>
      <x:c r="Q19" s="115"/>
      <x:c r="R19" s="115"/>
      <x:c r="S19" s="115"/>
      <x:c r="T19" s="115"/>
      <x:c r="U19" s="115"/>
      <x:c r="V19" s="115"/>
      <x:c r="W19" s="115"/>
      <x:c r="X19" s="115"/>
      <x:c r="Y19" s="115"/>
      <x:c r="Z19" s="115"/>
    </x:row>
    <x:row r="20" ht="15" hidden="0" customHeight="1">
      <x:c r="A20" s="115" t="str">
        <x:v>Facilities &amp; Occupancy</x:v>
      </x:c>
      <x:c r="B20" s="123" t="n">
        <x:v>3100000</x:v>
      </x:c>
      <x:c r="C20" s="124" t="n">
        <x:f>B20/Inputs!B7</x:f>
        <x:v>0.062</x:v>
      </x:c>
      <x:c r="D20" s="115" t="str">
        <x:v>Medium</x:v>
      </x:c>
      <x:c r="E20" s="115" t="str">
        <x:v>Facilities / Footprint</x:v>
      </x:c>
      <x:c r="F20" s="115" t="str">
        <x:v>Lease overlap and site consolidation</x:v>
      </x:c>
      <x:c r="G20" s="115"/>
      <x:c r="H20" s="115"/>
      <x:c r="I20" s="115"/>
      <x:c r="J20" s="115"/>
      <x:c r="K20" s="115"/>
      <x:c r="L20" s="115"/>
      <x:c r="M20" s="115"/>
      <x:c r="N20" s="115"/>
      <x:c r="O20" s="115"/>
      <x:c r="P20" s="115"/>
      <x:c r="Q20" s="115"/>
      <x:c r="R20" s="115"/>
      <x:c r="S20" s="115"/>
      <x:c r="T20" s="115"/>
      <x:c r="U20" s="115"/>
      <x:c r="V20" s="115"/>
      <x:c r="W20" s="115"/>
      <x:c r="X20" s="115"/>
      <x:c r="Y20" s="115"/>
      <x:c r="Z20" s="115"/>
    </x:row>
    <x:row r="21" ht="15" hidden="0" customHeight="1">
      <x:c r="A21" s="115" t="str">
        <x:v>Finance / Back Office Services</x:v>
      </x:c>
      <x:c r="B21" s="123" t="n">
        <x:v>1800000</x:v>
      </x:c>
      <x:c r="C21" s="124" t="n">
        <x:f>B21/Inputs!B7</x:f>
        <x:v>0.036</x:v>
      </x:c>
      <x:c r="D21" s="115" t="str">
        <x:v>High</x:v>
      </x:c>
      <x:c r="E21" s="115" t="str">
        <x:v>Finance / Back Office</x:v>
      </x:c>
      <x:c r="F21" s="115" t="str">
        <x:v>External accounting, payroll, AP processing</x:v>
      </x:c>
      <x:c r="G21" s="115"/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  <x:c r="S21" s="115"/>
      <x:c r="T21" s="115"/>
      <x:c r="U21" s="115"/>
      <x:c r="V21" s="115"/>
      <x:c r="W21" s="115"/>
      <x:c r="X21" s="115"/>
      <x:c r="Y21" s="115"/>
      <x:c r="Z21" s="115"/>
    </x:row>
    <x:row r="22" ht="15" hidden="0" customHeight="1">
      <x:c r="A22" s="115" t="str">
        <x:v>Other OpEx</x:v>
      </x:c>
      <x:c r="B22" s="123" t="n">
        <x:v>3700000</x:v>
      </x:c>
      <x:c r="C22" s="124" t="n">
        <x:f>B22/Inputs!B7</x:f>
        <x:v>0.074</x:v>
      </x:c>
      <x:c r="D22" s="115" t="str">
        <x:v>Medium</x:v>
      </x:c>
      <x:c r="E22" s="115" t="str">
        <x:v>G&amp;A / SG&amp;A</x:v>
      </x:c>
      <x:c r="F22" s="115" t="str">
        <x:v>Professional services and discretionary spend</x:v>
      </x:c>
      <x:c r="G22" s="115"/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  <x:c r="S22" s="115"/>
      <x:c r="T22" s="115"/>
      <x:c r="U22" s="115"/>
      <x:c r="V22" s="115"/>
      <x:c r="W22" s="115"/>
      <x:c r="X22" s="115"/>
      <x:c r="Y22" s="115"/>
      <x:c r="Z22" s="115"/>
    </x:row>
    <x:row r="23" ht="15" hidden="0" customHeight="1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  <x:c r="S23" s="115"/>
      <x:c r="T23" s="115"/>
      <x:c r="U23" s="115"/>
      <x:c r="V23" s="115"/>
      <x:c r="W23" s="115"/>
      <x:c r="X23" s="115"/>
      <x:c r="Y23" s="115"/>
      <x:c r="Z23" s="115"/>
    </x:row>
    <x:row r="24" ht="15" hidden="0" customHeight="1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  <x:c r="S24" s="115"/>
      <x:c r="T24" s="115"/>
      <x:c r="U24" s="115"/>
      <x:c r="V24" s="115"/>
      <x:c r="W24" s="115"/>
      <x:c r="X24" s="115"/>
      <x:c r="Y24" s="115"/>
      <x:c r="Z24" s="115"/>
    </x:row>
    <x:row r="25" ht="15" hidden="0" customHeight="1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  <x:c r="S25" s="115"/>
      <x:c r="T25" s="115"/>
      <x:c r="U25" s="115"/>
      <x:c r="V25" s="115"/>
      <x:c r="W25" s="115"/>
      <x:c r="X25" s="115"/>
      <x:c r="Y25" s="115"/>
      <x:c r="Z25" s="115"/>
    </x:row>
    <x:row r="26" ht="15" hidden="0" customHeight="1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  <x:c r="S26" s="115"/>
      <x:c r="T26" s="115"/>
      <x:c r="U26" s="115"/>
      <x:c r="V26" s="115"/>
      <x:c r="W26" s="115"/>
      <x:c r="X26" s="115"/>
      <x:c r="Y26" s="115"/>
      <x:c r="Z26" s="115"/>
    </x:row>
    <x:row r="27" ht="15" hidden="0" customHeight="1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  <x:c r="S27" s="115"/>
      <x:c r="T27" s="115"/>
      <x:c r="U27" s="115"/>
      <x:c r="V27" s="115"/>
      <x:c r="W27" s="115"/>
      <x:c r="X27" s="115"/>
      <x:c r="Y27" s="115"/>
      <x:c r="Z27" s="115"/>
    </x:row>
    <x:row r="28" ht="15" hidden="0" customHeight="1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  <x:c r="S28" s="115"/>
      <x:c r="T28" s="115"/>
      <x:c r="U28" s="115"/>
      <x:c r="V28" s="115"/>
      <x:c r="W28" s="115"/>
      <x:c r="X28" s="115"/>
      <x:c r="Y28" s="115"/>
      <x:c r="Z28" s="115"/>
    </x:row>
    <x:row r="29" ht="15" hidden="0" customHeight="1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  <x:c r="S29" s="115"/>
      <x:c r="T29" s="115"/>
      <x:c r="U29" s="115"/>
      <x:c r="V29" s="115"/>
      <x:c r="W29" s="115"/>
      <x:c r="X29" s="115"/>
      <x:c r="Y29" s="115"/>
      <x:c r="Z29" s="115"/>
    </x:row>
    <x:row r="30" ht="15" hidden="0" customHeight="1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  <x:c r="S30" s="115"/>
      <x:c r="T30" s="115"/>
      <x:c r="U30" s="115"/>
      <x:c r="V30" s="115"/>
      <x:c r="W30" s="115"/>
      <x:c r="X30" s="115"/>
      <x:c r="Y30" s="115"/>
      <x:c r="Z30" s="115"/>
    </x:row>
    <x:row r="31" ht="15" hidden="0" customHeight="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  <x:c r="S31" s="115"/>
      <x:c r="T31" s="115"/>
      <x:c r="U31" s="115"/>
      <x:c r="V31" s="115"/>
      <x:c r="W31" s="115"/>
      <x:c r="X31" s="115"/>
      <x:c r="Y31" s="115"/>
      <x:c r="Z31" s="115"/>
    </x:row>
    <x:row r="32" ht="15" hidden="0" customHeight="1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  <x:c r="S32" s="115"/>
      <x:c r="T32" s="115"/>
      <x:c r="U32" s="115"/>
      <x:c r="V32" s="115"/>
      <x:c r="W32" s="115"/>
      <x:c r="X32" s="115"/>
      <x:c r="Y32" s="115"/>
      <x:c r="Z32" s="115"/>
    </x:row>
    <x:row r="33" ht="15" hidden="0" customHeight="1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  <x:c r="S33" s="115"/>
      <x:c r="T33" s="115"/>
      <x:c r="U33" s="115"/>
      <x:c r="V33" s="115"/>
      <x:c r="W33" s="115"/>
      <x:c r="X33" s="115"/>
      <x:c r="Y33" s="115"/>
      <x:c r="Z33" s="115"/>
    </x:row>
    <x:row r="34" ht="15" hidden="0" customHeight="1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  <x:c r="S34" s="115"/>
      <x:c r="T34" s="115"/>
      <x:c r="U34" s="115"/>
      <x:c r="V34" s="115"/>
      <x:c r="W34" s="115"/>
      <x:c r="X34" s="115"/>
      <x:c r="Y34" s="115"/>
      <x:c r="Z34" s="115"/>
    </x:row>
    <x:row r="35" ht="15" hidden="0" customHeight="1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  <x:c r="S35" s="115"/>
      <x:c r="T35" s="115"/>
      <x:c r="U35" s="115"/>
      <x:c r="V35" s="115"/>
      <x:c r="W35" s="115"/>
      <x:c r="X35" s="115"/>
      <x:c r="Y35" s="115"/>
      <x:c r="Z35" s="115"/>
    </x:row>
    <x:row r="36" ht="15" hidden="0" customHeight="1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  <x:c r="S36" s="115"/>
      <x:c r="T36" s="115"/>
      <x:c r="U36" s="115"/>
      <x:c r="V36" s="115"/>
      <x:c r="W36" s="115"/>
      <x:c r="X36" s="115"/>
      <x:c r="Y36" s="115"/>
      <x:c r="Z36" s="115"/>
    </x:row>
    <x:row r="37" ht="15" hidden="0" customHeight="1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  <x:c r="S37" s="115"/>
      <x:c r="T37" s="115"/>
      <x:c r="U37" s="115"/>
      <x:c r="V37" s="115"/>
      <x:c r="W37" s="115"/>
      <x:c r="X37" s="115"/>
      <x:c r="Y37" s="115"/>
      <x:c r="Z37" s="115"/>
    </x:row>
    <x:row r="38" ht="15" hidden="0" customHeight="1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  <x:c r="S38" s="115"/>
      <x:c r="T38" s="115"/>
      <x:c r="U38" s="115"/>
      <x:c r="V38" s="115"/>
      <x:c r="W38" s="115"/>
      <x:c r="X38" s="115"/>
      <x:c r="Y38" s="115"/>
      <x:c r="Z38" s="115"/>
    </x:row>
    <x:row r="39" ht="15" hidden="0" customHeight="1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  <x:c r="S39" s="115"/>
      <x:c r="T39" s="115"/>
      <x:c r="U39" s="115"/>
      <x:c r="V39" s="115"/>
      <x:c r="W39" s="115"/>
      <x:c r="X39" s="115"/>
      <x:c r="Y39" s="115"/>
      <x:c r="Z39" s="115"/>
    </x:row>
    <x:row r="40" ht="15" hidden="0" customHeight="1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  <x:c r="S40" s="115"/>
      <x:c r="T40" s="115"/>
      <x:c r="U40" s="115"/>
      <x:c r="V40" s="115"/>
      <x:c r="W40" s="115"/>
      <x:c r="X40" s="115"/>
      <x:c r="Y40" s="115"/>
      <x:c r="Z40" s="115"/>
    </x:row>
    <x:row r="41" ht="15" hidden="0" customHeight="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  <x:c r="S41" s="115"/>
      <x:c r="T41" s="115"/>
      <x:c r="U41" s="115"/>
      <x:c r="V41" s="115"/>
      <x:c r="W41" s="115"/>
      <x:c r="X41" s="115"/>
      <x:c r="Y41" s="115"/>
      <x:c r="Z41" s="115"/>
    </x:row>
    <x:row r="42" ht="15" hidden="0" customHeight="1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5"/>
      <x:c r="U42" s="115"/>
      <x:c r="V42" s="115"/>
      <x:c r="W42" s="115"/>
      <x:c r="X42" s="115"/>
      <x:c r="Y42" s="115"/>
      <x:c r="Z42" s="115"/>
    </x:row>
    <x:row r="43" ht="15" hidden="0" customHeight="1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  <x:c r="S43" s="115"/>
      <x:c r="T43" s="115"/>
      <x:c r="U43" s="115"/>
      <x:c r="V43" s="115"/>
      <x:c r="W43" s="115"/>
      <x:c r="X43" s="115"/>
      <x:c r="Y43" s="115"/>
      <x:c r="Z43" s="115"/>
    </x:row>
    <x:row r="44" ht="15" hidden="0" customHeight="1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  <x:c r="S44" s="115"/>
      <x:c r="T44" s="115"/>
      <x:c r="U44" s="115"/>
      <x:c r="V44" s="115"/>
      <x:c r="W44" s="115"/>
      <x:c r="X44" s="115"/>
      <x:c r="Y44" s="115"/>
      <x:c r="Z44" s="115"/>
    </x:row>
    <x:row r="45" ht="15" hidden="0" customHeight="1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  <x:c r="S45" s="115"/>
      <x:c r="T45" s="115"/>
      <x:c r="U45" s="115"/>
      <x:c r="V45" s="115"/>
      <x:c r="W45" s="115"/>
      <x:c r="X45" s="115"/>
      <x:c r="Y45" s="115"/>
      <x:c r="Z45" s="115"/>
    </x:row>
    <x:row r="46" ht="15" hidden="0" customHeight="1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  <x:c r="S46" s="115"/>
      <x:c r="T46" s="115"/>
      <x:c r="U46" s="115"/>
      <x:c r="V46" s="115"/>
      <x:c r="W46" s="115"/>
      <x:c r="X46" s="115"/>
      <x:c r="Y46" s="115"/>
      <x:c r="Z46" s="115"/>
    </x:row>
    <x:row r="47" ht="15" hidden="0" customHeight="1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  <x:c r="S47" s="115"/>
      <x:c r="T47" s="115"/>
      <x:c r="U47" s="115"/>
      <x:c r="V47" s="115"/>
      <x:c r="W47" s="115"/>
      <x:c r="X47" s="115"/>
      <x:c r="Y47" s="115"/>
      <x:c r="Z47" s="115"/>
    </x:row>
    <x:row r="48" ht="15" hidden="0" customHeight="1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  <x:c r="S48" s="115"/>
      <x:c r="T48" s="115"/>
      <x:c r="U48" s="115"/>
      <x:c r="V48" s="115"/>
      <x:c r="W48" s="115"/>
      <x:c r="X48" s="115"/>
      <x:c r="Y48" s="115"/>
      <x:c r="Z48" s="115"/>
    </x:row>
    <x:row r="49" ht="15" hidden="0" customHeight="1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  <x:c r="S49" s="115"/>
      <x:c r="T49" s="115"/>
      <x:c r="U49" s="115"/>
      <x:c r="V49" s="115"/>
      <x:c r="W49" s="115"/>
      <x:c r="X49" s="115"/>
      <x:c r="Y49" s="115"/>
      <x:c r="Z49" s="115"/>
    </x:row>
    <x:row r="50" ht="15" hidden="0" customHeight="1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  <x:c r="S50" s="115"/>
      <x:c r="T50" s="115"/>
      <x:c r="U50" s="115"/>
      <x:c r="V50" s="115"/>
      <x:c r="W50" s="115"/>
      <x:c r="X50" s="115"/>
      <x:c r="Y50" s="115"/>
      <x:c r="Z50" s="115"/>
    </x:row>
    <x:row r="51" ht="15" hidden="0" customHeight="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  <x:c r="S51" s="115"/>
      <x:c r="T51" s="115"/>
      <x:c r="U51" s="115"/>
      <x:c r="V51" s="115"/>
      <x:c r="W51" s="115"/>
      <x:c r="X51" s="115"/>
      <x:c r="Y51" s="115"/>
      <x:c r="Z51" s="115"/>
    </x:row>
    <x:row r="52" ht="15" hidden="0" customHeight="1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  <x:c r="S52" s="115"/>
      <x:c r="T52" s="115"/>
      <x:c r="U52" s="115"/>
      <x:c r="V52" s="115"/>
      <x:c r="W52" s="115"/>
      <x:c r="X52" s="115"/>
      <x:c r="Y52" s="115"/>
      <x:c r="Z52" s="115"/>
    </x:row>
    <x:row r="53" ht="15" hidden="0" customHeight="1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  <x:c r="S53" s="115"/>
      <x:c r="T53" s="115"/>
      <x:c r="U53" s="115"/>
      <x:c r="V53" s="115"/>
      <x:c r="W53" s="115"/>
      <x:c r="X53" s="115"/>
      <x:c r="Y53" s="115"/>
      <x:c r="Z53" s="115"/>
    </x:row>
    <x:row r="54" ht="15" hidden="0" customHeight="1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  <x:c r="S54" s="115"/>
      <x:c r="T54" s="115"/>
      <x:c r="U54" s="115"/>
      <x:c r="V54" s="115"/>
      <x:c r="W54" s="115"/>
      <x:c r="X54" s="115"/>
      <x:c r="Y54" s="115"/>
      <x:c r="Z54" s="115"/>
    </x:row>
    <x:row r="55" ht="15" hidden="0" customHeight="1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  <x:c r="S55" s="115"/>
      <x:c r="T55" s="115"/>
      <x:c r="U55" s="115"/>
      <x:c r="V55" s="115"/>
      <x:c r="W55" s="115"/>
      <x:c r="X55" s="115"/>
      <x:c r="Y55" s="115"/>
      <x:c r="Z55" s="115"/>
    </x:row>
    <x:row r="56" ht="15" hidden="0" customHeight="1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  <x:c r="S56" s="115"/>
      <x:c r="T56" s="115"/>
      <x:c r="U56" s="115"/>
      <x:c r="V56" s="115"/>
      <x:c r="W56" s="115"/>
      <x:c r="X56" s="115"/>
      <x:c r="Y56" s="115"/>
      <x:c r="Z56" s="115"/>
    </x:row>
    <x:row r="57" ht="15" hidden="0" customHeight="1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  <x:c r="S57" s="115"/>
      <x:c r="T57" s="115"/>
      <x:c r="U57" s="115"/>
      <x:c r="V57" s="115"/>
      <x:c r="W57" s="115"/>
      <x:c r="X57" s="115"/>
      <x:c r="Y57" s="115"/>
      <x:c r="Z57" s="115"/>
    </x:row>
    <x:row r="58" ht="15" hidden="0" customHeight="1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  <x:c r="S58" s="115"/>
      <x:c r="T58" s="115"/>
      <x:c r="U58" s="115"/>
      <x:c r="V58" s="115"/>
      <x:c r="W58" s="115"/>
      <x:c r="X58" s="115"/>
      <x:c r="Y58" s="115"/>
      <x:c r="Z58" s="115"/>
    </x:row>
    <x:row r="59" ht="15" hidden="0" customHeight="1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15"/>
      <x:c r="T59" s="115"/>
      <x:c r="U59" s="115"/>
      <x:c r="V59" s="115"/>
      <x:c r="W59" s="115"/>
      <x:c r="X59" s="115"/>
      <x:c r="Y59" s="115"/>
      <x:c r="Z59" s="115"/>
    </x:row>
    <x:row r="60" ht="15" hidden="0" customHeight="1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15"/>
      <x:c r="T60" s="115"/>
      <x:c r="U60" s="115"/>
      <x:c r="V60" s="115"/>
      <x:c r="W60" s="115"/>
      <x:c r="X60" s="115"/>
      <x:c r="Y60" s="115"/>
      <x:c r="Z60" s="115"/>
    </x:row>
    <x:row r="61" ht="15" hidden="0" customHeight="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  <x:c r="S61" s="115"/>
      <x:c r="T61" s="115"/>
      <x:c r="U61" s="115"/>
      <x:c r="V61" s="115"/>
      <x:c r="W61" s="115"/>
      <x:c r="X61" s="115"/>
      <x:c r="Y61" s="115"/>
      <x:c r="Z61" s="115"/>
    </x:row>
    <x:row r="62" ht="15" hidden="0" customHeight="1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  <x:c r="S62" s="115"/>
      <x:c r="T62" s="115"/>
      <x:c r="U62" s="115"/>
      <x:c r="V62" s="115"/>
      <x:c r="W62" s="115"/>
      <x:c r="X62" s="115"/>
      <x:c r="Y62" s="115"/>
      <x:c r="Z62" s="115"/>
    </x:row>
    <x:row r="63" ht="15" hidden="0" customHeight="1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5"/>
      <x:c r="T63" s="115"/>
      <x:c r="U63" s="115"/>
      <x:c r="V63" s="115"/>
      <x:c r="W63" s="115"/>
      <x:c r="X63" s="115"/>
      <x:c r="Y63" s="115"/>
      <x:c r="Z63" s="115"/>
    </x:row>
    <x:row r="64" ht="15" hidden="0" customHeight="1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  <x:c r="S64" s="115"/>
      <x:c r="T64" s="115"/>
      <x:c r="U64" s="115"/>
      <x:c r="V64" s="115"/>
      <x:c r="W64" s="115"/>
      <x:c r="X64" s="115"/>
      <x:c r="Y64" s="115"/>
      <x:c r="Z64" s="115"/>
    </x:row>
    <x:row r="65" ht="15" hidden="0" customHeight="1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  <x:c r="S65" s="115"/>
      <x:c r="T65" s="115"/>
      <x:c r="U65" s="115"/>
      <x:c r="V65" s="115"/>
      <x:c r="W65" s="115"/>
      <x:c r="X65" s="115"/>
      <x:c r="Y65" s="115"/>
      <x:c r="Z65" s="115"/>
    </x:row>
    <x:row r="66" ht="15" hidden="0" customHeight="1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  <x:c r="S66" s="115"/>
      <x:c r="T66" s="115"/>
      <x:c r="U66" s="115"/>
      <x:c r="V66" s="115"/>
      <x:c r="W66" s="115"/>
      <x:c r="X66" s="115"/>
      <x:c r="Y66" s="115"/>
      <x:c r="Z66" s="115"/>
    </x:row>
    <x:row r="67" ht="15" hidden="0" customHeight="1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  <x:c r="S67" s="115"/>
      <x:c r="T67" s="115"/>
      <x:c r="U67" s="115"/>
      <x:c r="V67" s="115"/>
      <x:c r="W67" s="115"/>
      <x:c r="X67" s="115"/>
      <x:c r="Y67" s="115"/>
      <x:c r="Z67" s="115"/>
    </x:row>
    <x:row r="68" ht="15" hidden="0" customHeight="1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  <x:c r="S68" s="115"/>
      <x:c r="T68" s="115"/>
      <x:c r="U68" s="115"/>
      <x:c r="V68" s="115"/>
      <x:c r="W68" s="115"/>
      <x:c r="X68" s="115"/>
      <x:c r="Y68" s="115"/>
      <x:c r="Z68" s="115"/>
    </x:row>
    <x:row r="69" ht="15" hidden="0" customHeight="1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  <x:c r="S69" s="115"/>
      <x:c r="T69" s="115"/>
      <x:c r="U69" s="115"/>
      <x:c r="V69" s="115"/>
      <x:c r="W69" s="115"/>
      <x:c r="X69" s="115"/>
      <x:c r="Y69" s="115"/>
      <x:c r="Z69" s="115"/>
    </x:row>
    <x:row r="70" ht="15" hidden="0" customHeight="1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  <x:c r="S70" s="115"/>
      <x:c r="T70" s="115"/>
      <x:c r="U70" s="115"/>
      <x:c r="V70" s="115"/>
      <x:c r="W70" s="115"/>
      <x:c r="X70" s="115"/>
      <x:c r="Y70" s="115"/>
      <x:c r="Z70" s="115"/>
    </x:row>
    <x:row r="71" ht="15" hidden="0" customHeight="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  <x:c r="S71" s="115"/>
      <x:c r="T71" s="115"/>
      <x:c r="U71" s="115"/>
      <x:c r="V71" s="115"/>
      <x:c r="W71" s="115"/>
      <x:c r="X71" s="115"/>
      <x:c r="Y71" s="115"/>
      <x:c r="Z71" s="115"/>
    </x:row>
    <x:row r="72" ht="15" hidden="0" customHeight="1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  <x:c r="S72" s="115"/>
      <x:c r="T72" s="115"/>
      <x:c r="U72" s="115"/>
      <x:c r="V72" s="115"/>
      <x:c r="W72" s="115"/>
      <x:c r="X72" s="115"/>
      <x:c r="Y72" s="115"/>
      <x:c r="Z72" s="115"/>
    </x:row>
    <x:row r="73" ht="15" hidden="0" customHeight="1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  <x:c r="S73" s="115"/>
      <x:c r="T73" s="115"/>
      <x:c r="U73" s="115"/>
      <x:c r="V73" s="115"/>
      <x:c r="W73" s="115"/>
      <x:c r="X73" s="115"/>
      <x:c r="Y73" s="115"/>
      <x:c r="Z73" s="115"/>
    </x:row>
    <x:row r="74" ht="15" hidden="0" customHeight="1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  <x:c r="S74" s="115"/>
      <x:c r="T74" s="115"/>
      <x:c r="U74" s="115"/>
      <x:c r="V74" s="115"/>
      <x:c r="W74" s="115"/>
      <x:c r="X74" s="115"/>
      <x:c r="Y74" s="115"/>
      <x:c r="Z74" s="115"/>
    </x:row>
    <x:row r="75" ht="15" hidden="0" customHeight="1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  <x:c r="S75" s="115"/>
      <x:c r="T75" s="115"/>
      <x:c r="U75" s="115"/>
      <x:c r="V75" s="115"/>
      <x:c r="W75" s="115"/>
      <x:c r="X75" s="115"/>
      <x:c r="Y75" s="115"/>
      <x:c r="Z75" s="115"/>
    </x:row>
    <x:row r="76" ht="15" hidden="0" customHeight="1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  <x:c r="S76" s="115"/>
      <x:c r="T76" s="115"/>
      <x:c r="U76" s="115"/>
      <x:c r="V76" s="115"/>
      <x:c r="W76" s="115"/>
      <x:c r="X76" s="115"/>
      <x:c r="Y76" s="115"/>
      <x:c r="Z76" s="115"/>
    </x:row>
    <x:row r="77" ht="15" hidden="0" customHeight="1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  <x:c r="S77" s="115"/>
      <x:c r="T77" s="115"/>
      <x:c r="U77" s="115"/>
      <x:c r="V77" s="115"/>
      <x:c r="W77" s="115"/>
      <x:c r="X77" s="115"/>
      <x:c r="Y77" s="115"/>
      <x:c r="Z77" s="115"/>
    </x:row>
    <x:row r="78" ht="15" hidden="0" customHeight="1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5"/>
      <x:c r="T78" s="115"/>
      <x:c r="U78" s="115"/>
      <x:c r="V78" s="115"/>
      <x:c r="W78" s="115"/>
      <x:c r="X78" s="115"/>
      <x:c r="Y78" s="115"/>
      <x:c r="Z78" s="115"/>
    </x:row>
    <x:row r="79" ht="15" hidden="0" customHeight="1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  <x:c r="S79" s="115"/>
      <x:c r="T79" s="115"/>
      <x:c r="U79" s="115"/>
      <x:c r="V79" s="115"/>
      <x:c r="W79" s="115"/>
      <x:c r="X79" s="115"/>
      <x:c r="Y79" s="115"/>
      <x:c r="Z79" s="115"/>
    </x:row>
    <x:row r="80" ht="15" hidden="0" customHeight="1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  <x:c r="S80" s="115"/>
      <x:c r="T80" s="115"/>
      <x:c r="U80" s="115"/>
      <x:c r="V80" s="115"/>
      <x:c r="W80" s="115"/>
      <x:c r="X80" s="115"/>
      <x:c r="Y80" s="115"/>
      <x:c r="Z80" s="115"/>
    </x:row>
    <x:row r="81" ht="15" hidden="0" customHeight="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  <x:c r="S81" s="115"/>
      <x:c r="T81" s="115"/>
      <x:c r="U81" s="115"/>
      <x:c r="V81" s="115"/>
      <x:c r="W81" s="115"/>
      <x:c r="X81" s="115"/>
      <x:c r="Y81" s="115"/>
      <x:c r="Z81" s="115"/>
    </x:row>
    <x:row r="82" ht="15" hidden="0" customHeight="1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  <x:c r="S82" s="115"/>
      <x:c r="T82" s="115"/>
      <x:c r="U82" s="115"/>
      <x:c r="V82" s="115"/>
      <x:c r="W82" s="115"/>
      <x:c r="X82" s="115"/>
      <x:c r="Y82" s="115"/>
      <x:c r="Z82" s="115"/>
    </x:row>
    <x:row r="83" ht="15" hidden="0" customHeight="1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  <x:c r="S83" s="115"/>
      <x:c r="T83" s="115"/>
      <x:c r="U83" s="115"/>
      <x:c r="V83" s="115"/>
      <x:c r="W83" s="115"/>
      <x:c r="X83" s="115"/>
      <x:c r="Y83" s="115"/>
      <x:c r="Z83" s="115"/>
    </x:row>
    <x:row r="84" ht="15" hidden="0" customHeight="1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  <x:c r="S84" s="115"/>
      <x:c r="T84" s="115"/>
      <x:c r="U84" s="115"/>
      <x:c r="V84" s="115"/>
      <x:c r="W84" s="115"/>
      <x:c r="X84" s="115"/>
      <x:c r="Y84" s="115"/>
      <x:c r="Z84" s="115"/>
    </x:row>
    <x:row r="85" ht="15" hidden="0" customHeight="1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  <x:c r="S85" s="115"/>
      <x:c r="T85" s="115"/>
      <x:c r="U85" s="115"/>
      <x:c r="V85" s="115"/>
      <x:c r="W85" s="115"/>
      <x:c r="X85" s="115"/>
      <x:c r="Y85" s="115"/>
      <x:c r="Z85" s="115"/>
    </x:row>
    <x:row r="86" ht="15" hidden="0" customHeight="1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  <x:c r="S86" s="115"/>
      <x:c r="T86" s="115"/>
      <x:c r="U86" s="115"/>
      <x:c r="V86" s="115"/>
      <x:c r="W86" s="115"/>
      <x:c r="X86" s="115"/>
      <x:c r="Y86" s="115"/>
      <x:c r="Z86" s="115"/>
    </x:row>
    <x:row r="87" ht="15" hidden="0" customHeight="1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  <x:c r="S87" s="115"/>
      <x:c r="T87" s="115"/>
      <x:c r="U87" s="115"/>
      <x:c r="V87" s="115"/>
      <x:c r="W87" s="115"/>
      <x:c r="X87" s="115"/>
      <x:c r="Y87" s="115"/>
      <x:c r="Z87" s="115"/>
    </x:row>
    <x:row r="88" ht="15" hidden="0" customHeight="1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  <x:c r="S88" s="115"/>
      <x:c r="T88" s="115"/>
      <x:c r="U88" s="115"/>
      <x:c r="V88" s="115"/>
      <x:c r="W88" s="115"/>
      <x:c r="X88" s="115"/>
      <x:c r="Y88" s="115"/>
      <x:c r="Z88" s="115"/>
    </x:row>
    <x:row r="89" ht="15" hidden="0" customHeight="1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  <x:c r="S89" s="115"/>
      <x:c r="T89" s="115"/>
      <x:c r="U89" s="115"/>
      <x:c r="V89" s="115"/>
      <x:c r="W89" s="115"/>
      <x:c r="X89" s="115"/>
      <x:c r="Y89" s="115"/>
      <x:c r="Z89" s="115"/>
    </x:row>
    <x:row r="90" ht="15" hidden="0" customHeight="1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  <x:c r="S90" s="115"/>
      <x:c r="T90" s="115"/>
      <x:c r="U90" s="115"/>
      <x:c r="V90" s="115"/>
      <x:c r="W90" s="115"/>
      <x:c r="X90" s="115"/>
      <x:c r="Y90" s="115"/>
      <x:c r="Z90" s="115"/>
    </x:row>
    <x:row r="91" ht="15" hidden="0" customHeight="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  <x:c r="S91" s="115"/>
      <x:c r="T91" s="115"/>
      <x:c r="U91" s="115"/>
      <x:c r="V91" s="115"/>
      <x:c r="W91" s="115"/>
      <x:c r="X91" s="115"/>
      <x:c r="Y91" s="115"/>
      <x:c r="Z91" s="115"/>
    </x:row>
    <x:row r="92" ht="15" hidden="0" customHeight="1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  <x:c r="S92" s="115"/>
      <x:c r="T92" s="115"/>
      <x:c r="U92" s="115"/>
      <x:c r="V92" s="115"/>
      <x:c r="W92" s="115"/>
      <x:c r="X92" s="115"/>
      <x:c r="Y92" s="115"/>
      <x:c r="Z92" s="115"/>
    </x:row>
    <x:row r="93" ht="15" hidden="0" customHeight="1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  <x:c r="S93" s="115"/>
      <x:c r="T93" s="115"/>
      <x:c r="U93" s="115"/>
      <x:c r="V93" s="115"/>
      <x:c r="W93" s="115"/>
      <x:c r="X93" s="115"/>
      <x:c r="Y93" s="115"/>
      <x:c r="Z93" s="115"/>
    </x:row>
    <x:row r="94" ht="15" hidden="0" customHeight="1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  <x:c r="S94" s="115"/>
      <x:c r="T94" s="115"/>
      <x:c r="U94" s="115"/>
      <x:c r="V94" s="115"/>
      <x:c r="W94" s="115"/>
      <x:c r="X94" s="115"/>
      <x:c r="Y94" s="115"/>
      <x:c r="Z94" s="115"/>
    </x:row>
    <x:row r="95" ht="15" hidden="0" customHeight="1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  <x:c r="S95" s="115"/>
      <x:c r="T95" s="115"/>
      <x:c r="U95" s="115"/>
      <x:c r="V95" s="115"/>
      <x:c r="W95" s="115"/>
      <x:c r="X95" s="115"/>
      <x:c r="Y95" s="115"/>
      <x:c r="Z95" s="115"/>
    </x:row>
    <x:row r="96" ht="15" hidden="0" customHeight="1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  <x:c r="S96" s="115"/>
      <x:c r="T96" s="115"/>
      <x:c r="U96" s="115"/>
      <x:c r="V96" s="115"/>
      <x:c r="W96" s="115"/>
      <x:c r="X96" s="115"/>
      <x:c r="Y96" s="115"/>
      <x:c r="Z96" s="115"/>
    </x:row>
    <x:row r="97" ht="15" hidden="0" customHeight="1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  <x:c r="S97" s="115"/>
      <x:c r="T97" s="115"/>
      <x:c r="U97" s="115"/>
      <x:c r="V97" s="115"/>
      <x:c r="W97" s="115"/>
      <x:c r="X97" s="115"/>
      <x:c r="Y97" s="115"/>
      <x:c r="Z97" s="115"/>
    </x:row>
    <x:row r="98" ht="15" hidden="0" customHeight="1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  <x:c r="S98" s="115"/>
      <x:c r="T98" s="115"/>
      <x:c r="U98" s="115"/>
      <x:c r="V98" s="115"/>
      <x:c r="W98" s="115"/>
      <x:c r="X98" s="115"/>
      <x:c r="Y98" s="115"/>
      <x:c r="Z98" s="115"/>
    </x:row>
    <x:row r="99" ht="15" hidden="0" customHeight="1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  <x:c r="S99" s="115"/>
      <x:c r="T99" s="115"/>
      <x:c r="U99" s="115"/>
      <x:c r="V99" s="115"/>
      <x:c r="W99" s="115"/>
      <x:c r="X99" s="115"/>
      <x:c r="Y99" s="115"/>
      <x:c r="Z99" s="115"/>
    </x:row>
    <x:row r="100" ht="15" hidden="0" customHeight="1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  <x:c r="S100" s="115"/>
      <x:c r="T100" s="115"/>
      <x:c r="U100" s="115"/>
      <x:c r="V100" s="115"/>
      <x:c r="W100" s="115"/>
      <x:c r="X100" s="115"/>
      <x:c r="Y100" s="115"/>
      <x:c r="Z100" s="115"/>
    </x:row>
    <x:row r="101" ht="15" hidden="0" customHeight="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  <x:c r="S101" s="115"/>
      <x:c r="T101" s="115"/>
      <x:c r="U101" s="115"/>
      <x:c r="V101" s="115"/>
      <x:c r="W101" s="115"/>
      <x:c r="X101" s="115"/>
      <x:c r="Y101" s="115"/>
      <x:c r="Z101" s="115"/>
    </x:row>
    <x:row r="102" ht="15" hidden="0" customHeight="1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  <x:c r="S102" s="115"/>
      <x:c r="T102" s="115"/>
      <x:c r="U102" s="115"/>
      <x:c r="V102" s="115"/>
      <x:c r="W102" s="115"/>
      <x:c r="X102" s="115"/>
      <x:c r="Y102" s="115"/>
      <x:c r="Z102" s="115"/>
    </x:row>
    <x:row r="103" ht="15" hidden="0" customHeight="1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  <x:c r="S103" s="115"/>
      <x:c r="T103" s="115"/>
      <x:c r="U103" s="115"/>
      <x:c r="V103" s="115"/>
      <x:c r="W103" s="115"/>
      <x:c r="X103" s="115"/>
      <x:c r="Y103" s="115"/>
      <x:c r="Z103" s="115"/>
    </x:row>
    <x:row r="104" ht="15" hidden="0" customHeight="1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  <x:c r="S104" s="115"/>
      <x:c r="T104" s="115"/>
      <x:c r="U104" s="115"/>
      <x:c r="V104" s="115"/>
      <x:c r="W104" s="115"/>
      <x:c r="X104" s="115"/>
      <x:c r="Y104" s="115"/>
      <x:c r="Z104" s="115"/>
    </x:row>
    <x:row r="105" ht="15" hidden="0" customHeight="1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  <x:c r="S105" s="115"/>
      <x:c r="T105" s="115"/>
      <x:c r="U105" s="115"/>
      <x:c r="V105" s="115"/>
      <x:c r="W105" s="115"/>
      <x:c r="X105" s="115"/>
      <x:c r="Y105" s="115"/>
      <x:c r="Z105" s="115"/>
    </x:row>
    <x:row r="106" ht="15" hidden="0" customHeight="1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  <x:c r="S106" s="115"/>
      <x:c r="T106" s="115"/>
      <x:c r="U106" s="115"/>
      <x:c r="V106" s="115"/>
      <x:c r="W106" s="115"/>
      <x:c r="X106" s="115"/>
      <x:c r="Y106" s="115"/>
      <x:c r="Z106" s="115"/>
    </x:row>
    <x:row r="107" ht="15" hidden="0" customHeight="1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  <x:c r="S107" s="115"/>
      <x:c r="T107" s="115"/>
      <x:c r="U107" s="115"/>
      <x:c r="V107" s="115"/>
      <x:c r="W107" s="115"/>
      <x:c r="X107" s="115"/>
      <x:c r="Y107" s="115"/>
      <x:c r="Z107" s="115"/>
    </x:row>
    <x:row r="108" ht="15" hidden="0" customHeight="1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  <x:c r="S108" s="115"/>
      <x:c r="T108" s="115"/>
      <x:c r="U108" s="115"/>
      <x:c r="V108" s="115"/>
      <x:c r="W108" s="115"/>
      <x:c r="X108" s="115"/>
      <x:c r="Y108" s="115"/>
      <x:c r="Z108" s="115"/>
    </x:row>
    <x:row r="109" ht="15" hidden="0" customHeight="1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  <x:c r="S109" s="115"/>
      <x:c r="T109" s="115"/>
      <x:c r="U109" s="115"/>
      <x:c r="V109" s="115"/>
      <x:c r="W109" s="115"/>
      <x:c r="X109" s="115"/>
      <x:c r="Y109" s="115"/>
      <x:c r="Z109" s="115"/>
    </x:row>
    <x:row r="110" ht="15" hidden="0" customHeight="1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  <x:c r="S110" s="115"/>
      <x:c r="T110" s="115"/>
      <x:c r="U110" s="115"/>
      <x:c r="V110" s="115"/>
      <x:c r="W110" s="115"/>
      <x:c r="X110" s="115"/>
      <x:c r="Y110" s="115"/>
      <x:c r="Z110" s="115"/>
    </x:row>
    <x:row r="111" ht="15" hidden="0" customHeight="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  <x:c r="S111" s="115"/>
      <x:c r="T111" s="115"/>
      <x:c r="U111" s="115"/>
      <x:c r="V111" s="115"/>
      <x:c r="W111" s="115"/>
      <x:c r="X111" s="115"/>
      <x:c r="Y111" s="115"/>
      <x:c r="Z111" s="115"/>
    </x:row>
    <x:row r="112" ht="15" hidden="0" customHeight="1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  <x:c r="S112" s="115"/>
      <x:c r="T112" s="115"/>
      <x:c r="U112" s="115"/>
      <x:c r="V112" s="115"/>
      <x:c r="W112" s="115"/>
      <x:c r="X112" s="115"/>
      <x:c r="Y112" s="115"/>
      <x:c r="Z112" s="115"/>
    </x:row>
    <x:row r="113" ht="15" hidden="0" customHeight="1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  <x:c r="S113" s="115"/>
      <x:c r="T113" s="115"/>
      <x:c r="U113" s="115"/>
      <x:c r="V113" s="115"/>
      <x:c r="W113" s="115"/>
      <x:c r="X113" s="115"/>
      <x:c r="Y113" s="115"/>
      <x:c r="Z113" s="115"/>
    </x:row>
    <x:row r="114" ht="15" hidden="0" customHeight="1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  <x:c r="S114" s="115"/>
      <x:c r="T114" s="115"/>
      <x:c r="U114" s="115"/>
      <x:c r="V114" s="115"/>
      <x:c r="W114" s="115"/>
      <x:c r="X114" s="115"/>
      <x:c r="Y114" s="115"/>
      <x:c r="Z114" s="115"/>
    </x:row>
    <x:row r="115" ht="15" hidden="0" customHeight="1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  <x:c r="S115" s="115"/>
      <x:c r="T115" s="115"/>
      <x:c r="U115" s="115"/>
      <x:c r="V115" s="115"/>
      <x:c r="W115" s="115"/>
      <x:c r="X115" s="115"/>
      <x:c r="Y115" s="115"/>
      <x:c r="Z115" s="115"/>
    </x:row>
    <x:row r="116" ht="15" hidden="0" customHeight="1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  <x:c r="S116" s="115"/>
      <x:c r="T116" s="115"/>
      <x:c r="U116" s="115"/>
      <x:c r="V116" s="115"/>
      <x:c r="W116" s="115"/>
      <x:c r="X116" s="115"/>
      <x:c r="Y116" s="115"/>
      <x:c r="Z116" s="115"/>
    </x:row>
    <x:row r="117" ht="15" hidden="0" customHeight="1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  <x:c r="S117" s="115"/>
      <x:c r="T117" s="115"/>
      <x:c r="U117" s="115"/>
      <x:c r="V117" s="115"/>
      <x:c r="W117" s="115"/>
      <x:c r="X117" s="115"/>
      <x:c r="Y117" s="115"/>
      <x:c r="Z117" s="115"/>
    </x:row>
    <x:row r="118" ht="15" hidden="0" customHeight="1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  <x:c r="S118" s="115"/>
      <x:c r="T118" s="115"/>
      <x:c r="U118" s="115"/>
      <x:c r="V118" s="115"/>
      <x:c r="W118" s="115"/>
      <x:c r="X118" s="115"/>
      <x:c r="Y118" s="115"/>
      <x:c r="Z118" s="115"/>
    </x:row>
    <x:row r="119" ht="15" hidden="0" customHeight="1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  <x:c r="S119" s="115"/>
      <x:c r="T119" s="115"/>
      <x:c r="U119" s="115"/>
      <x:c r="V119" s="115"/>
      <x:c r="W119" s="115"/>
      <x:c r="X119" s="115"/>
      <x:c r="Y119" s="115"/>
      <x:c r="Z119" s="115"/>
    </x:row>
    <x:row r="120" ht="15" hidden="0" customHeight="1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  <x:c r="S120" s="115"/>
      <x:c r="T120" s="115"/>
      <x:c r="U120" s="115"/>
      <x:c r="V120" s="115"/>
      <x:c r="W120" s="115"/>
      <x:c r="X120" s="115"/>
      <x:c r="Y120" s="115"/>
      <x:c r="Z120" s="115"/>
    </x:row>
    <x:row r="121" ht="15" hidden="0" customHeight="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  <x:c r="S121" s="115"/>
      <x:c r="T121" s="115"/>
      <x:c r="U121" s="115"/>
      <x:c r="V121" s="115"/>
      <x:c r="W121" s="115"/>
      <x:c r="X121" s="115"/>
      <x:c r="Y121" s="115"/>
      <x:c r="Z121" s="115"/>
    </x:row>
    <x:row r="122" ht="15" hidden="0" customHeight="1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  <x:c r="S122" s="115"/>
      <x:c r="T122" s="115"/>
      <x:c r="U122" s="115"/>
      <x:c r="V122" s="115"/>
      <x:c r="W122" s="115"/>
      <x:c r="X122" s="115"/>
      <x:c r="Y122" s="115"/>
      <x:c r="Z122" s="115"/>
    </x:row>
    <x:row r="123" ht="15" hidden="0" customHeight="1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  <x:c r="S123" s="115"/>
      <x:c r="T123" s="115"/>
      <x:c r="U123" s="115"/>
      <x:c r="V123" s="115"/>
      <x:c r="W123" s="115"/>
      <x:c r="X123" s="115"/>
      <x:c r="Y123" s="115"/>
      <x:c r="Z123" s="115"/>
    </x:row>
    <x:row r="124" ht="15" hidden="0" customHeight="1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  <x:c r="S124" s="115"/>
      <x:c r="T124" s="115"/>
      <x:c r="U124" s="115"/>
      <x:c r="V124" s="115"/>
      <x:c r="W124" s="115"/>
      <x:c r="X124" s="115"/>
      <x:c r="Y124" s="115"/>
      <x:c r="Z124" s="115"/>
    </x:row>
    <x:row r="125" ht="15" hidden="0" customHeight="1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  <x:c r="S125" s="115"/>
      <x:c r="T125" s="115"/>
      <x:c r="U125" s="115"/>
      <x:c r="V125" s="115"/>
      <x:c r="W125" s="115"/>
      <x:c r="X125" s="115"/>
      <x:c r="Y125" s="115"/>
      <x:c r="Z125" s="115"/>
    </x:row>
    <x:row r="126" ht="15" hidden="0" customHeight="1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  <x:c r="S126" s="115"/>
      <x:c r="T126" s="115"/>
      <x:c r="U126" s="115"/>
      <x:c r="V126" s="115"/>
      <x:c r="W126" s="115"/>
      <x:c r="X126" s="115"/>
      <x:c r="Y126" s="115"/>
      <x:c r="Z126" s="115"/>
    </x:row>
    <x:row r="127" ht="15" hidden="0" customHeight="1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  <x:c r="S127" s="115"/>
      <x:c r="T127" s="115"/>
      <x:c r="U127" s="115"/>
      <x:c r="V127" s="115"/>
      <x:c r="W127" s="115"/>
      <x:c r="X127" s="115"/>
      <x:c r="Y127" s="115"/>
      <x:c r="Z127" s="115"/>
    </x:row>
    <x:row r="128" ht="15" hidden="0" customHeight="1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  <x:c r="S128" s="115"/>
      <x:c r="T128" s="115"/>
      <x:c r="U128" s="115"/>
      <x:c r="V128" s="115"/>
      <x:c r="W128" s="115"/>
      <x:c r="X128" s="115"/>
      <x:c r="Y128" s="115"/>
      <x:c r="Z128" s="115"/>
    </x:row>
    <x:row r="129" ht="15" hidden="0" customHeight="1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  <x:c r="S129" s="115"/>
      <x:c r="T129" s="115"/>
      <x:c r="U129" s="115"/>
      <x:c r="V129" s="115"/>
      <x:c r="W129" s="115"/>
      <x:c r="X129" s="115"/>
      <x:c r="Y129" s="115"/>
      <x:c r="Z129" s="115"/>
    </x:row>
    <x:row r="130" ht="15" hidden="0" customHeight="1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  <x:c r="S130" s="115"/>
      <x:c r="T130" s="115"/>
      <x:c r="U130" s="115"/>
      <x:c r="V130" s="115"/>
      <x:c r="W130" s="115"/>
      <x:c r="X130" s="115"/>
      <x:c r="Y130" s="115"/>
      <x:c r="Z130" s="115"/>
    </x:row>
    <x:row r="131" ht="15" hidden="0" customHeight="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  <x:c r="S131" s="115"/>
      <x:c r="T131" s="115"/>
      <x:c r="U131" s="115"/>
      <x:c r="V131" s="115"/>
      <x:c r="W131" s="115"/>
      <x:c r="X131" s="115"/>
      <x:c r="Y131" s="115"/>
      <x:c r="Z131" s="115"/>
    </x:row>
    <x:row r="132" ht="15" hidden="0" customHeight="1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  <x:c r="S132" s="115"/>
      <x:c r="T132" s="115"/>
      <x:c r="U132" s="115"/>
      <x:c r="V132" s="115"/>
      <x:c r="W132" s="115"/>
      <x:c r="X132" s="115"/>
      <x:c r="Y132" s="115"/>
      <x:c r="Z132" s="115"/>
    </x:row>
    <x:row r="133" ht="15" hidden="0" customHeight="1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  <x:c r="S133" s="115"/>
      <x:c r="T133" s="115"/>
      <x:c r="U133" s="115"/>
      <x:c r="V133" s="115"/>
      <x:c r="W133" s="115"/>
      <x:c r="X133" s="115"/>
      <x:c r="Y133" s="115"/>
      <x:c r="Z133" s="115"/>
    </x:row>
    <x:row r="134" ht="15" hidden="0" customHeight="1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  <x:c r="S134" s="115"/>
      <x:c r="T134" s="115"/>
      <x:c r="U134" s="115"/>
      <x:c r="V134" s="115"/>
      <x:c r="W134" s="115"/>
      <x:c r="X134" s="115"/>
      <x:c r="Y134" s="115"/>
      <x:c r="Z134" s="115"/>
    </x:row>
    <x:row r="135" ht="15" hidden="0" customHeight="1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  <x:c r="S135" s="115"/>
      <x:c r="T135" s="115"/>
      <x:c r="U135" s="115"/>
      <x:c r="V135" s="115"/>
      <x:c r="W135" s="115"/>
      <x:c r="X135" s="115"/>
      <x:c r="Y135" s="115"/>
      <x:c r="Z135" s="115"/>
    </x:row>
    <x:row r="136" ht="15" hidden="0" customHeight="1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  <x:c r="S136" s="115"/>
      <x:c r="T136" s="115"/>
      <x:c r="U136" s="115"/>
      <x:c r="V136" s="115"/>
      <x:c r="W136" s="115"/>
      <x:c r="X136" s="115"/>
      <x:c r="Y136" s="115"/>
      <x:c r="Z136" s="115"/>
    </x:row>
    <x:row r="137" ht="15" hidden="0" customHeight="1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  <x:c r="S137" s="115"/>
      <x:c r="T137" s="115"/>
      <x:c r="U137" s="115"/>
      <x:c r="V137" s="115"/>
      <x:c r="W137" s="115"/>
      <x:c r="X137" s="115"/>
      <x:c r="Y137" s="115"/>
      <x:c r="Z137" s="115"/>
    </x:row>
    <x:row r="138" ht="15" hidden="0" customHeight="1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5"/>
      <x:c r="T138" s="115"/>
      <x:c r="U138" s="115"/>
      <x:c r="V138" s="115"/>
      <x:c r="W138" s="115"/>
      <x:c r="X138" s="115"/>
      <x:c r="Y138" s="115"/>
      <x:c r="Z138" s="115"/>
    </x:row>
    <x:row r="139" ht="15" hidden="0" customHeight="1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  <x:c r="S139" s="115"/>
      <x:c r="T139" s="115"/>
      <x:c r="U139" s="115"/>
      <x:c r="V139" s="115"/>
      <x:c r="W139" s="115"/>
      <x:c r="X139" s="115"/>
      <x:c r="Y139" s="115"/>
      <x:c r="Z139" s="115"/>
    </x:row>
    <x:row r="140" ht="15" hidden="0" customHeight="1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  <x:c r="S140" s="115"/>
      <x:c r="T140" s="115"/>
      <x:c r="U140" s="115"/>
      <x:c r="V140" s="115"/>
      <x:c r="W140" s="115"/>
      <x:c r="X140" s="115"/>
      <x:c r="Y140" s="115"/>
      <x:c r="Z140" s="115"/>
    </x:row>
    <x:row r="141" ht="15" hidden="0" customHeight="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  <x:c r="S141" s="115"/>
      <x:c r="T141" s="115"/>
      <x:c r="U141" s="115"/>
      <x:c r="V141" s="115"/>
      <x:c r="W141" s="115"/>
      <x:c r="X141" s="115"/>
      <x:c r="Y141" s="115"/>
      <x:c r="Z141" s="115"/>
    </x:row>
    <x:row r="142" ht="15" hidden="0" customHeight="1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  <x:c r="S142" s="115"/>
      <x:c r="T142" s="115"/>
      <x:c r="U142" s="115"/>
      <x:c r="V142" s="115"/>
      <x:c r="W142" s="115"/>
      <x:c r="X142" s="115"/>
      <x:c r="Y142" s="115"/>
      <x:c r="Z142" s="115"/>
    </x:row>
    <x:row r="143" ht="15" hidden="0" customHeight="1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  <x:c r="S143" s="115"/>
      <x:c r="T143" s="115"/>
      <x:c r="U143" s="115"/>
      <x:c r="V143" s="115"/>
      <x:c r="W143" s="115"/>
      <x:c r="X143" s="115"/>
      <x:c r="Y143" s="115"/>
      <x:c r="Z143" s="115"/>
    </x:row>
    <x:row r="144" ht="15" hidden="0" customHeight="1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  <x:c r="S144" s="115"/>
      <x:c r="T144" s="115"/>
      <x:c r="U144" s="115"/>
      <x:c r="V144" s="115"/>
      <x:c r="W144" s="115"/>
      <x:c r="X144" s="115"/>
      <x:c r="Y144" s="115"/>
      <x:c r="Z144" s="115"/>
    </x:row>
    <x:row r="145" ht="15" hidden="0" customHeight="1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  <x:c r="S145" s="115"/>
      <x:c r="T145" s="115"/>
      <x:c r="U145" s="115"/>
      <x:c r="V145" s="115"/>
      <x:c r="W145" s="115"/>
      <x:c r="X145" s="115"/>
      <x:c r="Y145" s="115"/>
      <x:c r="Z145" s="115"/>
    </x:row>
    <x:row r="146" ht="15" hidden="0" customHeight="1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  <x:c r="S146" s="115"/>
      <x:c r="T146" s="115"/>
      <x:c r="U146" s="115"/>
      <x:c r="V146" s="115"/>
      <x:c r="W146" s="115"/>
      <x:c r="X146" s="115"/>
      <x:c r="Y146" s="115"/>
      <x:c r="Z146" s="115"/>
    </x:row>
    <x:row r="147" ht="15" hidden="0" customHeight="1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  <x:c r="S147" s="115"/>
      <x:c r="T147" s="115"/>
      <x:c r="U147" s="115"/>
      <x:c r="V147" s="115"/>
      <x:c r="W147" s="115"/>
      <x:c r="X147" s="115"/>
      <x:c r="Y147" s="115"/>
      <x:c r="Z147" s="115"/>
    </x:row>
    <x:row r="148" ht="15" hidden="0" customHeight="1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  <x:c r="S148" s="115"/>
      <x:c r="T148" s="115"/>
      <x:c r="U148" s="115"/>
      <x:c r="V148" s="115"/>
      <x:c r="W148" s="115"/>
      <x:c r="X148" s="115"/>
      <x:c r="Y148" s="115"/>
      <x:c r="Z148" s="115"/>
    </x:row>
    <x:row r="149" ht="15" hidden="0" customHeight="1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  <x:c r="S149" s="115"/>
      <x:c r="T149" s="115"/>
      <x:c r="U149" s="115"/>
      <x:c r="V149" s="115"/>
      <x:c r="W149" s="115"/>
      <x:c r="X149" s="115"/>
      <x:c r="Y149" s="115"/>
      <x:c r="Z149" s="115"/>
    </x:row>
    <x:row r="150" ht="15" hidden="0" customHeight="1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  <x:c r="S150" s="115"/>
      <x:c r="T150" s="115"/>
      <x:c r="U150" s="115"/>
      <x:c r="V150" s="115"/>
      <x:c r="W150" s="115"/>
      <x:c r="X150" s="115"/>
      <x:c r="Y150" s="115"/>
      <x:c r="Z150" s="115"/>
    </x:row>
    <x:row r="151" ht="15" hidden="0" customHeight="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  <x:c r="S151" s="115"/>
      <x:c r="T151" s="115"/>
      <x:c r="U151" s="115"/>
      <x:c r="V151" s="115"/>
      <x:c r="W151" s="115"/>
      <x:c r="X151" s="115"/>
      <x:c r="Y151" s="115"/>
      <x:c r="Z151" s="115"/>
    </x:row>
    <x:row r="152" ht="15" hidden="0" customHeight="1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  <x:c r="S152" s="115"/>
      <x:c r="T152" s="115"/>
      <x:c r="U152" s="115"/>
      <x:c r="V152" s="115"/>
      <x:c r="W152" s="115"/>
      <x:c r="X152" s="115"/>
      <x:c r="Y152" s="115"/>
      <x:c r="Z152" s="115"/>
    </x:row>
    <x:row r="153" ht="15" hidden="0" customHeight="1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  <x:c r="S153" s="115"/>
      <x:c r="T153" s="115"/>
      <x:c r="U153" s="115"/>
      <x:c r="V153" s="115"/>
      <x:c r="W153" s="115"/>
      <x:c r="X153" s="115"/>
      <x:c r="Y153" s="115"/>
      <x:c r="Z153" s="115"/>
    </x:row>
    <x:row r="154" ht="15" hidden="0" customHeight="1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  <x:c r="S154" s="115"/>
      <x:c r="T154" s="115"/>
      <x:c r="U154" s="115"/>
      <x:c r="V154" s="115"/>
      <x:c r="W154" s="115"/>
      <x:c r="X154" s="115"/>
      <x:c r="Y154" s="115"/>
      <x:c r="Z154" s="115"/>
    </x:row>
    <x:row r="155" ht="15" hidden="0" customHeight="1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  <x:c r="S155" s="115"/>
      <x:c r="T155" s="115"/>
      <x:c r="U155" s="115"/>
      <x:c r="V155" s="115"/>
      <x:c r="W155" s="115"/>
      <x:c r="X155" s="115"/>
      <x:c r="Y155" s="115"/>
      <x:c r="Z155" s="115"/>
    </x:row>
    <x:row r="156" ht="15" hidden="0" customHeight="1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  <x:c r="S156" s="115"/>
      <x:c r="T156" s="115"/>
      <x:c r="U156" s="115"/>
      <x:c r="V156" s="115"/>
      <x:c r="W156" s="115"/>
      <x:c r="X156" s="115"/>
      <x:c r="Y156" s="115"/>
      <x:c r="Z156" s="115"/>
    </x:row>
    <x:row r="157" ht="15" hidden="0" customHeight="1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  <x:c r="S157" s="115"/>
      <x:c r="T157" s="115"/>
      <x:c r="U157" s="115"/>
      <x:c r="V157" s="115"/>
      <x:c r="W157" s="115"/>
      <x:c r="X157" s="115"/>
      <x:c r="Y157" s="115"/>
      <x:c r="Z157" s="115"/>
    </x:row>
    <x:row r="158" ht="15" hidden="0" customHeight="1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  <x:c r="S158" s="115"/>
      <x:c r="T158" s="115"/>
      <x:c r="U158" s="115"/>
      <x:c r="V158" s="115"/>
      <x:c r="W158" s="115"/>
      <x:c r="X158" s="115"/>
      <x:c r="Y158" s="115"/>
      <x:c r="Z158" s="115"/>
    </x:row>
    <x:row r="159" ht="15" hidden="0" customHeight="1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  <x:c r="S159" s="115"/>
      <x:c r="T159" s="115"/>
      <x:c r="U159" s="115"/>
      <x:c r="V159" s="115"/>
      <x:c r="W159" s="115"/>
      <x:c r="X159" s="115"/>
      <x:c r="Y159" s="115"/>
      <x:c r="Z159" s="115"/>
    </x:row>
    <x:row r="160" ht="15" hidden="0" customHeight="1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  <x:c r="S160" s="115"/>
      <x:c r="T160" s="115"/>
      <x:c r="U160" s="115"/>
      <x:c r="V160" s="115"/>
      <x:c r="W160" s="115"/>
      <x:c r="X160" s="115"/>
      <x:c r="Y160" s="115"/>
      <x:c r="Z160" s="115"/>
    </x:row>
    <x:row r="161" ht="15" hidden="0" customHeight="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  <x:c r="S161" s="115"/>
      <x:c r="T161" s="115"/>
      <x:c r="U161" s="115"/>
      <x:c r="V161" s="115"/>
      <x:c r="W161" s="115"/>
      <x:c r="X161" s="115"/>
      <x:c r="Y161" s="115"/>
      <x:c r="Z161" s="115"/>
    </x:row>
    <x:row r="162" ht="15" hidden="0" customHeight="1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  <x:c r="S162" s="115"/>
      <x:c r="T162" s="115"/>
      <x:c r="U162" s="115"/>
      <x:c r="V162" s="115"/>
      <x:c r="W162" s="115"/>
      <x:c r="X162" s="115"/>
      <x:c r="Y162" s="115"/>
      <x:c r="Z162" s="115"/>
    </x:row>
    <x:row r="163" ht="15" hidden="0" customHeight="1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  <x:c r="S163" s="115"/>
      <x:c r="T163" s="115"/>
      <x:c r="U163" s="115"/>
      <x:c r="V163" s="115"/>
      <x:c r="W163" s="115"/>
      <x:c r="X163" s="115"/>
      <x:c r="Y163" s="115"/>
      <x:c r="Z163" s="115"/>
    </x:row>
    <x:row r="164" ht="15" hidden="0" customHeight="1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  <x:c r="S164" s="115"/>
      <x:c r="T164" s="115"/>
      <x:c r="U164" s="115"/>
      <x:c r="V164" s="115"/>
      <x:c r="W164" s="115"/>
      <x:c r="X164" s="115"/>
      <x:c r="Y164" s="115"/>
      <x:c r="Z164" s="115"/>
    </x:row>
    <x:row r="165" ht="15" hidden="0" customHeight="1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  <x:c r="S165" s="115"/>
      <x:c r="T165" s="115"/>
      <x:c r="U165" s="115"/>
      <x:c r="V165" s="115"/>
      <x:c r="W165" s="115"/>
      <x:c r="X165" s="115"/>
      <x:c r="Y165" s="115"/>
      <x:c r="Z165" s="115"/>
    </x:row>
    <x:row r="166" ht="15" hidden="0" customHeight="1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  <x:c r="S166" s="115"/>
      <x:c r="T166" s="115"/>
      <x:c r="U166" s="115"/>
      <x:c r="V166" s="115"/>
      <x:c r="W166" s="115"/>
      <x:c r="X166" s="115"/>
      <x:c r="Y166" s="115"/>
      <x:c r="Z166" s="115"/>
    </x:row>
    <x:row r="167" ht="15" hidden="0" customHeight="1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  <x:c r="S167" s="115"/>
      <x:c r="T167" s="115"/>
      <x:c r="U167" s="115"/>
      <x:c r="V167" s="115"/>
      <x:c r="W167" s="115"/>
      <x:c r="X167" s="115"/>
      <x:c r="Y167" s="115"/>
      <x:c r="Z167" s="115"/>
    </x:row>
    <x:row r="168" ht="15" hidden="0" customHeight="1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  <x:c r="S168" s="115"/>
      <x:c r="T168" s="115"/>
      <x:c r="U168" s="115"/>
      <x:c r="V168" s="115"/>
      <x:c r="W168" s="115"/>
      <x:c r="X168" s="115"/>
      <x:c r="Y168" s="115"/>
      <x:c r="Z168" s="115"/>
    </x:row>
    <x:row r="169" ht="15" hidden="0" customHeight="1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  <x:c r="S169" s="115"/>
      <x:c r="T169" s="115"/>
      <x:c r="U169" s="115"/>
      <x:c r="V169" s="115"/>
      <x:c r="W169" s="115"/>
      <x:c r="X169" s="115"/>
      <x:c r="Y169" s="115"/>
      <x:c r="Z169" s="115"/>
    </x:row>
    <x:row r="170" ht="15" hidden="0" customHeight="1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  <x:c r="S170" s="115"/>
      <x:c r="T170" s="115"/>
      <x:c r="U170" s="115"/>
      <x:c r="V170" s="115"/>
      <x:c r="W170" s="115"/>
      <x:c r="X170" s="115"/>
      <x:c r="Y170" s="115"/>
      <x:c r="Z170" s="115"/>
    </x:row>
    <x:row r="171" ht="15" hidden="0" customHeight="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  <x:c r="S171" s="115"/>
      <x:c r="T171" s="115"/>
      <x:c r="U171" s="115"/>
      <x:c r="V171" s="115"/>
      <x:c r="W171" s="115"/>
      <x:c r="X171" s="115"/>
      <x:c r="Y171" s="115"/>
      <x:c r="Z171" s="115"/>
    </x:row>
    <x:row r="172" ht="15" hidden="0" customHeight="1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  <x:c r="S172" s="115"/>
      <x:c r="T172" s="115"/>
      <x:c r="U172" s="115"/>
      <x:c r="V172" s="115"/>
      <x:c r="W172" s="115"/>
      <x:c r="X172" s="115"/>
      <x:c r="Y172" s="115"/>
      <x:c r="Z172" s="115"/>
    </x:row>
    <x:row r="173" ht="15" hidden="0" customHeight="1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  <x:c r="S173" s="115"/>
      <x:c r="T173" s="115"/>
      <x:c r="U173" s="115"/>
      <x:c r="V173" s="115"/>
      <x:c r="W173" s="115"/>
      <x:c r="X173" s="115"/>
      <x:c r="Y173" s="115"/>
      <x:c r="Z173" s="115"/>
    </x:row>
    <x:row r="174" ht="15" hidden="0" customHeight="1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  <x:c r="S174" s="115"/>
      <x:c r="T174" s="115"/>
      <x:c r="U174" s="115"/>
      <x:c r="V174" s="115"/>
      <x:c r="W174" s="115"/>
      <x:c r="X174" s="115"/>
      <x:c r="Y174" s="115"/>
      <x:c r="Z174" s="115"/>
    </x:row>
    <x:row r="175" ht="15" hidden="0" customHeight="1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  <x:c r="S175" s="115"/>
      <x:c r="T175" s="115"/>
      <x:c r="U175" s="115"/>
      <x:c r="V175" s="115"/>
      <x:c r="W175" s="115"/>
      <x:c r="X175" s="115"/>
      <x:c r="Y175" s="115"/>
      <x:c r="Z175" s="115"/>
    </x:row>
    <x:row r="176" ht="15" hidden="0" customHeight="1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  <x:c r="S176" s="115"/>
      <x:c r="T176" s="115"/>
      <x:c r="U176" s="115"/>
      <x:c r="V176" s="115"/>
      <x:c r="W176" s="115"/>
      <x:c r="X176" s="115"/>
      <x:c r="Y176" s="115"/>
      <x:c r="Z176" s="115"/>
    </x:row>
    <x:row r="177" ht="15" hidden="0" customHeight="1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  <x:c r="S177" s="115"/>
      <x:c r="T177" s="115"/>
      <x:c r="U177" s="115"/>
      <x:c r="V177" s="115"/>
      <x:c r="W177" s="115"/>
      <x:c r="X177" s="115"/>
      <x:c r="Y177" s="115"/>
      <x:c r="Z177" s="115"/>
    </x:row>
    <x:row r="178" ht="15" hidden="0" customHeight="1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  <x:c r="S178" s="115"/>
      <x:c r="T178" s="115"/>
      <x:c r="U178" s="115"/>
      <x:c r="V178" s="115"/>
      <x:c r="W178" s="115"/>
      <x:c r="X178" s="115"/>
      <x:c r="Y178" s="115"/>
      <x:c r="Z178" s="115"/>
    </x:row>
    <x:row r="179" ht="15" hidden="0" customHeight="1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  <x:c r="S179" s="115"/>
      <x:c r="T179" s="115"/>
      <x:c r="U179" s="115"/>
      <x:c r="V179" s="115"/>
      <x:c r="W179" s="115"/>
      <x:c r="X179" s="115"/>
      <x:c r="Y179" s="115"/>
      <x:c r="Z179" s="115"/>
    </x:row>
    <x:row r="180" ht="15" hidden="0" customHeight="1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  <x:c r="S180" s="115"/>
      <x:c r="T180" s="115"/>
      <x:c r="U180" s="115"/>
      <x:c r="V180" s="115"/>
      <x:c r="W180" s="115"/>
      <x:c r="X180" s="115"/>
      <x:c r="Y180" s="115"/>
      <x:c r="Z180" s="115"/>
    </x:row>
    <x:row r="181" ht="15" hidden="0" customHeight="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  <x:c r="S181" s="115"/>
      <x:c r="T181" s="115"/>
      <x:c r="U181" s="115"/>
      <x:c r="V181" s="115"/>
      <x:c r="W181" s="115"/>
      <x:c r="X181" s="115"/>
      <x:c r="Y181" s="115"/>
      <x:c r="Z181" s="115"/>
    </x:row>
    <x:row r="182" ht="15" hidden="0" customHeight="1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  <x:c r="S182" s="115"/>
      <x:c r="T182" s="115"/>
      <x:c r="U182" s="115"/>
      <x:c r="V182" s="115"/>
      <x:c r="W182" s="115"/>
      <x:c r="X182" s="115"/>
      <x:c r="Y182" s="115"/>
      <x:c r="Z182" s="115"/>
    </x:row>
    <x:row r="183" ht="15" hidden="0" customHeight="1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5"/>
      <x:c r="U183" s="115"/>
      <x:c r="V183" s="115"/>
      <x:c r="W183" s="115"/>
      <x:c r="X183" s="115"/>
      <x:c r="Y183" s="115"/>
      <x:c r="Z183" s="115"/>
    </x:row>
    <x:row r="184" ht="15" hidden="0" customHeight="1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  <x:c r="S184" s="115"/>
      <x:c r="T184" s="115"/>
      <x:c r="U184" s="115"/>
      <x:c r="V184" s="115"/>
      <x:c r="W184" s="115"/>
      <x:c r="X184" s="115"/>
      <x:c r="Y184" s="115"/>
      <x:c r="Z184" s="115"/>
    </x:row>
    <x:row r="185" ht="15" hidden="0" customHeight="1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  <x:c r="S185" s="115"/>
      <x:c r="T185" s="115"/>
      <x:c r="U185" s="115"/>
      <x:c r="V185" s="115"/>
      <x:c r="W185" s="115"/>
      <x:c r="X185" s="115"/>
      <x:c r="Y185" s="115"/>
      <x:c r="Z185" s="115"/>
    </x:row>
    <x:row r="186" ht="15" hidden="0" customHeight="1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  <x:c r="S186" s="115"/>
      <x:c r="T186" s="115"/>
      <x:c r="U186" s="115"/>
      <x:c r="V186" s="115"/>
      <x:c r="W186" s="115"/>
      <x:c r="X186" s="115"/>
      <x:c r="Y186" s="115"/>
      <x:c r="Z186" s="115"/>
    </x:row>
    <x:row r="187" ht="15" hidden="0" customHeight="1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  <x:c r="S187" s="115"/>
      <x:c r="T187" s="115"/>
      <x:c r="U187" s="115"/>
      <x:c r="V187" s="115"/>
      <x:c r="W187" s="115"/>
      <x:c r="X187" s="115"/>
      <x:c r="Y187" s="115"/>
      <x:c r="Z187" s="115"/>
    </x:row>
    <x:row r="188" ht="15" hidden="0" customHeight="1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  <x:c r="S188" s="115"/>
      <x:c r="T188" s="115"/>
      <x:c r="U188" s="115"/>
      <x:c r="V188" s="115"/>
      <x:c r="W188" s="115"/>
      <x:c r="X188" s="115"/>
      <x:c r="Y188" s="115"/>
      <x:c r="Z188" s="115"/>
    </x:row>
    <x:row r="189" ht="15" hidden="0" customHeight="1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  <x:c r="S189" s="115"/>
      <x:c r="T189" s="115"/>
      <x:c r="U189" s="115"/>
      <x:c r="V189" s="115"/>
      <x:c r="W189" s="115"/>
      <x:c r="X189" s="115"/>
      <x:c r="Y189" s="115"/>
      <x:c r="Z189" s="115"/>
    </x:row>
    <x:row r="190" ht="15" hidden="0" customHeight="1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  <x:c r="S190" s="115"/>
      <x:c r="T190" s="115"/>
      <x:c r="U190" s="115"/>
      <x:c r="V190" s="115"/>
      <x:c r="W190" s="115"/>
      <x:c r="X190" s="115"/>
      <x:c r="Y190" s="115"/>
      <x:c r="Z190" s="115"/>
    </x:row>
    <x:row r="191" ht="15" hidden="0" customHeight="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  <x:c r="S191" s="115"/>
      <x:c r="T191" s="115"/>
      <x:c r="U191" s="115"/>
      <x:c r="V191" s="115"/>
      <x:c r="W191" s="115"/>
      <x:c r="X191" s="115"/>
      <x:c r="Y191" s="115"/>
      <x:c r="Z191" s="115"/>
    </x:row>
    <x:row r="192" ht="15" hidden="0" customHeight="1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  <x:c r="S192" s="115"/>
      <x:c r="T192" s="115"/>
      <x:c r="U192" s="115"/>
      <x:c r="V192" s="115"/>
      <x:c r="W192" s="115"/>
      <x:c r="X192" s="115"/>
      <x:c r="Y192" s="115"/>
      <x:c r="Z192" s="115"/>
    </x:row>
    <x:row r="193" ht="15" hidden="0" customHeight="1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  <x:c r="S193" s="115"/>
      <x:c r="T193" s="115"/>
      <x:c r="U193" s="115"/>
      <x:c r="V193" s="115"/>
      <x:c r="W193" s="115"/>
      <x:c r="X193" s="115"/>
      <x:c r="Y193" s="115"/>
      <x:c r="Z193" s="115"/>
    </x:row>
    <x:row r="194" ht="15" hidden="0" customHeight="1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  <x:c r="S194" s="115"/>
      <x:c r="T194" s="115"/>
      <x:c r="U194" s="115"/>
      <x:c r="V194" s="115"/>
      <x:c r="W194" s="115"/>
      <x:c r="X194" s="115"/>
      <x:c r="Y194" s="115"/>
      <x:c r="Z194" s="115"/>
    </x:row>
    <x:row r="195" ht="15" hidden="0" customHeight="1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  <x:c r="S195" s="115"/>
      <x:c r="T195" s="115"/>
      <x:c r="U195" s="115"/>
      <x:c r="V195" s="115"/>
      <x:c r="W195" s="115"/>
      <x:c r="X195" s="115"/>
      <x:c r="Y195" s="115"/>
      <x:c r="Z195" s="115"/>
    </x:row>
    <x:row r="196" ht="15" hidden="0" customHeight="1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  <x:c r="S196" s="115"/>
      <x:c r="T196" s="115"/>
      <x:c r="U196" s="115"/>
      <x:c r="V196" s="115"/>
      <x:c r="W196" s="115"/>
      <x:c r="X196" s="115"/>
      <x:c r="Y196" s="115"/>
      <x:c r="Z196" s="115"/>
    </x:row>
    <x:row r="197" ht="15" hidden="0" customHeight="1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  <x:c r="S197" s="115"/>
      <x:c r="T197" s="115"/>
      <x:c r="U197" s="115"/>
      <x:c r="V197" s="115"/>
      <x:c r="W197" s="115"/>
      <x:c r="X197" s="115"/>
      <x:c r="Y197" s="115"/>
      <x:c r="Z197" s="115"/>
    </x:row>
    <x:row r="198" ht="15" hidden="0" customHeight="1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  <x:c r="S198" s="115"/>
      <x:c r="T198" s="115"/>
      <x:c r="U198" s="115"/>
      <x:c r="V198" s="115"/>
      <x:c r="W198" s="115"/>
      <x:c r="X198" s="115"/>
      <x:c r="Y198" s="115"/>
      <x:c r="Z198" s="115"/>
    </x:row>
    <x:row r="199" ht="15" hidden="0" customHeight="1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  <x:c r="S199" s="115"/>
      <x:c r="T199" s="115"/>
      <x:c r="U199" s="115"/>
      <x:c r="V199" s="115"/>
      <x:c r="W199" s="115"/>
      <x:c r="X199" s="115"/>
      <x:c r="Y199" s="115"/>
      <x:c r="Z199" s="115"/>
    </x:row>
    <x:row r="200" ht="15" hidden="0" customHeight="1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  <x:c r="S200" s="115"/>
      <x:c r="T200" s="115"/>
      <x:c r="U200" s="115"/>
      <x:c r="V200" s="115"/>
      <x:c r="W200" s="115"/>
      <x:c r="X200" s="115"/>
      <x:c r="Y200" s="115"/>
      <x:c r="Z200" s="115"/>
    </x:row>
  </x:sheetData>
  <x:mergeCells>
    <x:mergeCell ref="A1:K1"/>
    <x:mergeCell ref="A3:K3"/>
    <x:mergeCell ref="A12:K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42" hidden="0" customWidth="1"/>
  </x:cols>
  <x:sheetData>
    <x:row r="1" ht="21.600000381469727" hidden="0" customHeight="1">
      <x:c r="A1" s="188" t="str">
        <x:v>Synergy Tracker — Cost, Revenue, and Integration Value Capture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  <x:c r="S1" s="115"/>
      <x:c r="T1" s="115"/>
      <x:c r="U1" s="115"/>
      <x:c r="V1" s="115"/>
      <x:c r="W1" s="115"/>
      <x:c r="X1" s="115"/>
      <x:c r="Y1" s="115"/>
      <x:c r="Z1" s="115"/>
    </x:row>
    <x:row r="2" ht="15" hidden="0" customHeight="1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  <x:c r="Q2" s="115"/>
      <x:c r="R2" s="115"/>
      <x:c r="S2" s="115"/>
      <x:c r="T2" s="115"/>
      <x:c r="U2" s="115"/>
      <x:c r="V2" s="115"/>
      <x:c r="W2" s="115"/>
      <x:c r="X2" s="115"/>
      <x:c r="Y2" s="115"/>
      <x:c r="Z2" s="115"/>
    </x:row>
    <x:row r="3" ht="26.399999618530273" hidden="0" customHeight="1">
      <x:c r="A3" s="143" t="str">
        <x:v>ID</x:v>
      </x:c>
      <x:c r="B3" s="143" t="str">
        <x:v>Workstream</x:v>
      </x:c>
      <x:c r="C3" s="143" t="str">
        <x:v>Initiative</x:v>
      </x:c>
      <x:c r="D3" s="143" t="str">
        <x:v>Owner</x:v>
      </x:c>
      <x:c r="E3" s="143" t="str">
        <x:v>Status</x:v>
      </x:c>
      <x:c r="F3" s="143" t="str">
        <x:v>Priority</x:v>
      </x:c>
      <x:c r="G3" s="143" t="str">
        <x:v>Start Date</x:v>
      </x:c>
      <x:c r="H3" s="143" t="str">
        <x:v>Target Date</x:v>
      </x:c>
      <x:c r="I3" s="143" t="str">
        <x:v>Gross Target ($)</x:v>
      </x:c>
      <x:c r="J3" s="143" t="str">
        <x:v>Risk Haircut %</x:v>
      </x:c>
      <x:c r="K3" s="143" t="str">
        <x:v>Net Target ($)</x:v>
      </x:c>
      <x:c r="L3" s="143" t="str">
        <x:v>One-Time Cost ($)</x:v>
      </x:c>
      <x:c r="M3" s="143" t="str">
        <x:v>Month 3 Realization %</x:v>
      </x:c>
      <x:c r="N3" s="143" t="str">
        <x:v>Month 6 Realization %</x:v>
      </x:c>
      <x:c r="O3" s="143" t="str">
        <x:v>Month 12 Realization %</x:v>
      </x:c>
      <x:c r="P3" s="143" t="str">
        <x:v>Current Realization %</x:v>
      </x:c>
      <x:c r="Q3" s="143" t="str">
        <x:v>Run-Rate Captured ($)</x:v>
      </x:c>
      <x:c r="R3" s="143" t="str">
        <x:v>Validated EBITDA ($)</x:v>
      </x:c>
      <x:c r="S3" s="143" t="str">
        <x:v>Evidence Quality</x:v>
      </x:c>
      <x:c r="T3" s="143" t="str">
        <x:v>Value at Exit ($)</x:v>
      </x:c>
      <x:c r="U3" s="143" t="str">
        <x:v>Notes</x:v>
      </x:c>
      <x:c r="V3" s="115"/>
      <x:c r="W3" s="115"/>
      <x:c r="X3" s="115"/>
      <x:c r="Y3" s="115"/>
      <x:c r="Z3" s="115"/>
    </x:row>
    <x:row r="4" ht="15" hidden="0" customHeight="1">
      <x:c r="A4" s="144" t="str">
        <x:v>SYN-001</x:v>
      </x:c>
      <x:c r="B4" s="144" t="str">
        <x:v>Procurement</x:v>
      </x:c>
      <x:c r="C4" s="144" t="str">
        <x:v>Consolidate packaging vendors</x:v>
      </x:c>
      <x:c r="D4" s="144" t="str">
        <x:v>CPO</x:v>
      </x:c>
      <x:c r="E4" s="144" t="str">
        <x:v>In Progress</x:v>
      </x:c>
      <x:c r="F4" s="144" t="str">
        <x:v>High</x:v>
      </x:c>
      <x:c r="G4" s="168" t="n">
        <x:v>46183</x:v>
      </x:c>
      <x:c r="H4" s="168" t="n">
        <x:v>46326</x:v>
      </x:c>
      <x:c r="I4" s="200" t="n">
        <x:v>950000</x:v>
      </x:c>
      <x:c r="J4" s="201" t="n">
        <x:v>0.1</x:v>
      </x:c>
      <x:c r="K4" s="206" t="n">
        <x:f>I4*(1-J4)</x:f>
        <x:v>855000</x:v>
      </x:c>
      <x:c r="L4" s="200" t="n">
        <x:v>180000</x:v>
      </x:c>
      <x:c r="M4" s="204" t="n">
        <x:v>0.25</x:v>
      </x:c>
      <x:c r="N4" s="204" t="n">
        <x:v>0.55</x:v>
      </x:c>
      <x:c r="O4" s="204" t="n">
        <x:v>0.95</x:v>
      </x:c>
      <x:c r="P4" s="204" t="n">
        <x:v>0.45</x:v>
      </x:c>
      <x:c r="Q4" s="206" t="n">
        <x:f>K4*P4</x:f>
        <x:v>384750</x:v>
      </x:c>
      <x:c r="R4" s="206" t="n">
        <x:f>IF(S4="High",Q4,IF(S4="Medium",Q4*0.75,Q4*0.35))</x:f>
        <x:v>288562.5</x:v>
      </x:c>
      <x:c r="S4" s="208" t="str">
        <x:v>Medium</x:v>
      </x:c>
      <x:c r="T4" s="206" t="n">
        <x:f>R4*Inputs!$B$9</x:f>
        <x:v>3318468.75</x:v>
      </x:c>
      <x:c r="U4" s="144" t="str">
        <x:v>Move target volume to platform preferred supplier</x:v>
      </x:c>
      <x:c r="V4" s="115"/>
      <x:c r="W4" s="115"/>
      <x:c r="X4" s="115"/>
      <x:c r="Y4" s="115"/>
      <x:c r="Z4" s="115"/>
    </x:row>
    <x:row r="5" ht="15" hidden="0" customHeight="1">
      <x:c r="A5" s="144" t="str">
        <x:v>SYN-002</x:v>
      </x:c>
      <x:c r="B5" s="144" t="str">
        <x:v>Procurement</x:v>
      </x:c>
      <x:c r="C5" s="144" t="str">
        <x:v>Renegotiate raw material contracts</x:v>
      </x:c>
      <x:c r="D5" s="144" t="str">
        <x:v>CPO</x:v>
      </x:c>
      <x:c r="E5" s="144" t="str">
        <x:v>Not Started</x:v>
      </x:c>
      <x:c r="F5" s="144" t="str">
        <x:v>High</x:v>
      </x:c>
      <x:c r="G5" s="168" t="n">
        <x:v>46204</x:v>
      </x:c>
      <x:c r="H5" s="168" t="n">
        <x:v>46371</x:v>
      </x:c>
      <x:c r="I5" s="200" t="n">
        <x:v>1400000</x:v>
      </x:c>
      <x:c r="J5" s="201" t="n">
        <x:v>0.15</x:v>
      </x:c>
      <x:c r="K5" s="206" t="n">
        <x:f>I5*(1-J5)</x:f>
        <x:v>1190000</x:v>
      </x:c>
      <x:c r="L5" s="200" t="n">
        <x:v>220000</x:v>
      </x:c>
      <x:c r="M5" s="204" t="n">
        <x:v>0.1</x:v>
      </x:c>
      <x:c r="N5" s="204" t="n">
        <x:v>0.45</x:v>
      </x:c>
      <x:c r="O5" s="204" t="n">
        <x:v>0.9</x:v>
      </x:c>
      <x:c r="P5" s="204" t="n">
        <x:v>0.2</x:v>
      </x:c>
      <x:c r="Q5" s="206" t="n">
        <x:f>K5*P5</x:f>
        <x:v>238000</x:v>
      </x:c>
      <x:c r="R5" s="206" t="n">
        <x:f>IF(S5="High",Q5,IF(S5="Medium",Q5*0.75,Q5*0.35))</x:f>
        <x:v>83300</x:v>
      </x:c>
      <x:c r="S5" s="208" t="str">
        <x:v>Low</x:v>
      </x:c>
      <x:c r="T5" s="206" t="n">
        <x:f>R5*Inputs!$B$9</x:f>
        <x:v>957950</x:v>
      </x:c>
      <x:c r="U5" s="144" t="str">
        <x:v>RFP required for top three suppliers</x:v>
      </x:c>
      <x:c r="V5" s="115"/>
      <x:c r="W5" s="115"/>
      <x:c r="X5" s="115"/>
      <x:c r="Y5" s="115"/>
      <x:c r="Z5" s="115"/>
    </x:row>
    <x:row r="6" ht="26.399999618530273" hidden="0" customHeight="1">
      <x:c r="A6" s="144" t="str">
        <x:v>SYN-003</x:v>
      </x:c>
      <x:c r="B6" s="144" t="str">
        <x:v>Supply Chain / Logistics</x:v>
      </x:c>
      <x:c r="C6" s="144" t="str">
        <x:v>Move freight to platform carrier rates</x:v>
      </x:c>
      <x:c r="D6" s="144" t="str">
        <x:v>VP Supply Chain</x:v>
      </x:c>
      <x:c r="E6" s="144" t="str">
        <x:v>In Progress</x:v>
      </x:c>
      <x:c r="F6" s="144" t="str">
        <x:v>High</x:v>
      </x:c>
      <x:c r="G6" s="168" t="n">
        <x:v>46188</x:v>
      </x:c>
      <x:c r="H6" s="168" t="n">
        <x:v>46295</x:v>
      </x:c>
      <x:c r="I6" s="200" t="n">
        <x:v>760000</x:v>
      </x:c>
      <x:c r="J6" s="201" t="n">
        <x:v>0.12</x:v>
      </x:c>
      <x:c r="K6" s="206" t="n">
        <x:f>I6*(1-J6)</x:f>
        <x:v>668800</x:v>
      </x:c>
      <x:c r="L6" s="200" t="n">
        <x:v>120000</x:v>
      </x:c>
      <x:c r="M6" s="204" t="n">
        <x:v>0.35</x:v>
      </x:c>
      <x:c r="N6" s="204" t="n">
        <x:v>0.7</x:v>
      </x:c>
      <x:c r="O6" s="204" t="n">
        <x:v>0.95</x:v>
      </x:c>
      <x:c r="P6" s="204" t="n">
        <x:v>0.6</x:v>
      </x:c>
      <x:c r="Q6" s="206" t="n">
        <x:f>K6*P6</x:f>
        <x:v>401280</x:v>
      </x:c>
      <x:c r="R6" s="206" t="n">
        <x:f>IF(S6="High",Q6,IF(S6="Medium",Q6*0.75,Q6*0.35))</x:f>
        <x:v>401280</x:v>
      </x:c>
      <x:c r="S6" s="208" t="str">
        <x:v>High</x:v>
      </x:c>
      <x:c r="T6" s="206" t="n">
        <x:f>R6*Inputs!$B$9</x:f>
        <x:v>4614720</x:v>
      </x:c>
      <x:c r="U6" s="144" t="str">
        <x:v>Lane-level validation started</x:v>
      </x:c>
      <x:c r="V6" s="115"/>
      <x:c r="W6" s="115"/>
      <x:c r="X6" s="115"/>
      <x:c r="Y6" s="115"/>
      <x:c r="Z6" s="115"/>
    </x:row>
    <x:row r="7" ht="15" hidden="0" customHeight="1">
      <x:c r="A7" s="144" t="str">
        <x:v>SYN-004</x:v>
      </x:c>
      <x:c r="B7" s="144" t="str">
        <x:v>G&amp;A / SG&amp;A</x:v>
      </x:c>
      <x:c r="C7" s="144" t="str">
        <x:v>Eliminate duplicate accounting roles</x:v>
      </x:c>
      <x:c r="D7" s="144" t="str">
        <x:v>CFO</x:v>
      </x:c>
      <x:c r="E7" s="144" t="str">
        <x:v>Complete</x:v>
      </x:c>
      <x:c r="F7" s="144" t="str">
        <x:v>High</x:v>
      </x:c>
      <x:c r="G7" s="168" t="n">
        <x:v>46174</x:v>
      </x:c>
      <x:c r="H7" s="168" t="n">
        <x:v>46265</x:v>
      </x:c>
      <x:c r="I7" s="200" t="n">
        <x:v>820000</x:v>
      </x:c>
      <x:c r="J7" s="201" t="n">
        <x:v>0.05</x:v>
      </x:c>
      <x:c r="K7" s="206" t="n">
        <x:f>I7*(1-J7)</x:f>
        <x:v>779000</x:v>
      </x:c>
      <x:c r="L7" s="200" t="n">
        <x:v>410000</x:v>
      </x:c>
      <x:c r="M7" s="204" t="n">
        <x:v>0.5</x:v>
      </x:c>
      <x:c r="N7" s="204" t="n">
        <x:v>0.85</x:v>
      </x:c>
      <x:c r="O7" s="204" t="n">
        <x:v>1</x:v>
      </x:c>
      <x:c r="P7" s="204" t="n">
        <x:v>0.9</x:v>
      </x:c>
      <x:c r="Q7" s="206" t="n">
        <x:f>K7*P7</x:f>
        <x:v>701100</x:v>
      </x:c>
      <x:c r="R7" s="206" t="n">
        <x:f>IF(S7="High",Q7,IF(S7="Medium",Q7*0.75,Q7*0.35))</x:f>
        <x:v>701100</x:v>
      </x:c>
      <x:c r="S7" s="208" t="str">
        <x:v>High</x:v>
      </x:c>
      <x:c r="T7" s="206" t="n">
        <x:f>R7*Inputs!$B$9</x:f>
        <x:v>8062650</x:v>
      </x:c>
      <x:c r="U7" s="144" t="str">
        <x:v>Severance included in one-time cost</x:v>
      </x:c>
      <x:c r="V7" s="115"/>
      <x:c r="W7" s="115"/>
      <x:c r="X7" s="115"/>
      <x:c r="Y7" s="115"/>
      <x:c r="Z7" s="115"/>
    </x:row>
    <x:row r="8" ht="15" hidden="0" customHeight="1">
      <x:c r="A8" s="144" t="str">
        <x:v>SYN-005</x:v>
      </x:c>
      <x:c r="B8" s="144" t="str">
        <x:v>G&amp;A / SG&amp;A</x:v>
      </x:c>
      <x:c r="C8" s="144" t="str">
        <x:v>Consolidate HR and payroll admin</x:v>
      </x:c>
      <x:c r="D8" s="144" t="str">
        <x:v>CHRO</x:v>
      </x:c>
      <x:c r="E8" s="144" t="str">
        <x:v>In Progress</x:v>
      </x:c>
      <x:c r="F8" s="144" t="str">
        <x:v>Medium</x:v>
      </x:c>
      <x:c r="G8" s="168" t="n">
        <x:v>46193</x:v>
      </x:c>
      <x:c r="H8" s="168" t="n">
        <x:v>46356</x:v>
      </x:c>
      <x:c r="I8" s="200" t="n">
        <x:v>430000</x:v>
      </x:c>
      <x:c r="J8" s="201" t="n">
        <x:v>0.1</x:v>
      </x:c>
      <x:c r="K8" s="206" t="n">
        <x:f>I8*(1-J8)</x:f>
        <x:v>387000</x:v>
      </x:c>
      <x:c r="L8" s="200" t="n">
        <x:v>160000</x:v>
      </x:c>
      <x:c r="M8" s="204" t="n">
        <x:v>0.2</x:v>
      </x:c>
      <x:c r="N8" s="204" t="n">
        <x:v>0.55</x:v>
      </x:c>
      <x:c r="O8" s="204" t="n">
        <x:v>0.95</x:v>
      </x:c>
      <x:c r="P8" s="204" t="n">
        <x:v>0.35</x:v>
      </x:c>
      <x:c r="Q8" s="206" t="n">
        <x:f>K8*P8</x:f>
        <x:v>135450</x:v>
      </x:c>
      <x:c r="R8" s="206" t="n">
        <x:f>IF(S8="High",Q8,IF(S8="Medium",Q8*0.75,Q8*0.35))</x:f>
        <x:v>101587.5</x:v>
      </x:c>
      <x:c r="S8" s="208" t="str">
        <x:v>Medium</x:v>
      </x:c>
      <x:c r="T8" s="206" t="n">
        <x:f>R8*Inputs!$B$9</x:f>
        <x:v>1168256.25</x:v>
      </x:c>
      <x:c r="U8" s="144" t="str">
        <x:v>Transition services period through Q4</x:v>
      </x:c>
      <x:c r="V8" s="115"/>
      <x:c r="W8" s="115"/>
      <x:c r="X8" s="115"/>
      <x:c r="Y8" s="115"/>
      <x:c r="Z8" s="115"/>
    </x:row>
    <x:row r="9" ht="15" hidden="0" customHeight="1">
      <x:c r="A9" s="144" t="str">
        <x:v>SYN-006</x:v>
      </x:c>
      <x:c r="B9" s="144" t="str">
        <x:v>Systems / IT</x:v>
      </x:c>
      <x:c r="C9" s="144" t="str">
        <x:v>Decommission target ERP licenses</x:v>
      </x:c>
      <x:c r="D9" s="144" t="str">
        <x:v>CIO</x:v>
      </x:c>
      <x:c r="E9" s="144" t="str">
        <x:v>At Risk</x:v>
      </x:c>
      <x:c r="F9" s="144" t="str">
        <x:v>High</x:v>
      </x:c>
      <x:c r="G9" s="168" t="n">
        <x:v>46174</x:v>
      </x:c>
      <x:c r="H9" s="168" t="n">
        <x:v>46477</x:v>
      </x:c>
      <x:c r="I9" s="200" t="n">
        <x:v>650000</x:v>
      </x:c>
      <x:c r="J9" s="201" t="n">
        <x:v>0.25</x:v>
      </x:c>
      <x:c r="K9" s="206" t="n">
        <x:f>I9*(1-J9)</x:f>
        <x:v>487500</x:v>
      </x:c>
      <x:c r="L9" s="200" t="n">
        <x:v>780000</x:v>
      </x:c>
      <x:c r="M9" s="204" t="n">
        <x:v>0</x:v>
      </x:c>
      <x:c r="N9" s="204" t="n">
        <x:v>0.25</x:v>
      </x:c>
      <x:c r="O9" s="204" t="n">
        <x:v>0.75</x:v>
      </x:c>
      <x:c r="P9" s="204" t="n">
        <x:v>0.1</x:v>
      </x:c>
      <x:c r="Q9" s="206" t="n">
        <x:f>K9*P9</x:f>
        <x:v>48750</x:v>
      </x:c>
      <x:c r="R9" s="206" t="n">
        <x:f>IF(S9="High",Q9,IF(S9="Medium",Q9*0.75,Q9*0.35))</x:f>
        <x:v>17062.5</x:v>
      </x:c>
      <x:c r="S9" s="208" t="str">
        <x:v>Low</x:v>
      </x:c>
      <x:c r="T9" s="206" t="n">
        <x:f>R9*Inputs!$B$9</x:f>
        <x:v>196218.75</x:v>
      </x:c>
      <x:c r="U9" s="144" t="str">
        <x:v>Migration dependencies delaying savings</x:v>
      </x:c>
      <x:c r="V9" s="115"/>
      <x:c r="W9" s="115"/>
      <x:c r="X9" s="115"/>
      <x:c r="Y9" s="115"/>
      <x:c r="Z9" s="115"/>
    </x:row>
    <x:row r="10" ht="15" hidden="0" customHeight="1">
      <x:c r="A10" s="144" t="str">
        <x:v>SYN-007</x:v>
      </x:c>
      <x:c r="B10" s="144" t="str">
        <x:v>Systems / IT</x:v>
      </x:c>
      <x:c r="C10" s="144" t="str">
        <x:v>Consolidate CRM and marketing tools</x:v>
      </x:c>
      <x:c r="D10" s="144" t="str">
        <x:v>CIO</x:v>
      </x:c>
      <x:c r="E10" s="144" t="str">
        <x:v>In Progress</x:v>
      </x:c>
      <x:c r="F10" s="144" t="str">
        <x:v>Medium</x:v>
      </x:c>
      <x:c r="G10" s="168" t="n">
        <x:v>46218</x:v>
      </x:c>
      <x:c r="H10" s="168" t="n">
        <x:v>46418</x:v>
      </x:c>
      <x:c r="I10" s="200" t="n">
        <x:v>310000</x:v>
      </x:c>
      <x:c r="J10" s="201" t="n">
        <x:v>0.2</x:v>
      </x:c>
      <x:c r="K10" s="206" t="n">
        <x:f>I10*(1-J10)</x:f>
        <x:v>248000</x:v>
      </x:c>
      <x:c r="L10" s="200" t="n">
        <x:v>250000</x:v>
      </x:c>
      <x:c r="M10" s="204" t="n">
        <x:v>0.05</x:v>
      </x:c>
      <x:c r="N10" s="204" t="n">
        <x:v>0.3</x:v>
      </x:c>
      <x:c r="O10" s="204" t="n">
        <x:v>0.8</x:v>
      </x:c>
      <x:c r="P10" s="204" t="n">
        <x:v>0.18</x:v>
      </x:c>
      <x:c r="Q10" s="206" t="n">
        <x:f>K10*P10</x:f>
        <x:v>44640</x:v>
      </x:c>
      <x:c r="R10" s="206" t="n">
        <x:f>IF(S10="High",Q10,IF(S10="Medium",Q10*0.75,Q10*0.35))</x:f>
        <x:v>33480</x:v>
      </x:c>
      <x:c r="S10" s="208" t="str">
        <x:v>Medium</x:v>
      </x:c>
      <x:c r="T10" s="206" t="n">
        <x:f>R10*Inputs!$B$9</x:f>
        <x:v>385020</x:v>
      </x:c>
      <x:c r="U10" s="144" t="str">
        <x:v>Includes license rationalization</x:v>
      </x:c>
      <x:c r="V10" s="115"/>
      <x:c r="W10" s="115"/>
      <x:c r="X10" s="115"/>
      <x:c r="Y10" s="115"/>
      <x:c r="Z10" s="115"/>
    </x:row>
    <x:row r="11" ht="15" hidden="0" customHeight="1">
      <x:c r="A11" s="144" t="str">
        <x:v>SYN-008</x:v>
      </x:c>
      <x:c r="B11" s="144" t="str">
        <x:v>Facilities / Footprint</x:v>
      </x:c>
      <x:c r="C11" s="144" t="str">
        <x:v>Close duplicate regional office</x:v>
      </x:c>
      <x:c r="D11" s="144" t="str">
        <x:v>COO</x:v>
      </x:c>
      <x:c r="E11" s="144" t="str">
        <x:v>Not Started</x:v>
      </x:c>
      <x:c r="F11" s="144" t="str">
        <x:v>Medium</x:v>
      </x:c>
      <x:c r="G11" s="168" t="n">
        <x:v>46235</x:v>
      </x:c>
      <x:c r="H11" s="168" t="n">
        <x:v>46446</x:v>
      </x:c>
      <x:c r="I11" s="200" t="n">
        <x:v>520000</x:v>
      </x:c>
      <x:c r="J11" s="201" t="n">
        <x:v>0.2</x:v>
      </x:c>
      <x:c r="K11" s="206" t="n">
        <x:f>I11*(1-J11)</x:f>
        <x:v>416000</x:v>
      </x:c>
      <x:c r="L11" s="200" t="n">
        <x:v>620000</x:v>
      </x:c>
      <x:c r="M11" s="204" t="n">
        <x:v>0</x:v>
      </x:c>
      <x:c r="N11" s="204" t="n">
        <x:v>0.2</x:v>
      </x:c>
      <x:c r="O11" s="204" t="n">
        <x:v>0.85</x:v>
      </x:c>
      <x:c r="P11" s="204" t="n">
        <x:v>0.05</x:v>
      </x:c>
      <x:c r="Q11" s="206" t="n">
        <x:f>K11*P11</x:f>
        <x:v>20800</x:v>
      </x:c>
      <x:c r="R11" s="206" t="n">
        <x:f>IF(S11="High",Q11,IF(S11="Medium",Q11*0.75,Q11*0.35))</x:f>
        <x:v>7279.999999999999</x:v>
      </x:c>
      <x:c r="S11" s="208" t="str">
        <x:v>Low</x:v>
      </x:c>
      <x:c r="T11" s="206" t="n">
        <x:f>R11*Inputs!$B$9</x:f>
        <x:v>83719.99999999999</x:v>
      </x:c>
      <x:c r="U11" s="144" t="str">
        <x:v>Lease termination negotiation pending</x:v>
      </x:c>
      <x:c r="V11" s="115"/>
      <x:c r="W11" s="115"/>
      <x:c r="X11" s="115"/>
      <x:c r="Y11" s="115"/>
      <x:c r="Z11" s="115"/>
    </x:row>
    <x:row r="12" ht="26.399999618530273" hidden="0" customHeight="1">
      <x:c r="A12" s="144" t="str">
        <x:v>SYN-009</x:v>
      </x:c>
      <x:c r="B12" s="144" t="str">
        <x:v>Finance / Back Office</x:v>
      </x:c>
      <x:c r="C12" s="144" t="str">
        <x:v>Move AP to platform shared service</x:v>
      </x:c>
      <x:c r="D12" s="144" t="str">
        <x:v>CFO</x:v>
      </x:c>
      <x:c r="E12" s="144" t="str">
        <x:v>In Progress</x:v>
      </x:c>
      <x:c r="F12" s="144" t="str">
        <x:v>High</x:v>
      </x:c>
      <x:c r="G12" s="168" t="n">
        <x:v>46193</x:v>
      </x:c>
      <x:c r="H12" s="168" t="n">
        <x:v>46387</x:v>
      </x:c>
      <x:c r="I12" s="200" t="n">
        <x:v>590000</x:v>
      </x:c>
      <x:c r="J12" s="201" t="n">
        <x:v>0.12</x:v>
      </x:c>
      <x:c r="K12" s="206" t="n">
        <x:f>I12*(1-J12)</x:f>
        <x:v>519200</x:v>
      </x:c>
      <x:c r="L12" s="200" t="n">
        <x:v>240000</x:v>
      </x:c>
      <x:c r="M12" s="204" t="n">
        <x:v>0.2</x:v>
      </x:c>
      <x:c r="N12" s="204" t="n">
        <x:v>0.55</x:v>
      </x:c>
      <x:c r="O12" s="204" t="n">
        <x:v>0.95</x:v>
      </x:c>
      <x:c r="P12" s="204" t="n">
        <x:v>0.4</x:v>
      </x:c>
      <x:c r="Q12" s="206" t="n">
        <x:f>K12*P12</x:f>
        <x:v>207680</x:v>
      </x:c>
      <x:c r="R12" s="206" t="n">
        <x:f>IF(S12="High",Q12,IF(S12="Medium",Q12*0.75,Q12*0.35))</x:f>
        <x:v>155760</x:v>
      </x:c>
      <x:c r="S12" s="208" t="str">
        <x:v>Medium</x:v>
      </x:c>
      <x:c r="T12" s="206" t="n">
        <x:f>R12*Inputs!$B$9</x:f>
        <x:v>1791240</x:v>
      </x:c>
      <x:c r="U12" s="144" t="str">
        <x:v>PO compliance required</x:v>
      </x:c>
      <x:c r="V12" s="115"/>
      <x:c r="W12" s="115"/>
      <x:c r="X12" s="115"/>
      <x:c r="Y12" s="115"/>
      <x:c r="Z12" s="115"/>
    </x:row>
    <x:row r="13" ht="26.399999618530273" hidden="0" customHeight="1">
      <x:c r="A13" s="144" t="str">
        <x:v>SYN-010</x:v>
      </x:c>
      <x:c r="B13" s="144" t="str">
        <x:v>Revenue / Cross-sell</x:v>
      </x:c>
      <x:c r="C13" s="144" t="str">
        <x:v>Cross-sell target product into platform top accounts</x:v>
      </x:c>
      <x:c r="D13" s="144" t="str">
        <x:v>CRO</x:v>
      </x:c>
      <x:c r="E13" s="144" t="str">
        <x:v>In Progress</x:v>
      </x:c>
      <x:c r="F13" s="144" t="str">
        <x:v>High</x:v>
      </x:c>
      <x:c r="G13" s="168" t="n">
        <x:v>46204</x:v>
      </x:c>
      <x:c r="H13" s="168" t="n">
        <x:v>46568</x:v>
      </x:c>
      <x:c r="I13" s="200" t="n">
        <x:v>1750000</x:v>
      </x:c>
      <x:c r="J13" s="201" t="n">
        <x:v>0.35</x:v>
      </x:c>
      <x:c r="K13" s="206" t="n">
        <x:f>I13*(1-J13)</x:f>
        <x:v>1137500</x:v>
      </x:c>
      <x:c r="L13" s="200" t="n">
        <x:v>300000</x:v>
      </x:c>
      <x:c r="M13" s="204" t="n">
        <x:v>0.05</x:v>
      </x:c>
      <x:c r="N13" s="204" t="n">
        <x:v>0.2</x:v>
      </x:c>
      <x:c r="O13" s="204" t="n">
        <x:v>0.55</x:v>
      </x:c>
      <x:c r="P13" s="204" t="n">
        <x:v>0.12</x:v>
      </x:c>
      <x:c r="Q13" s="206" t="n">
        <x:f>K13*P13</x:f>
        <x:v>136500</x:v>
      </x:c>
      <x:c r="R13" s="206" t="n">
        <x:f>IF(S13="High",Q13,IF(S13="Medium",Q13*0.75,Q13*0.35))</x:f>
        <x:v>47775</x:v>
      </x:c>
      <x:c r="S13" s="208" t="str">
        <x:v>Low</x:v>
      </x:c>
      <x:c r="T13" s="206" t="n">
        <x:f>R13*Inputs!$B$9</x:f>
        <x:v>549412.5</x:v>
      </x:c>
      <x:c r="U13" s="144" t="str">
        <x:v>Contribution margin savings equivalent</x:v>
      </x:c>
      <x:c r="V13" s="115"/>
      <x:c r="W13" s="115"/>
      <x:c r="X13" s="115"/>
      <x:c r="Y13" s="115"/>
      <x:c r="Z13" s="115"/>
    </x:row>
    <x:row r="14" ht="26.399999618530273" hidden="0" customHeight="1">
      <x:c r="A14" s="144" t="str">
        <x:v>SYN-011</x:v>
      </x:c>
      <x:c r="B14" s="144" t="str">
        <x:v>Revenue / Cross-sell</x:v>
      </x:c>
      <x:c r="C14" s="144" t="str">
        <x:v>Bundle platform service into target accounts</x:v>
      </x:c>
      <x:c r="D14" s="144" t="str">
        <x:v>CRO</x:v>
      </x:c>
      <x:c r="E14" s="144" t="str">
        <x:v>Not Started</x:v>
      </x:c>
      <x:c r="F14" s="144" t="str">
        <x:v>Medium</x:v>
      </x:c>
      <x:c r="G14" s="168" t="n">
        <x:v>46266</x:v>
      </x:c>
      <x:c r="H14" s="168" t="n">
        <x:v>46660</x:v>
      </x:c>
      <x:c r="I14" s="200" t="n">
        <x:v>900000</x:v>
      </x:c>
      <x:c r="J14" s="201" t="n">
        <x:v>0.4</x:v>
      </x:c>
      <x:c r="K14" s="206" t="n">
        <x:f>I14*(1-J14)</x:f>
        <x:v>540000</x:v>
      </x:c>
      <x:c r="L14" s="200" t="n">
        <x:v>180000</x:v>
      </x:c>
      <x:c r="M14" s="204" t="n">
        <x:v>0</x:v>
      </x:c>
      <x:c r="N14" s="204" t="n">
        <x:v>0.1</x:v>
      </x:c>
      <x:c r="O14" s="204" t="n">
        <x:v>0.45</x:v>
      </x:c>
      <x:c r="P14" s="204" t="n">
        <x:v>0.02</x:v>
      </x:c>
      <x:c r="Q14" s="206" t="n">
        <x:f>K14*P14</x:f>
        <x:v>10800</x:v>
      </x:c>
      <x:c r="R14" s="206" t="n">
        <x:f>IF(S14="High",Q14,IF(S14="Medium",Q14*0.75,Q14*0.35))</x:f>
        <x:v>3779.9999999999995</x:v>
      </x:c>
      <x:c r="S14" s="208" t="str">
        <x:v>Low</x:v>
      </x:c>
      <x:c r="T14" s="206" t="n">
        <x:f>R14*Inputs!$B$9</x:f>
        <x:v>43469.99999999999</x:v>
      </x:c>
      <x:c r="U14" s="144" t="str">
        <x:v>Requires sales enablement</x:v>
      </x:c>
      <x:c r="V14" s="115"/>
      <x:c r="W14" s="115"/>
      <x:c r="X14" s="115"/>
      <x:c r="Y14" s="115"/>
      <x:c r="Z14" s="115"/>
    </x:row>
    <x:row r="15" ht="15" hidden="0" customHeight="1">
      <x:c r="A15" s="144" t="str">
        <x:v>SYN-012</x:v>
      </x:c>
      <x:c r="B15" s="144" t="str">
        <x:v>Revenue Leakage</x:v>
      </x:c>
      <x:c r="C15" s="144" t="str">
        <x:v>Correct under-billed service fees</x:v>
      </x:c>
      <x:c r="D15" s="144" t="str">
        <x:v>CFO / CRO</x:v>
      </x:c>
      <x:c r="E15" s="144" t="str">
        <x:v>Complete</x:v>
      </x:c>
      <x:c r="F15" s="144" t="str">
        <x:v>High</x:v>
      </x:c>
      <x:c r="G15" s="168" t="n">
        <x:v>46178</x:v>
      </x:c>
      <x:c r="H15" s="168" t="n">
        <x:v>46249</x:v>
      </x:c>
      <x:c r="I15" s="200" t="n">
        <x:v>480000</x:v>
      </x:c>
      <x:c r="J15" s="201" t="n">
        <x:v>0.08</x:v>
      </x:c>
      <x:c r="K15" s="206" t="n">
        <x:f>I15*(1-J15)</x:f>
        <x:v>441600</x:v>
      </x:c>
      <x:c r="L15" s="200" t="n">
        <x:v>40000</x:v>
      </x:c>
      <x:c r="M15" s="204" t="n">
        <x:v>0.5</x:v>
      </x:c>
      <x:c r="N15" s="204" t="n">
        <x:v>0.85</x:v>
      </x:c>
      <x:c r="O15" s="204" t="n">
        <x:v>1</x:v>
      </x:c>
      <x:c r="P15" s="204" t="n">
        <x:v>0.85</x:v>
      </x:c>
      <x:c r="Q15" s="206" t="n">
        <x:f>K15*P15</x:f>
        <x:v>375360</x:v>
      </x:c>
      <x:c r="R15" s="206" t="n">
        <x:f>IF(S15="High",Q15,IF(S15="Medium",Q15*0.75,Q15*0.35))</x:f>
        <x:v>375360</x:v>
      </x:c>
      <x:c r="S15" s="208" t="str">
        <x:v>High</x:v>
      </x:c>
      <x:c r="T15" s="206" t="n">
        <x:f>R15*Inputs!$B$9</x:f>
        <x:v>4316640</x:v>
      </x:c>
      <x:c r="U15" s="144" t="str">
        <x:v>Contract-to-invoice audit complete</x:v>
      </x:c>
      <x:c r="V15" s="115"/>
      <x:c r="W15" s="115"/>
      <x:c r="X15" s="115"/>
      <x:c r="Y15" s="115"/>
      <x:c r="Z15" s="115"/>
    </x:row>
    <x:row r="16" ht="26.399999618530273" hidden="0" customHeight="1">
      <x:c r="A16" s="144" t="str">
        <x:v>SYN-013</x:v>
      </x:c>
      <x:c r="B16" s="144" t="str">
        <x:v>G&amp;A / SG&amp;A</x:v>
      </x:c>
      <x:c r="C16" s="144" t="str">
        <x:v>Professional services vendor rationalization</x:v>
      </x:c>
      <x:c r="D16" s="144" t="str">
        <x:v>CFO</x:v>
      </x:c>
      <x:c r="E16" s="144" t="str">
        <x:v>In Progress</x:v>
      </x:c>
      <x:c r="F16" s="144" t="str">
        <x:v>Medium</x:v>
      </x:c>
      <x:c r="G16" s="168" t="n">
        <x:v>46204</x:v>
      </x:c>
      <x:c r="H16" s="168" t="n">
        <x:v>46341</x:v>
      </x:c>
      <x:c r="I16" s="200" t="n">
        <x:v>350000</x:v>
      </x:c>
      <x:c r="J16" s="201" t="n">
        <x:v>0.1</x:v>
      </x:c>
      <x:c r="K16" s="206" t="n">
        <x:f>I16*(1-J16)</x:f>
        <x:v>315000</x:v>
      </x:c>
      <x:c r="L16" s="200" t="n">
        <x:v>30000</x:v>
      </x:c>
      <x:c r="M16" s="204" t="n">
        <x:v>0.2</x:v>
      </x:c>
      <x:c r="N16" s="204" t="n">
        <x:v>0.55</x:v>
      </x:c>
      <x:c r="O16" s="204" t="n">
        <x:v>0.95</x:v>
      </x:c>
      <x:c r="P16" s="204" t="n">
        <x:v>0.35</x:v>
      </x:c>
      <x:c r="Q16" s="206" t="n">
        <x:f>K16*P16</x:f>
        <x:v>110250</x:v>
      </x:c>
      <x:c r="R16" s="206" t="n">
        <x:f>IF(S16="High",Q16,IF(S16="Medium",Q16*0.75,Q16*0.35))</x:f>
        <x:v>82687.5</x:v>
      </x:c>
      <x:c r="S16" s="208" t="str">
        <x:v>Medium</x:v>
      </x:c>
      <x:c r="T16" s="206" t="n">
        <x:f>R16*Inputs!$B$9</x:f>
        <x:v>950906.25</x:v>
      </x:c>
      <x:c r="U16" s="144" t="str">
        <x:v>Outside counsel/accounting overlap</x:v>
      </x:c>
      <x:c r="V16" s="115"/>
      <x:c r="W16" s="115"/>
      <x:c r="X16" s="115"/>
      <x:c r="Y16" s="115"/>
      <x:c r="Z16" s="115"/>
    </x:row>
    <x:row r="17" ht="15" hidden="0" customHeight="1">
      <x:c r="A17" s="144" t="str">
        <x:v>SYN-014</x:v>
      </x:c>
      <x:c r="B17" s="144" t="str">
        <x:v>Procurement</x:v>
      </x:c>
      <x:c r="C17" s="144" t="str">
        <x:v>IT hardware and telecom contract rebid</x:v>
      </x:c>
      <x:c r="D17" s="144" t="str">
        <x:v>CIO / CPO</x:v>
      </x:c>
      <x:c r="E17" s="144" t="str">
        <x:v>Not Started</x:v>
      </x:c>
      <x:c r="F17" s="144" t="str">
        <x:v>Low</x:v>
      </x:c>
      <x:c r="G17" s="168" t="n">
        <x:v>46249</x:v>
      </x:c>
      <x:c r="H17" s="168" t="n">
        <x:v>46402</x:v>
      </x:c>
      <x:c r="I17" s="200" t="n">
        <x:v>180000</x:v>
      </x:c>
      <x:c r="J17" s="201" t="n">
        <x:v>0.15</x:v>
      </x:c>
      <x:c r="K17" s="206" t="n">
        <x:f>I17*(1-J17)</x:f>
        <x:v>153000</x:v>
      </x:c>
      <x:c r="L17" s="200" t="n">
        <x:v>25000</x:v>
      </x:c>
      <x:c r="M17" s="204" t="n">
        <x:v>0</x:v>
      </x:c>
      <x:c r="N17" s="204" t="n">
        <x:v>0.35</x:v>
      </x:c>
      <x:c r="O17" s="204" t="n">
        <x:v>0.9</x:v>
      </x:c>
      <x:c r="P17" s="204" t="n">
        <x:v>0</x:v>
      </x:c>
      <x:c r="Q17" s="206" t="n">
        <x:f>K17*P17</x:f>
        <x:v>0</x:v>
      </x:c>
      <x:c r="R17" s="206" t="n">
        <x:f>IF(S17="High",Q17,IF(S17="Medium",Q17*0.75,Q17*0.35))</x:f>
        <x:v>0</x:v>
      </x:c>
      <x:c r="S17" s="208" t="str">
        <x:v>Low</x:v>
      </x:c>
      <x:c r="T17" s="206" t="n">
        <x:f>R17*Inputs!$B$9</x:f>
        <x:v>0</x:v>
      </x:c>
      <x:c r="U17" s="144" t="str">
        <x:v>Tail opportunity</x:v>
      </x:c>
      <x:c r="V17" s="115"/>
      <x:c r="W17" s="115"/>
      <x:c r="X17" s="115"/>
      <x:c r="Y17" s="115"/>
      <x:c r="Z17" s="115"/>
    </x:row>
    <x:row r="18" ht="26.399999618530273" hidden="0" customHeight="1">
      <x:c r="A18" s="144" t="str">
        <x:v>SYN-015</x:v>
      </x:c>
      <x:c r="B18" s="144" t="str">
        <x:v>Supply Chain / Logistics</x:v>
      </x:c>
      <x:c r="C18" s="144" t="str">
        <x:v>Standardize warehouse labor model</x:v>
      </x:c>
      <x:c r="D18" s="144" t="str">
        <x:v>COO</x:v>
      </x:c>
      <x:c r="E18" s="144" t="str">
        <x:v>At Risk</x:v>
      </x:c>
      <x:c r="F18" s="144" t="str">
        <x:v>Medium</x:v>
      </x:c>
      <x:c r="G18" s="168" t="n">
        <x:v>46204</x:v>
      </x:c>
      <x:c r="H18" s="168" t="n">
        <x:v>46446</x:v>
      </x:c>
      <x:c r="I18" s="200" t="n">
        <x:v>620000</x:v>
      </x:c>
      <x:c r="J18" s="201" t="n">
        <x:v>0.3</x:v>
      </x:c>
      <x:c r="K18" s="206" t="n">
        <x:f>I18*(1-J18)</x:f>
        <x:v>434000</x:v>
      </x:c>
      <x:c r="L18" s="200" t="n">
        <x:v>280000</x:v>
      </x:c>
      <x:c r="M18" s="204" t="n">
        <x:v>0.05</x:v>
      </x:c>
      <x:c r="N18" s="204" t="n">
        <x:v>0.3</x:v>
      </x:c>
      <x:c r="O18" s="204" t="n">
        <x:v>0.75</x:v>
      </x:c>
      <x:c r="P18" s="204" t="n">
        <x:v>0.1</x:v>
      </x:c>
      <x:c r="Q18" s="206" t="n">
        <x:f>K18*P18</x:f>
        <x:v>43400</x:v>
      </x:c>
      <x:c r="R18" s="206" t="n">
        <x:f>IF(S18="High",Q18,IF(S18="Medium",Q18*0.75,Q18*0.35))</x:f>
        <x:v>15189.999999999998</x:v>
      </x:c>
      <x:c r="S18" s="208" t="str">
        <x:v>Low</x:v>
      </x:c>
      <x:c r="T18" s="206" t="n">
        <x:f>R18*Inputs!$B$9</x:f>
        <x:v>174684.99999999997</x:v>
      </x:c>
      <x:c r="U18" s="144" t="str">
        <x:v>Labor relations risk</x:v>
      </x:c>
      <x:c r="V18" s="115"/>
      <x:c r="W18" s="115"/>
      <x:c r="X18" s="115"/>
      <x:c r="Y18" s="115"/>
      <x:c r="Z18" s="115"/>
    </x:row>
    <x:row r="19" ht="26.399999618530273" hidden="0" customHeight="1">
      <x:c r="A19" s="144" t="str">
        <x:v>SYN-016</x:v>
      </x:c>
      <x:c r="B19" s="144" t="str">
        <x:v>Finance / Back Office</x:v>
      </x:c>
      <x:c r="C19" s="144" t="str">
        <x:v>Outsource/automate expense processing</x:v>
      </x:c>
      <x:c r="D19" s="144" t="str">
        <x:v>CFO</x:v>
      </x:c>
      <x:c r="E19" s="144" t="str">
        <x:v>Not Started</x:v>
      </x:c>
      <x:c r="F19" s="144" t="str">
        <x:v>Low</x:v>
      </x:c>
      <x:c r="G19" s="168" t="n">
        <x:v>46296</x:v>
      </x:c>
      <x:c r="H19" s="168" t="n">
        <x:v>46507</x:v>
      </x:c>
      <x:c r="I19" s="200" t="n">
        <x:v>210000</x:v>
      </x:c>
      <x:c r="J19" s="201" t="n">
        <x:v>0.18</x:v>
      </x:c>
      <x:c r="K19" s="206" t="n">
        <x:f>I19*(1-J19)</x:f>
        <x:v>172200</x:v>
      </x:c>
      <x:c r="L19" s="200" t="n">
        <x:v>90000</x:v>
      </x:c>
      <x:c r="M19" s="204" t="n">
        <x:v>0</x:v>
      </x:c>
      <x:c r="N19" s="204" t="n">
        <x:v>0.2</x:v>
      </x:c>
      <x:c r="O19" s="204" t="n">
        <x:v>0.8</x:v>
      </x:c>
      <x:c r="P19" s="204" t="n">
        <x:v>0</x:v>
      </x:c>
      <x:c r="Q19" s="206" t="n">
        <x:f>K19*P19</x:f>
        <x:v>0</x:v>
      </x:c>
      <x:c r="R19" s="206" t="n">
        <x:f>IF(S19="High",Q19,IF(S19="Medium",Q19*0.75,Q19*0.35))</x:f>
        <x:v>0</x:v>
      </x:c>
      <x:c r="S19" s="208" t="str">
        <x:v>Low</x:v>
      </x:c>
      <x:c r="T19" s="206" t="n">
        <x:f>R19*Inputs!$B$9</x:f>
        <x:v>0</x:v>
      </x:c>
      <x:c r="U19" s="144" t="str">
        <x:v>Could bundle with AP migration</x:v>
      </x:c>
      <x:c r="V19" s="115"/>
      <x:c r="W19" s="115"/>
      <x:c r="X19" s="115"/>
      <x:c r="Y19" s="115"/>
      <x:c r="Z19" s="115"/>
    </x:row>
    <x:row r="20" ht="26.399999618530273" hidden="0" customHeight="1">
      <x:c r="A20" s="144" t="str">
        <x:v>SYN-017</x:v>
      </x:c>
      <x:c r="B20" s="144" t="str">
        <x:v>Systems / IT</x:v>
      </x:c>
      <x:c r="C20" s="144" t="str">
        <x:v>Terminate duplicate cyber and endpoint tools</x:v>
      </x:c>
      <x:c r="D20" s="144" t="str">
        <x:v>CIO</x:v>
      </x:c>
      <x:c r="E20" s="144" t="str">
        <x:v>Complete</x:v>
      </x:c>
      <x:c r="F20" s="144" t="str">
        <x:v>Medium</x:v>
      </x:c>
      <x:c r="G20" s="168" t="n">
        <x:v>46174</x:v>
      </x:c>
      <x:c r="H20" s="168" t="n">
        <x:v>46266</x:v>
      </x:c>
      <x:c r="I20" s="200" t="n">
        <x:v>260000</x:v>
      </x:c>
      <x:c r="J20" s="201" t="n">
        <x:v>0.05</x:v>
      </x:c>
      <x:c r="K20" s="206" t="n">
        <x:f>I20*(1-J20)</x:f>
        <x:v>247000</x:v>
      </x:c>
      <x:c r="L20" s="200" t="n">
        <x:v>15000</x:v>
      </x:c>
      <x:c r="M20" s="204" t="n">
        <x:v>0.35</x:v>
      </x:c>
      <x:c r="N20" s="204" t="n">
        <x:v>0.75</x:v>
      </x:c>
      <x:c r="O20" s="204" t="n">
        <x:v>1</x:v>
      </x:c>
      <x:c r="P20" s="204" t="n">
        <x:v>0.95</x:v>
      </x:c>
      <x:c r="Q20" s="206" t="n">
        <x:f>K20*P20</x:f>
        <x:v>234650</x:v>
      </x:c>
      <x:c r="R20" s="206" t="n">
        <x:f>IF(S20="High",Q20,IF(S20="Medium",Q20*0.75,Q20*0.35))</x:f>
        <x:v>234650</x:v>
      </x:c>
      <x:c r="S20" s="208" t="str">
        <x:v>High</x:v>
      </x:c>
      <x:c r="T20" s="206" t="n">
        <x:f>R20*Inputs!$B$9</x:f>
        <x:v>2698475</x:v>
      </x:c>
      <x:c r="U20" s="144" t="str">
        <x:v>Termination letters confirmed</x:v>
      </x:c>
      <x:c r="V20" s="115"/>
      <x:c r="W20" s="115"/>
      <x:c r="X20" s="115"/>
      <x:c r="Y20" s="115"/>
      <x:c r="Z20" s="115"/>
    </x:row>
    <x:row r="21" ht="15" hidden="0" customHeight="1">
      <x:c r="A21" s="144" t="str">
        <x:v>SYN-018</x:v>
      </x:c>
      <x:c r="B21" s="144" t="str">
        <x:v>Revenue Leakage</x:v>
      </x:c>
      <x:c r="C21" s="144" t="str">
        <x:v>Harmonize surcharge pass-through policy</x:v>
      </x:c>
      <x:c r="D21" s="144" t="str">
        <x:v>CFO / CRO</x:v>
      </x:c>
      <x:c r="E21" s="144" t="str">
        <x:v>In Progress</x:v>
      </x:c>
      <x:c r="F21" s="144" t="str">
        <x:v>High</x:v>
      </x:c>
      <x:c r="G21" s="168" t="n">
        <x:v>46188</x:v>
      </x:c>
      <x:c r="H21" s="168" t="n">
        <x:v>46310</x:v>
      </x:c>
      <x:c r="I21" s="200" t="n">
        <x:v>700000</x:v>
      </x:c>
      <x:c r="J21" s="201" t="n">
        <x:v>0.15</x:v>
      </x:c>
      <x:c r="K21" s="206" t="n">
        <x:f>I21*(1-J21)</x:f>
        <x:v>595000</x:v>
      </x:c>
      <x:c r="L21" s="200" t="n">
        <x:v>50000</x:v>
      </x:c>
      <x:c r="M21" s="204" t="n">
        <x:v>0.3</x:v>
      </x:c>
      <x:c r="N21" s="204" t="n">
        <x:v>0.7</x:v>
      </x:c>
      <x:c r="O21" s="204" t="n">
        <x:v>0.95</x:v>
      </x:c>
      <x:c r="P21" s="204" t="n">
        <x:v>0.5</x:v>
      </x:c>
      <x:c r="Q21" s="206" t="n">
        <x:f>K21*P21</x:f>
        <x:v>297500</x:v>
      </x:c>
      <x:c r="R21" s="206" t="n">
        <x:f>IF(S21="High",Q21,IF(S21="Medium",Q21*0.75,Q21*0.35))</x:f>
        <x:v>223125</x:v>
      </x:c>
      <x:c r="S21" s="208" t="str">
        <x:v>Medium</x:v>
      </x:c>
      <x:c r="T21" s="206" t="n">
        <x:f>R21*Inputs!$B$9</x:f>
        <x:v>2565937.5</x:v>
      </x:c>
      <x:c r="U21" s="144" t="str">
        <x:v>Requires sales comp alignment</x:v>
      </x:c>
      <x:c r="V21" s="115"/>
      <x:c r="W21" s="115"/>
      <x:c r="X21" s="115"/>
      <x:c r="Y21" s="115"/>
      <x:c r="Z21" s="115"/>
    </x:row>
    <x:row r="22" ht="15" hidden="0" customHeight="1">
      <x:c r="A22" s="144" t="str">
        <x:v>SYN-019</x:v>
      </x:c>
      <x:c r="B22" s="144" t="str">
        <x:v>Facilities / Footprint</x:v>
      </x:c>
      <x:c r="C22" s="144" t="str">
        <x:v>Consolidate warehouse overflow space</x:v>
      </x:c>
      <x:c r="D22" s="144" t="str">
        <x:v>COO</x:v>
      </x:c>
      <x:c r="E22" s="144" t="str">
        <x:v>Not Started</x:v>
      </x:c>
      <x:c r="F22" s="144" t="str">
        <x:v>Medium</x:v>
      </x:c>
      <x:c r="G22" s="168" t="n">
        <x:v>46266</x:v>
      </x:c>
      <x:c r="H22" s="168" t="n">
        <x:v>46538</x:v>
      </x:c>
      <x:c r="I22" s="200" t="n">
        <x:v>440000</x:v>
      </x:c>
      <x:c r="J22" s="201" t="n">
        <x:v>0.25</x:v>
      </x:c>
      <x:c r="K22" s="206" t="n">
        <x:f>I22*(1-J22)</x:f>
        <x:v>330000</x:v>
      </x:c>
      <x:c r="L22" s="200" t="n">
        <x:v>380000</x:v>
      </x:c>
      <x:c r="M22" s="204" t="n">
        <x:v>0</x:v>
      </x:c>
      <x:c r="N22" s="204" t="n">
        <x:v>0.15</x:v>
      </x:c>
      <x:c r="O22" s="204" t="n">
        <x:v>0.75</x:v>
      </x:c>
      <x:c r="P22" s="204" t="n">
        <x:v>0</x:v>
      </x:c>
      <x:c r="Q22" s="206" t="n">
        <x:f>K22*P22</x:f>
        <x:v>0</x:v>
      </x:c>
      <x:c r="R22" s="206" t="n">
        <x:f>IF(S22="High",Q22,IF(S22="Medium",Q22*0.75,Q22*0.35))</x:f>
        <x:v>0</x:v>
      </x:c>
      <x:c r="S22" s="208" t="str">
        <x:v>Low</x:v>
      </x:c>
      <x:c r="T22" s="206" t="n">
        <x:f>R22*Inputs!$B$9</x:f>
        <x:v>0</x:v>
      </x:c>
      <x:c r="U22" s="144" t="str">
        <x:v>Inventory cleanup dependency</x:v>
      </x:c>
      <x:c r="V22" s="115"/>
      <x:c r="W22" s="115"/>
      <x:c r="X22" s="115"/>
      <x:c r="Y22" s="115"/>
      <x:c r="Z22" s="115"/>
    </x:row>
    <x:row r="23" ht="15" hidden="0" customHeight="1">
      <x:c r="A23" s="144" t="str">
        <x:v>SYN-020</x:v>
      </x:c>
      <x:c r="B23" s="144" t="str">
        <x:v>G&amp;A / SG&amp;A</x:v>
      </x:c>
      <x:c r="C23" s="144" t="str">
        <x:v>Insurance broker consolidation</x:v>
      </x:c>
      <x:c r="D23" s="144" t="str">
        <x:v>CFO</x:v>
      </x:c>
      <x:c r="E23" s="144" t="str">
        <x:v>In Progress</x:v>
      </x:c>
      <x:c r="F23" s="144" t="str">
        <x:v>Low</x:v>
      </x:c>
      <x:c r="G23" s="168" t="n">
        <x:v>46218</x:v>
      </x:c>
      <x:c r="H23" s="168" t="n">
        <x:v>46371</x:v>
      </x:c>
      <x:c r="I23" s="200" t="n">
        <x:v>270000</x:v>
      </x:c>
      <x:c r="J23" s="201" t="n">
        <x:v>0.1</x:v>
      </x:c>
      <x:c r="K23" s="206" t="n">
        <x:f>I23*(1-J23)</x:f>
        <x:v>243000</x:v>
      </x:c>
      <x:c r="L23" s="200" t="n">
        <x:v>20000</x:v>
      </x:c>
      <x:c r="M23" s="204" t="n">
        <x:v>0.1</x:v>
      </x:c>
      <x:c r="N23" s="204" t="n">
        <x:v>0.5</x:v>
      </x:c>
      <x:c r="O23" s="204" t="n">
        <x:v>0.95</x:v>
      </x:c>
      <x:c r="P23" s="204" t="n">
        <x:v>0.3</x:v>
      </x:c>
      <x:c r="Q23" s="206" t="n">
        <x:f>K23*P23</x:f>
        <x:v>72900</x:v>
      </x:c>
      <x:c r="R23" s="206" t="n">
        <x:f>IF(S23="High",Q23,IF(S23="Medium",Q23*0.75,Q23*0.35))</x:f>
        <x:v>54675</x:v>
      </x:c>
      <x:c r="S23" s="208" t="str">
        <x:v>Medium</x:v>
      </x:c>
      <x:c r="T23" s="206" t="n">
        <x:f>R23*Inputs!$B$9</x:f>
        <x:v>628762.5</x:v>
      </x:c>
      <x:c r="U23" s="144" t="str">
        <x:v>Benchmark underway</x:v>
      </x:c>
      <x:c r="V23" s="115"/>
      <x:c r="W23" s="115"/>
      <x:c r="X23" s="115"/>
      <x:c r="Y23" s="115"/>
      <x:c r="Z23" s="115"/>
    </x:row>
    <x:row r="24" ht="15" hidden="0" customHeight="1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  <x:c r="S24" s="115"/>
      <x:c r="T24" s="115"/>
      <x:c r="U24" s="115"/>
      <x:c r="V24" s="115"/>
      <x:c r="W24" s="115"/>
      <x:c r="X24" s="115"/>
      <x:c r="Y24" s="115"/>
      <x:c r="Z24" s="115"/>
    </x:row>
    <x:row r="25" ht="15" hidden="0" customHeight="1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  <x:c r="S25" s="115"/>
      <x:c r="T25" s="115"/>
      <x:c r="U25" s="115"/>
      <x:c r="V25" s="115"/>
      <x:c r="W25" s="115"/>
      <x:c r="X25" s="115"/>
      <x:c r="Y25" s="115"/>
      <x:c r="Z25" s="115"/>
    </x:row>
    <x:row r="26" ht="15" hidden="0" customHeight="1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  <x:c r="S26" s="115"/>
      <x:c r="T26" s="115"/>
      <x:c r="U26" s="115"/>
      <x:c r="V26" s="115"/>
      <x:c r="W26" s="115"/>
      <x:c r="X26" s="115"/>
      <x:c r="Y26" s="115"/>
      <x:c r="Z26" s="115"/>
    </x:row>
    <x:row r="27" ht="15" hidden="0" customHeight="1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  <x:c r="S27" s="115"/>
      <x:c r="T27" s="115"/>
      <x:c r="U27" s="115"/>
      <x:c r="V27" s="115"/>
      <x:c r="W27" s="115"/>
      <x:c r="X27" s="115"/>
      <x:c r="Y27" s="115"/>
      <x:c r="Z27" s="115"/>
    </x:row>
    <x:row r="28" ht="15" hidden="0" customHeight="1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  <x:c r="S28" s="115"/>
      <x:c r="T28" s="115"/>
      <x:c r="U28" s="115"/>
      <x:c r="V28" s="115"/>
      <x:c r="W28" s="115"/>
      <x:c r="X28" s="115"/>
      <x:c r="Y28" s="115"/>
      <x:c r="Z28" s="115"/>
    </x:row>
    <x:row r="29" ht="15" hidden="0" customHeight="1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  <x:c r="S29" s="115"/>
      <x:c r="T29" s="115"/>
      <x:c r="U29" s="115"/>
      <x:c r="V29" s="115"/>
      <x:c r="W29" s="115"/>
      <x:c r="X29" s="115"/>
      <x:c r="Y29" s="115"/>
      <x:c r="Z29" s="115"/>
    </x:row>
    <x:row r="30" ht="15" hidden="0" customHeight="1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  <x:c r="S30" s="115"/>
      <x:c r="T30" s="115"/>
      <x:c r="U30" s="115"/>
      <x:c r="V30" s="115"/>
      <x:c r="W30" s="115"/>
      <x:c r="X30" s="115"/>
      <x:c r="Y30" s="115"/>
      <x:c r="Z30" s="115"/>
    </x:row>
    <x:row r="31" ht="15" hidden="0" customHeight="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  <x:c r="S31" s="115"/>
      <x:c r="T31" s="115"/>
      <x:c r="U31" s="115"/>
      <x:c r="V31" s="115"/>
      <x:c r="W31" s="115"/>
      <x:c r="X31" s="115"/>
      <x:c r="Y31" s="115"/>
      <x:c r="Z31" s="115"/>
    </x:row>
    <x:row r="32" ht="15" hidden="0" customHeight="1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  <x:c r="S32" s="115"/>
      <x:c r="T32" s="115"/>
      <x:c r="U32" s="115"/>
      <x:c r="V32" s="115"/>
      <x:c r="W32" s="115"/>
      <x:c r="X32" s="115"/>
      <x:c r="Y32" s="115"/>
      <x:c r="Z32" s="115"/>
    </x:row>
    <x:row r="33" ht="15" hidden="0" customHeight="1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  <x:c r="S33" s="115"/>
      <x:c r="T33" s="115"/>
      <x:c r="U33" s="115"/>
      <x:c r="V33" s="115"/>
      <x:c r="W33" s="115"/>
      <x:c r="X33" s="115"/>
      <x:c r="Y33" s="115"/>
      <x:c r="Z33" s="115"/>
    </x:row>
    <x:row r="34" ht="15" hidden="0" customHeight="1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  <x:c r="S34" s="115"/>
      <x:c r="T34" s="115"/>
      <x:c r="U34" s="115"/>
      <x:c r="V34" s="115"/>
      <x:c r="W34" s="115"/>
      <x:c r="X34" s="115"/>
      <x:c r="Y34" s="115"/>
      <x:c r="Z34" s="115"/>
    </x:row>
    <x:row r="35" ht="15" hidden="0" customHeight="1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  <x:c r="S35" s="115"/>
      <x:c r="T35" s="115"/>
      <x:c r="U35" s="115"/>
      <x:c r="V35" s="115"/>
      <x:c r="W35" s="115"/>
      <x:c r="X35" s="115"/>
      <x:c r="Y35" s="115"/>
      <x:c r="Z35" s="115"/>
    </x:row>
    <x:row r="36" ht="15" hidden="0" customHeight="1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  <x:c r="S36" s="115"/>
      <x:c r="T36" s="115"/>
      <x:c r="U36" s="115"/>
      <x:c r="V36" s="115"/>
      <x:c r="W36" s="115"/>
      <x:c r="X36" s="115"/>
      <x:c r="Y36" s="115"/>
      <x:c r="Z36" s="115"/>
    </x:row>
    <x:row r="37" ht="15" hidden="0" customHeight="1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  <x:c r="S37" s="115"/>
      <x:c r="T37" s="115"/>
      <x:c r="U37" s="115"/>
      <x:c r="V37" s="115"/>
      <x:c r="W37" s="115"/>
      <x:c r="X37" s="115"/>
      <x:c r="Y37" s="115"/>
      <x:c r="Z37" s="115"/>
    </x:row>
    <x:row r="38" ht="15" hidden="0" customHeight="1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  <x:c r="S38" s="115"/>
      <x:c r="T38" s="115"/>
      <x:c r="U38" s="115"/>
      <x:c r="V38" s="115"/>
      <x:c r="W38" s="115"/>
      <x:c r="X38" s="115"/>
      <x:c r="Y38" s="115"/>
      <x:c r="Z38" s="115"/>
    </x:row>
    <x:row r="39" ht="15" hidden="0" customHeight="1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  <x:c r="S39" s="115"/>
      <x:c r="T39" s="115"/>
      <x:c r="U39" s="115"/>
      <x:c r="V39" s="115"/>
      <x:c r="W39" s="115"/>
      <x:c r="X39" s="115"/>
      <x:c r="Y39" s="115"/>
      <x:c r="Z39" s="115"/>
    </x:row>
    <x:row r="40" ht="15" hidden="0" customHeight="1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  <x:c r="S40" s="115"/>
      <x:c r="T40" s="115"/>
      <x:c r="U40" s="115"/>
      <x:c r="V40" s="115"/>
      <x:c r="W40" s="115"/>
      <x:c r="X40" s="115"/>
      <x:c r="Y40" s="115"/>
      <x:c r="Z40" s="115"/>
    </x:row>
    <x:row r="41" ht="15" hidden="0" customHeight="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  <x:c r="S41" s="115"/>
      <x:c r="T41" s="115"/>
      <x:c r="U41" s="115"/>
      <x:c r="V41" s="115"/>
      <x:c r="W41" s="115"/>
      <x:c r="X41" s="115"/>
      <x:c r="Y41" s="115"/>
      <x:c r="Z41" s="115"/>
    </x:row>
    <x:row r="42" ht="15" hidden="0" customHeight="1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5"/>
      <x:c r="U42" s="115"/>
      <x:c r="V42" s="115"/>
      <x:c r="W42" s="115"/>
      <x:c r="X42" s="115"/>
      <x:c r="Y42" s="115"/>
      <x:c r="Z42" s="115"/>
    </x:row>
    <x:row r="43" ht="15" hidden="0" customHeight="1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  <x:c r="S43" s="115"/>
      <x:c r="T43" s="115"/>
      <x:c r="U43" s="115"/>
      <x:c r="V43" s="115"/>
      <x:c r="W43" s="115"/>
      <x:c r="X43" s="115"/>
      <x:c r="Y43" s="115"/>
      <x:c r="Z43" s="115"/>
    </x:row>
    <x:row r="44" ht="15" hidden="0" customHeight="1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  <x:c r="S44" s="115"/>
      <x:c r="T44" s="115"/>
      <x:c r="U44" s="115"/>
      <x:c r="V44" s="115"/>
      <x:c r="W44" s="115"/>
      <x:c r="X44" s="115"/>
      <x:c r="Y44" s="115"/>
      <x:c r="Z44" s="115"/>
    </x:row>
    <x:row r="45" ht="15" hidden="0" customHeight="1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  <x:c r="S45" s="115"/>
      <x:c r="T45" s="115"/>
      <x:c r="U45" s="115"/>
      <x:c r="V45" s="115"/>
      <x:c r="W45" s="115"/>
      <x:c r="X45" s="115"/>
      <x:c r="Y45" s="115"/>
      <x:c r="Z45" s="115"/>
    </x:row>
    <x:row r="46" ht="15" hidden="0" customHeight="1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  <x:c r="S46" s="115"/>
      <x:c r="T46" s="115"/>
      <x:c r="U46" s="115"/>
      <x:c r="V46" s="115"/>
      <x:c r="W46" s="115"/>
      <x:c r="X46" s="115"/>
      <x:c r="Y46" s="115"/>
      <x:c r="Z46" s="115"/>
    </x:row>
    <x:row r="47" ht="15" hidden="0" customHeight="1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  <x:c r="S47" s="115"/>
      <x:c r="T47" s="115"/>
      <x:c r="U47" s="115"/>
      <x:c r="V47" s="115"/>
      <x:c r="W47" s="115"/>
      <x:c r="X47" s="115"/>
      <x:c r="Y47" s="115"/>
      <x:c r="Z47" s="115"/>
    </x:row>
    <x:row r="48" ht="15" hidden="0" customHeight="1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  <x:c r="S48" s="115"/>
      <x:c r="T48" s="115"/>
      <x:c r="U48" s="115"/>
      <x:c r="V48" s="115"/>
      <x:c r="W48" s="115"/>
      <x:c r="X48" s="115"/>
      <x:c r="Y48" s="115"/>
      <x:c r="Z48" s="115"/>
    </x:row>
    <x:row r="49" ht="15" hidden="0" customHeight="1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  <x:c r="S49" s="115"/>
      <x:c r="T49" s="115"/>
      <x:c r="U49" s="115"/>
      <x:c r="V49" s="115"/>
      <x:c r="W49" s="115"/>
      <x:c r="X49" s="115"/>
      <x:c r="Y49" s="115"/>
      <x:c r="Z49" s="115"/>
    </x:row>
    <x:row r="50" ht="15" hidden="0" customHeight="1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  <x:c r="S50" s="115"/>
      <x:c r="T50" s="115"/>
      <x:c r="U50" s="115"/>
      <x:c r="V50" s="115"/>
      <x:c r="W50" s="115"/>
      <x:c r="X50" s="115"/>
      <x:c r="Y50" s="115"/>
      <x:c r="Z50" s="115"/>
    </x:row>
    <x:row r="51" ht="15" hidden="0" customHeight="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  <x:c r="S51" s="115"/>
      <x:c r="T51" s="115"/>
      <x:c r="U51" s="115"/>
      <x:c r="V51" s="115"/>
      <x:c r="W51" s="115"/>
      <x:c r="X51" s="115"/>
      <x:c r="Y51" s="115"/>
      <x:c r="Z51" s="115"/>
    </x:row>
    <x:row r="52" ht="15" hidden="0" customHeight="1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  <x:c r="S52" s="115"/>
      <x:c r="T52" s="115"/>
      <x:c r="U52" s="115"/>
      <x:c r="V52" s="115"/>
      <x:c r="W52" s="115"/>
      <x:c r="X52" s="115"/>
      <x:c r="Y52" s="115"/>
      <x:c r="Z52" s="115"/>
    </x:row>
    <x:row r="53" ht="15" hidden="0" customHeight="1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  <x:c r="S53" s="115"/>
      <x:c r="T53" s="115"/>
      <x:c r="U53" s="115"/>
      <x:c r="V53" s="115"/>
      <x:c r="W53" s="115"/>
      <x:c r="X53" s="115"/>
      <x:c r="Y53" s="115"/>
      <x:c r="Z53" s="115"/>
    </x:row>
    <x:row r="54" ht="15" hidden="0" customHeight="1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  <x:c r="S54" s="115"/>
      <x:c r="T54" s="115"/>
      <x:c r="U54" s="115"/>
      <x:c r="V54" s="115"/>
      <x:c r="W54" s="115"/>
      <x:c r="X54" s="115"/>
      <x:c r="Y54" s="115"/>
      <x:c r="Z54" s="115"/>
    </x:row>
    <x:row r="55" ht="15" hidden="0" customHeight="1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  <x:c r="S55" s="115"/>
      <x:c r="T55" s="115"/>
      <x:c r="U55" s="115"/>
      <x:c r="V55" s="115"/>
      <x:c r="W55" s="115"/>
      <x:c r="X55" s="115"/>
      <x:c r="Y55" s="115"/>
      <x:c r="Z55" s="115"/>
    </x:row>
    <x:row r="56" ht="15" hidden="0" customHeight="1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  <x:c r="S56" s="115"/>
      <x:c r="T56" s="115"/>
      <x:c r="U56" s="115"/>
      <x:c r="V56" s="115"/>
      <x:c r="W56" s="115"/>
      <x:c r="X56" s="115"/>
      <x:c r="Y56" s="115"/>
      <x:c r="Z56" s="115"/>
    </x:row>
    <x:row r="57" ht="15" hidden="0" customHeight="1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  <x:c r="S57" s="115"/>
      <x:c r="T57" s="115"/>
      <x:c r="U57" s="115"/>
      <x:c r="V57" s="115"/>
      <x:c r="W57" s="115"/>
      <x:c r="X57" s="115"/>
      <x:c r="Y57" s="115"/>
      <x:c r="Z57" s="115"/>
    </x:row>
    <x:row r="58" ht="15" hidden="0" customHeight="1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  <x:c r="S58" s="115"/>
      <x:c r="T58" s="115"/>
      <x:c r="U58" s="115"/>
      <x:c r="V58" s="115"/>
      <x:c r="W58" s="115"/>
      <x:c r="X58" s="115"/>
      <x:c r="Y58" s="115"/>
      <x:c r="Z58" s="115"/>
    </x:row>
    <x:row r="59" ht="15" hidden="0" customHeight="1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15"/>
      <x:c r="T59" s="115"/>
      <x:c r="U59" s="115"/>
      <x:c r="V59" s="115"/>
      <x:c r="W59" s="115"/>
      <x:c r="X59" s="115"/>
      <x:c r="Y59" s="115"/>
      <x:c r="Z59" s="115"/>
    </x:row>
    <x:row r="60" ht="15" hidden="0" customHeight="1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15"/>
      <x:c r="T60" s="115"/>
      <x:c r="U60" s="115"/>
      <x:c r="V60" s="115"/>
      <x:c r="W60" s="115"/>
      <x:c r="X60" s="115"/>
      <x:c r="Y60" s="115"/>
      <x:c r="Z60" s="115"/>
    </x:row>
    <x:row r="61" ht="15" hidden="0" customHeight="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  <x:c r="S61" s="115"/>
      <x:c r="T61" s="115"/>
      <x:c r="U61" s="115"/>
      <x:c r="V61" s="115"/>
      <x:c r="W61" s="115"/>
      <x:c r="X61" s="115"/>
      <x:c r="Y61" s="115"/>
      <x:c r="Z61" s="115"/>
    </x:row>
    <x:row r="62" ht="15" hidden="0" customHeight="1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  <x:c r="S62" s="115"/>
      <x:c r="T62" s="115"/>
      <x:c r="U62" s="115"/>
      <x:c r="V62" s="115"/>
      <x:c r="W62" s="115"/>
      <x:c r="X62" s="115"/>
      <x:c r="Y62" s="115"/>
      <x:c r="Z62" s="115"/>
    </x:row>
    <x:row r="63" ht="15" hidden="0" customHeight="1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5"/>
      <x:c r="T63" s="115"/>
      <x:c r="U63" s="115"/>
      <x:c r="V63" s="115"/>
      <x:c r="W63" s="115"/>
      <x:c r="X63" s="115"/>
      <x:c r="Y63" s="115"/>
      <x:c r="Z63" s="115"/>
    </x:row>
    <x:row r="64" ht="15" hidden="0" customHeight="1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  <x:c r="S64" s="115"/>
      <x:c r="T64" s="115"/>
      <x:c r="U64" s="115"/>
      <x:c r="V64" s="115"/>
      <x:c r="W64" s="115"/>
      <x:c r="X64" s="115"/>
      <x:c r="Y64" s="115"/>
      <x:c r="Z64" s="115"/>
    </x:row>
    <x:row r="65" ht="15" hidden="0" customHeight="1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  <x:c r="S65" s="115"/>
      <x:c r="T65" s="115"/>
      <x:c r="U65" s="115"/>
      <x:c r="V65" s="115"/>
      <x:c r="W65" s="115"/>
      <x:c r="X65" s="115"/>
      <x:c r="Y65" s="115"/>
      <x:c r="Z65" s="115"/>
    </x:row>
    <x:row r="66" ht="15" hidden="0" customHeight="1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  <x:c r="S66" s="115"/>
      <x:c r="T66" s="115"/>
      <x:c r="U66" s="115"/>
      <x:c r="V66" s="115"/>
      <x:c r="W66" s="115"/>
      <x:c r="X66" s="115"/>
      <x:c r="Y66" s="115"/>
      <x:c r="Z66" s="115"/>
    </x:row>
    <x:row r="67" ht="15" hidden="0" customHeight="1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  <x:c r="S67" s="115"/>
      <x:c r="T67" s="115"/>
      <x:c r="U67" s="115"/>
      <x:c r="V67" s="115"/>
      <x:c r="W67" s="115"/>
      <x:c r="X67" s="115"/>
      <x:c r="Y67" s="115"/>
      <x:c r="Z67" s="115"/>
    </x:row>
    <x:row r="68" ht="15" hidden="0" customHeight="1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  <x:c r="S68" s="115"/>
      <x:c r="T68" s="115"/>
      <x:c r="U68" s="115"/>
      <x:c r="V68" s="115"/>
      <x:c r="W68" s="115"/>
      <x:c r="X68" s="115"/>
      <x:c r="Y68" s="115"/>
      <x:c r="Z68" s="115"/>
    </x:row>
    <x:row r="69" ht="15" hidden="0" customHeight="1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  <x:c r="S69" s="115"/>
      <x:c r="T69" s="115"/>
      <x:c r="U69" s="115"/>
      <x:c r="V69" s="115"/>
      <x:c r="W69" s="115"/>
      <x:c r="X69" s="115"/>
      <x:c r="Y69" s="115"/>
      <x:c r="Z69" s="115"/>
    </x:row>
    <x:row r="70" ht="15" hidden="0" customHeight="1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  <x:c r="S70" s="115"/>
      <x:c r="T70" s="115"/>
      <x:c r="U70" s="115"/>
      <x:c r="V70" s="115"/>
      <x:c r="W70" s="115"/>
      <x:c r="X70" s="115"/>
      <x:c r="Y70" s="115"/>
      <x:c r="Z70" s="115"/>
    </x:row>
    <x:row r="71" ht="15" hidden="0" customHeight="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  <x:c r="S71" s="115"/>
      <x:c r="T71" s="115"/>
      <x:c r="U71" s="115"/>
      <x:c r="V71" s="115"/>
      <x:c r="W71" s="115"/>
      <x:c r="X71" s="115"/>
      <x:c r="Y71" s="115"/>
      <x:c r="Z71" s="115"/>
    </x:row>
    <x:row r="72" ht="15" hidden="0" customHeight="1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  <x:c r="S72" s="115"/>
      <x:c r="T72" s="115"/>
      <x:c r="U72" s="115"/>
      <x:c r="V72" s="115"/>
      <x:c r="W72" s="115"/>
      <x:c r="X72" s="115"/>
      <x:c r="Y72" s="115"/>
      <x:c r="Z72" s="115"/>
    </x:row>
    <x:row r="73" ht="15" hidden="0" customHeight="1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  <x:c r="S73" s="115"/>
      <x:c r="T73" s="115"/>
      <x:c r="U73" s="115"/>
      <x:c r="V73" s="115"/>
      <x:c r="W73" s="115"/>
      <x:c r="X73" s="115"/>
      <x:c r="Y73" s="115"/>
      <x:c r="Z73" s="115"/>
    </x:row>
    <x:row r="74" ht="15" hidden="0" customHeight="1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  <x:c r="S74" s="115"/>
      <x:c r="T74" s="115"/>
      <x:c r="U74" s="115"/>
      <x:c r="V74" s="115"/>
      <x:c r="W74" s="115"/>
      <x:c r="X74" s="115"/>
      <x:c r="Y74" s="115"/>
      <x:c r="Z74" s="115"/>
    </x:row>
    <x:row r="75" ht="15" hidden="0" customHeight="1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  <x:c r="S75" s="115"/>
      <x:c r="T75" s="115"/>
      <x:c r="U75" s="115"/>
      <x:c r="V75" s="115"/>
      <x:c r="W75" s="115"/>
      <x:c r="X75" s="115"/>
      <x:c r="Y75" s="115"/>
      <x:c r="Z75" s="115"/>
    </x:row>
    <x:row r="76" ht="15" hidden="0" customHeight="1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  <x:c r="S76" s="115"/>
      <x:c r="T76" s="115"/>
      <x:c r="U76" s="115"/>
      <x:c r="V76" s="115"/>
      <x:c r="W76" s="115"/>
      <x:c r="X76" s="115"/>
      <x:c r="Y76" s="115"/>
      <x:c r="Z76" s="115"/>
    </x:row>
    <x:row r="77" ht="15" hidden="0" customHeight="1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  <x:c r="S77" s="115"/>
      <x:c r="T77" s="115"/>
      <x:c r="U77" s="115"/>
      <x:c r="V77" s="115"/>
      <x:c r="W77" s="115"/>
      <x:c r="X77" s="115"/>
      <x:c r="Y77" s="115"/>
      <x:c r="Z77" s="115"/>
    </x:row>
    <x:row r="78" ht="15" hidden="0" customHeight="1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5"/>
      <x:c r="T78" s="115"/>
      <x:c r="U78" s="115"/>
      <x:c r="V78" s="115"/>
      <x:c r="W78" s="115"/>
      <x:c r="X78" s="115"/>
      <x:c r="Y78" s="115"/>
      <x:c r="Z78" s="115"/>
    </x:row>
    <x:row r="79" ht="15" hidden="0" customHeight="1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  <x:c r="S79" s="115"/>
      <x:c r="T79" s="115"/>
      <x:c r="U79" s="115"/>
      <x:c r="V79" s="115"/>
      <x:c r="W79" s="115"/>
      <x:c r="X79" s="115"/>
      <x:c r="Y79" s="115"/>
      <x:c r="Z79" s="115"/>
    </x:row>
    <x:row r="80" ht="15" hidden="0" customHeight="1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  <x:c r="S80" s="115"/>
      <x:c r="T80" s="115"/>
      <x:c r="U80" s="115"/>
      <x:c r="V80" s="115"/>
      <x:c r="W80" s="115"/>
      <x:c r="X80" s="115"/>
      <x:c r="Y80" s="115"/>
      <x:c r="Z80" s="115"/>
    </x:row>
    <x:row r="81" ht="15" hidden="0" customHeight="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  <x:c r="S81" s="115"/>
      <x:c r="T81" s="115"/>
      <x:c r="U81" s="115"/>
      <x:c r="V81" s="115"/>
      <x:c r="W81" s="115"/>
      <x:c r="X81" s="115"/>
      <x:c r="Y81" s="115"/>
      <x:c r="Z81" s="115"/>
    </x:row>
    <x:row r="82" ht="15" hidden="0" customHeight="1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  <x:c r="S82" s="115"/>
      <x:c r="T82" s="115"/>
      <x:c r="U82" s="115"/>
      <x:c r="V82" s="115"/>
      <x:c r="W82" s="115"/>
      <x:c r="X82" s="115"/>
      <x:c r="Y82" s="115"/>
      <x:c r="Z82" s="115"/>
    </x:row>
    <x:row r="83" ht="15" hidden="0" customHeight="1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  <x:c r="S83" s="115"/>
      <x:c r="T83" s="115"/>
      <x:c r="U83" s="115"/>
      <x:c r="V83" s="115"/>
      <x:c r="W83" s="115"/>
      <x:c r="X83" s="115"/>
      <x:c r="Y83" s="115"/>
      <x:c r="Z83" s="115"/>
    </x:row>
    <x:row r="84" ht="15" hidden="0" customHeight="1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  <x:c r="S84" s="115"/>
      <x:c r="T84" s="115"/>
      <x:c r="U84" s="115"/>
      <x:c r="V84" s="115"/>
      <x:c r="W84" s="115"/>
      <x:c r="X84" s="115"/>
      <x:c r="Y84" s="115"/>
      <x:c r="Z84" s="115"/>
    </x:row>
    <x:row r="85" ht="15" hidden="0" customHeight="1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  <x:c r="S85" s="115"/>
      <x:c r="T85" s="115"/>
      <x:c r="U85" s="115"/>
      <x:c r="V85" s="115"/>
      <x:c r="W85" s="115"/>
      <x:c r="X85" s="115"/>
      <x:c r="Y85" s="115"/>
      <x:c r="Z85" s="115"/>
    </x:row>
    <x:row r="86" ht="15" hidden="0" customHeight="1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  <x:c r="S86" s="115"/>
      <x:c r="T86" s="115"/>
      <x:c r="U86" s="115"/>
      <x:c r="V86" s="115"/>
      <x:c r="W86" s="115"/>
      <x:c r="X86" s="115"/>
      <x:c r="Y86" s="115"/>
      <x:c r="Z86" s="115"/>
    </x:row>
    <x:row r="87" ht="15" hidden="0" customHeight="1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  <x:c r="S87" s="115"/>
      <x:c r="T87" s="115"/>
      <x:c r="U87" s="115"/>
      <x:c r="V87" s="115"/>
      <x:c r="W87" s="115"/>
      <x:c r="X87" s="115"/>
      <x:c r="Y87" s="115"/>
      <x:c r="Z87" s="115"/>
    </x:row>
    <x:row r="88" ht="15" hidden="0" customHeight="1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  <x:c r="S88" s="115"/>
      <x:c r="T88" s="115"/>
      <x:c r="U88" s="115"/>
      <x:c r="V88" s="115"/>
      <x:c r="W88" s="115"/>
      <x:c r="X88" s="115"/>
      <x:c r="Y88" s="115"/>
      <x:c r="Z88" s="115"/>
    </x:row>
    <x:row r="89" ht="15" hidden="0" customHeight="1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  <x:c r="S89" s="115"/>
      <x:c r="T89" s="115"/>
      <x:c r="U89" s="115"/>
      <x:c r="V89" s="115"/>
      <x:c r="W89" s="115"/>
      <x:c r="X89" s="115"/>
      <x:c r="Y89" s="115"/>
      <x:c r="Z89" s="115"/>
    </x:row>
    <x:row r="90" ht="15" hidden="0" customHeight="1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  <x:c r="S90" s="115"/>
      <x:c r="T90" s="115"/>
      <x:c r="U90" s="115"/>
      <x:c r="V90" s="115"/>
      <x:c r="W90" s="115"/>
      <x:c r="X90" s="115"/>
      <x:c r="Y90" s="115"/>
      <x:c r="Z90" s="115"/>
    </x:row>
    <x:row r="91" ht="15" hidden="0" customHeight="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  <x:c r="S91" s="115"/>
      <x:c r="T91" s="115"/>
      <x:c r="U91" s="115"/>
      <x:c r="V91" s="115"/>
      <x:c r="W91" s="115"/>
      <x:c r="X91" s="115"/>
      <x:c r="Y91" s="115"/>
      <x:c r="Z91" s="115"/>
    </x:row>
    <x:row r="92" ht="15" hidden="0" customHeight="1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  <x:c r="S92" s="115"/>
      <x:c r="T92" s="115"/>
      <x:c r="U92" s="115"/>
      <x:c r="V92" s="115"/>
      <x:c r="W92" s="115"/>
      <x:c r="X92" s="115"/>
      <x:c r="Y92" s="115"/>
      <x:c r="Z92" s="115"/>
    </x:row>
    <x:row r="93" ht="15" hidden="0" customHeight="1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  <x:c r="S93" s="115"/>
      <x:c r="T93" s="115"/>
      <x:c r="U93" s="115"/>
      <x:c r="V93" s="115"/>
      <x:c r="W93" s="115"/>
      <x:c r="X93" s="115"/>
      <x:c r="Y93" s="115"/>
      <x:c r="Z93" s="115"/>
    </x:row>
    <x:row r="94" ht="15" hidden="0" customHeight="1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  <x:c r="S94" s="115"/>
      <x:c r="T94" s="115"/>
      <x:c r="U94" s="115"/>
      <x:c r="V94" s="115"/>
      <x:c r="W94" s="115"/>
      <x:c r="X94" s="115"/>
      <x:c r="Y94" s="115"/>
      <x:c r="Z94" s="115"/>
    </x:row>
    <x:row r="95" ht="15" hidden="0" customHeight="1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  <x:c r="S95" s="115"/>
      <x:c r="T95" s="115"/>
      <x:c r="U95" s="115"/>
      <x:c r="V95" s="115"/>
      <x:c r="W95" s="115"/>
      <x:c r="X95" s="115"/>
      <x:c r="Y95" s="115"/>
      <x:c r="Z95" s="115"/>
    </x:row>
    <x:row r="96" ht="15" hidden="0" customHeight="1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  <x:c r="S96" s="115"/>
      <x:c r="T96" s="115"/>
      <x:c r="U96" s="115"/>
      <x:c r="V96" s="115"/>
      <x:c r="W96" s="115"/>
      <x:c r="X96" s="115"/>
      <x:c r="Y96" s="115"/>
      <x:c r="Z96" s="115"/>
    </x:row>
    <x:row r="97" ht="15" hidden="0" customHeight="1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  <x:c r="S97" s="115"/>
      <x:c r="T97" s="115"/>
      <x:c r="U97" s="115"/>
      <x:c r="V97" s="115"/>
      <x:c r="W97" s="115"/>
      <x:c r="X97" s="115"/>
      <x:c r="Y97" s="115"/>
      <x:c r="Z97" s="115"/>
    </x:row>
    <x:row r="98" ht="15" hidden="0" customHeight="1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  <x:c r="S98" s="115"/>
      <x:c r="T98" s="115"/>
      <x:c r="U98" s="115"/>
      <x:c r="V98" s="115"/>
      <x:c r="W98" s="115"/>
      <x:c r="X98" s="115"/>
      <x:c r="Y98" s="115"/>
      <x:c r="Z98" s="115"/>
    </x:row>
    <x:row r="99" ht="15" hidden="0" customHeight="1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  <x:c r="S99" s="115"/>
      <x:c r="T99" s="115"/>
      <x:c r="U99" s="115"/>
      <x:c r="V99" s="115"/>
      <x:c r="W99" s="115"/>
      <x:c r="X99" s="115"/>
      <x:c r="Y99" s="115"/>
      <x:c r="Z99" s="115"/>
    </x:row>
    <x:row r="100" ht="15" hidden="0" customHeight="1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  <x:c r="S100" s="115"/>
      <x:c r="T100" s="115"/>
      <x:c r="U100" s="115"/>
      <x:c r="V100" s="115"/>
      <x:c r="W100" s="115"/>
      <x:c r="X100" s="115"/>
      <x:c r="Y100" s="115"/>
      <x:c r="Z100" s="115"/>
    </x:row>
    <x:row r="101" ht="15" hidden="0" customHeight="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  <x:c r="S101" s="115"/>
      <x:c r="T101" s="115"/>
      <x:c r="U101" s="115"/>
      <x:c r="V101" s="115"/>
      <x:c r="W101" s="115"/>
      <x:c r="X101" s="115"/>
      <x:c r="Y101" s="115"/>
      <x:c r="Z101" s="115"/>
    </x:row>
    <x:row r="102" ht="15" hidden="0" customHeight="1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  <x:c r="S102" s="115"/>
      <x:c r="T102" s="115"/>
      <x:c r="U102" s="115"/>
      <x:c r="V102" s="115"/>
      <x:c r="W102" s="115"/>
      <x:c r="X102" s="115"/>
      <x:c r="Y102" s="115"/>
      <x:c r="Z102" s="115"/>
    </x:row>
    <x:row r="103" ht="15" hidden="0" customHeight="1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  <x:c r="S103" s="115"/>
      <x:c r="T103" s="115"/>
      <x:c r="U103" s="115"/>
      <x:c r="V103" s="115"/>
      <x:c r="W103" s="115"/>
      <x:c r="X103" s="115"/>
      <x:c r="Y103" s="115"/>
      <x:c r="Z103" s="115"/>
    </x:row>
    <x:row r="104" ht="15" hidden="0" customHeight="1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  <x:c r="S104" s="115"/>
      <x:c r="T104" s="115"/>
      <x:c r="U104" s="115"/>
      <x:c r="V104" s="115"/>
      <x:c r="W104" s="115"/>
      <x:c r="X104" s="115"/>
      <x:c r="Y104" s="115"/>
      <x:c r="Z104" s="115"/>
    </x:row>
    <x:row r="105" ht="15" hidden="0" customHeight="1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  <x:c r="S105" s="115"/>
      <x:c r="T105" s="115"/>
      <x:c r="U105" s="115"/>
      <x:c r="V105" s="115"/>
      <x:c r="W105" s="115"/>
      <x:c r="X105" s="115"/>
      <x:c r="Y105" s="115"/>
      <x:c r="Z105" s="115"/>
    </x:row>
    <x:row r="106" ht="15" hidden="0" customHeight="1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  <x:c r="S106" s="115"/>
      <x:c r="T106" s="115"/>
      <x:c r="U106" s="115"/>
      <x:c r="V106" s="115"/>
      <x:c r="W106" s="115"/>
      <x:c r="X106" s="115"/>
      <x:c r="Y106" s="115"/>
      <x:c r="Z106" s="115"/>
    </x:row>
    <x:row r="107" ht="15" hidden="0" customHeight="1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  <x:c r="S107" s="115"/>
      <x:c r="T107" s="115"/>
      <x:c r="U107" s="115"/>
      <x:c r="V107" s="115"/>
      <x:c r="W107" s="115"/>
      <x:c r="X107" s="115"/>
      <x:c r="Y107" s="115"/>
      <x:c r="Z107" s="115"/>
    </x:row>
    <x:row r="108" ht="15" hidden="0" customHeight="1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  <x:c r="S108" s="115"/>
      <x:c r="T108" s="115"/>
      <x:c r="U108" s="115"/>
      <x:c r="V108" s="115"/>
      <x:c r="W108" s="115"/>
      <x:c r="X108" s="115"/>
      <x:c r="Y108" s="115"/>
      <x:c r="Z108" s="115"/>
    </x:row>
    <x:row r="109" ht="15" hidden="0" customHeight="1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  <x:c r="S109" s="115"/>
      <x:c r="T109" s="115"/>
      <x:c r="U109" s="115"/>
      <x:c r="V109" s="115"/>
      <x:c r="W109" s="115"/>
      <x:c r="X109" s="115"/>
      <x:c r="Y109" s="115"/>
      <x:c r="Z109" s="115"/>
    </x:row>
    <x:row r="110" ht="15" hidden="0" customHeight="1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  <x:c r="S110" s="115"/>
      <x:c r="T110" s="115"/>
      <x:c r="U110" s="115"/>
      <x:c r="V110" s="115"/>
      <x:c r="W110" s="115"/>
      <x:c r="X110" s="115"/>
      <x:c r="Y110" s="115"/>
      <x:c r="Z110" s="115"/>
    </x:row>
    <x:row r="111" ht="15" hidden="0" customHeight="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  <x:c r="S111" s="115"/>
      <x:c r="T111" s="115"/>
      <x:c r="U111" s="115"/>
      <x:c r="V111" s="115"/>
      <x:c r="W111" s="115"/>
      <x:c r="X111" s="115"/>
      <x:c r="Y111" s="115"/>
      <x:c r="Z111" s="115"/>
    </x:row>
    <x:row r="112" ht="15" hidden="0" customHeight="1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  <x:c r="S112" s="115"/>
      <x:c r="T112" s="115"/>
      <x:c r="U112" s="115"/>
      <x:c r="V112" s="115"/>
      <x:c r="W112" s="115"/>
      <x:c r="X112" s="115"/>
      <x:c r="Y112" s="115"/>
      <x:c r="Z112" s="115"/>
    </x:row>
    <x:row r="113" ht="15" hidden="0" customHeight="1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  <x:c r="S113" s="115"/>
      <x:c r="T113" s="115"/>
      <x:c r="U113" s="115"/>
      <x:c r="V113" s="115"/>
      <x:c r="W113" s="115"/>
      <x:c r="X113" s="115"/>
      <x:c r="Y113" s="115"/>
      <x:c r="Z113" s="115"/>
    </x:row>
    <x:row r="114" ht="15" hidden="0" customHeight="1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  <x:c r="S114" s="115"/>
      <x:c r="T114" s="115"/>
      <x:c r="U114" s="115"/>
      <x:c r="V114" s="115"/>
      <x:c r="W114" s="115"/>
      <x:c r="X114" s="115"/>
      <x:c r="Y114" s="115"/>
      <x:c r="Z114" s="115"/>
    </x:row>
    <x:row r="115" ht="15" hidden="0" customHeight="1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  <x:c r="S115" s="115"/>
      <x:c r="T115" s="115"/>
      <x:c r="U115" s="115"/>
      <x:c r="V115" s="115"/>
      <x:c r="W115" s="115"/>
      <x:c r="X115" s="115"/>
      <x:c r="Y115" s="115"/>
      <x:c r="Z115" s="115"/>
    </x:row>
    <x:row r="116" ht="15" hidden="0" customHeight="1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  <x:c r="S116" s="115"/>
      <x:c r="T116" s="115"/>
      <x:c r="U116" s="115"/>
      <x:c r="V116" s="115"/>
      <x:c r="W116" s="115"/>
      <x:c r="X116" s="115"/>
      <x:c r="Y116" s="115"/>
      <x:c r="Z116" s="115"/>
    </x:row>
    <x:row r="117" ht="15" hidden="0" customHeight="1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  <x:c r="S117" s="115"/>
      <x:c r="T117" s="115"/>
      <x:c r="U117" s="115"/>
      <x:c r="V117" s="115"/>
      <x:c r="W117" s="115"/>
      <x:c r="X117" s="115"/>
      <x:c r="Y117" s="115"/>
      <x:c r="Z117" s="115"/>
    </x:row>
    <x:row r="118" ht="15" hidden="0" customHeight="1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  <x:c r="S118" s="115"/>
      <x:c r="T118" s="115"/>
      <x:c r="U118" s="115"/>
      <x:c r="V118" s="115"/>
      <x:c r="W118" s="115"/>
      <x:c r="X118" s="115"/>
      <x:c r="Y118" s="115"/>
      <x:c r="Z118" s="115"/>
    </x:row>
    <x:row r="119" ht="15" hidden="0" customHeight="1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  <x:c r="S119" s="115"/>
      <x:c r="T119" s="115"/>
      <x:c r="U119" s="115"/>
      <x:c r="V119" s="115"/>
      <x:c r="W119" s="115"/>
      <x:c r="X119" s="115"/>
      <x:c r="Y119" s="115"/>
      <x:c r="Z119" s="115"/>
    </x:row>
    <x:row r="120" ht="15" hidden="0" customHeight="1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  <x:c r="S120" s="115"/>
      <x:c r="T120" s="115"/>
      <x:c r="U120" s="115"/>
      <x:c r="V120" s="115"/>
      <x:c r="W120" s="115"/>
      <x:c r="X120" s="115"/>
      <x:c r="Y120" s="115"/>
      <x:c r="Z120" s="115"/>
    </x:row>
    <x:row r="121" ht="15" hidden="0" customHeight="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  <x:c r="S121" s="115"/>
      <x:c r="T121" s="115"/>
      <x:c r="U121" s="115"/>
      <x:c r="V121" s="115"/>
      <x:c r="W121" s="115"/>
      <x:c r="X121" s="115"/>
      <x:c r="Y121" s="115"/>
      <x:c r="Z121" s="115"/>
    </x:row>
    <x:row r="122" ht="15" hidden="0" customHeight="1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  <x:c r="S122" s="115"/>
      <x:c r="T122" s="115"/>
      <x:c r="U122" s="115"/>
      <x:c r="V122" s="115"/>
      <x:c r="W122" s="115"/>
      <x:c r="X122" s="115"/>
      <x:c r="Y122" s="115"/>
      <x:c r="Z122" s="115"/>
    </x:row>
    <x:row r="123" ht="15" hidden="0" customHeight="1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  <x:c r="S123" s="115"/>
      <x:c r="T123" s="115"/>
      <x:c r="U123" s="115"/>
      <x:c r="V123" s="115"/>
      <x:c r="W123" s="115"/>
      <x:c r="X123" s="115"/>
      <x:c r="Y123" s="115"/>
      <x:c r="Z123" s="115"/>
    </x:row>
    <x:row r="124" ht="15" hidden="0" customHeight="1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  <x:c r="S124" s="115"/>
      <x:c r="T124" s="115"/>
      <x:c r="U124" s="115"/>
      <x:c r="V124" s="115"/>
      <x:c r="W124" s="115"/>
      <x:c r="X124" s="115"/>
      <x:c r="Y124" s="115"/>
      <x:c r="Z124" s="115"/>
    </x:row>
    <x:row r="125" ht="15" hidden="0" customHeight="1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  <x:c r="S125" s="115"/>
      <x:c r="T125" s="115"/>
      <x:c r="U125" s="115"/>
      <x:c r="V125" s="115"/>
      <x:c r="W125" s="115"/>
      <x:c r="X125" s="115"/>
      <x:c r="Y125" s="115"/>
      <x:c r="Z125" s="115"/>
    </x:row>
    <x:row r="126" ht="15" hidden="0" customHeight="1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  <x:c r="S126" s="115"/>
      <x:c r="T126" s="115"/>
      <x:c r="U126" s="115"/>
      <x:c r="V126" s="115"/>
      <x:c r="W126" s="115"/>
      <x:c r="X126" s="115"/>
      <x:c r="Y126" s="115"/>
      <x:c r="Z126" s="115"/>
    </x:row>
    <x:row r="127" ht="15" hidden="0" customHeight="1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  <x:c r="S127" s="115"/>
      <x:c r="T127" s="115"/>
      <x:c r="U127" s="115"/>
      <x:c r="V127" s="115"/>
      <x:c r="W127" s="115"/>
      <x:c r="X127" s="115"/>
      <x:c r="Y127" s="115"/>
      <x:c r="Z127" s="115"/>
    </x:row>
    <x:row r="128" ht="15" hidden="0" customHeight="1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  <x:c r="S128" s="115"/>
      <x:c r="T128" s="115"/>
      <x:c r="U128" s="115"/>
      <x:c r="V128" s="115"/>
      <x:c r="W128" s="115"/>
      <x:c r="X128" s="115"/>
      <x:c r="Y128" s="115"/>
      <x:c r="Z128" s="115"/>
    </x:row>
    <x:row r="129" ht="15" hidden="0" customHeight="1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  <x:c r="S129" s="115"/>
      <x:c r="T129" s="115"/>
      <x:c r="U129" s="115"/>
      <x:c r="V129" s="115"/>
      <x:c r="W129" s="115"/>
      <x:c r="X129" s="115"/>
      <x:c r="Y129" s="115"/>
      <x:c r="Z129" s="115"/>
    </x:row>
    <x:row r="130" ht="15" hidden="0" customHeight="1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  <x:c r="S130" s="115"/>
      <x:c r="T130" s="115"/>
      <x:c r="U130" s="115"/>
      <x:c r="V130" s="115"/>
      <x:c r="W130" s="115"/>
      <x:c r="X130" s="115"/>
      <x:c r="Y130" s="115"/>
      <x:c r="Z130" s="115"/>
    </x:row>
    <x:row r="131" ht="15" hidden="0" customHeight="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  <x:c r="S131" s="115"/>
      <x:c r="T131" s="115"/>
      <x:c r="U131" s="115"/>
      <x:c r="V131" s="115"/>
      <x:c r="W131" s="115"/>
      <x:c r="X131" s="115"/>
      <x:c r="Y131" s="115"/>
      <x:c r="Z131" s="115"/>
    </x:row>
    <x:row r="132" ht="15" hidden="0" customHeight="1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  <x:c r="S132" s="115"/>
      <x:c r="T132" s="115"/>
      <x:c r="U132" s="115"/>
      <x:c r="V132" s="115"/>
      <x:c r="W132" s="115"/>
      <x:c r="X132" s="115"/>
      <x:c r="Y132" s="115"/>
      <x:c r="Z132" s="115"/>
    </x:row>
    <x:row r="133" ht="15" hidden="0" customHeight="1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  <x:c r="S133" s="115"/>
      <x:c r="T133" s="115"/>
      <x:c r="U133" s="115"/>
      <x:c r="V133" s="115"/>
      <x:c r="W133" s="115"/>
      <x:c r="X133" s="115"/>
      <x:c r="Y133" s="115"/>
      <x:c r="Z133" s="115"/>
    </x:row>
    <x:row r="134" ht="15" hidden="0" customHeight="1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  <x:c r="S134" s="115"/>
      <x:c r="T134" s="115"/>
      <x:c r="U134" s="115"/>
      <x:c r="V134" s="115"/>
      <x:c r="W134" s="115"/>
      <x:c r="X134" s="115"/>
      <x:c r="Y134" s="115"/>
      <x:c r="Z134" s="115"/>
    </x:row>
    <x:row r="135" ht="15" hidden="0" customHeight="1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  <x:c r="S135" s="115"/>
      <x:c r="T135" s="115"/>
      <x:c r="U135" s="115"/>
      <x:c r="V135" s="115"/>
      <x:c r="W135" s="115"/>
      <x:c r="X135" s="115"/>
      <x:c r="Y135" s="115"/>
      <x:c r="Z135" s="115"/>
    </x:row>
    <x:row r="136" ht="15" hidden="0" customHeight="1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  <x:c r="S136" s="115"/>
      <x:c r="T136" s="115"/>
      <x:c r="U136" s="115"/>
      <x:c r="V136" s="115"/>
      <x:c r="W136" s="115"/>
      <x:c r="X136" s="115"/>
      <x:c r="Y136" s="115"/>
      <x:c r="Z136" s="115"/>
    </x:row>
    <x:row r="137" ht="15" hidden="0" customHeight="1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  <x:c r="S137" s="115"/>
      <x:c r="T137" s="115"/>
      <x:c r="U137" s="115"/>
      <x:c r="V137" s="115"/>
      <x:c r="W137" s="115"/>
      <x:c r="X137" s="115"/>
      <x:c r="Y137" s="115"/>
      <x:c r="Z137" s="115"/>
    </x:row>
    <x:row r="138" ht="15" hidden="0" customHeight="1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5"/>
      <x:c r="T138" s="115"/>
      <x:c r="U138" s="115"/>
      <x:c r="V138" s="115"/>
      <x:c r="W138" s="115"/>
      <x:c r="X138" s="115"/>
      <x:c r="Y138" s="115"/>
      <x:c r="Z138" s="115"/>
    </x:row>
    <x:row r="139" ht="15" hidden="0" customHeight="1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  <x:c r="S139" s="115"/>
      <x:c r="T139" s="115"/>
      <x:c r="U139" s="115"/>
      <x:c r="V139" s="115"/>
      <x:c r="W139" s="115"/>
      <x:c r="X139" s="115"/>
      <x:c r="Y139" s="115"/>
      <x:c r="Z139" s="115"/>
    </x:row>
    <x:row r="140" ht="15" hidden="0" customHeight="1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  <x:c r="S140" s="115"/>
      <x:c r="T140" s="115"/>
      <x:c r="U140" s="115"/>
      <x:c r="V140" s="115"/>
      <x:c r="W140" s="115"/>
      <x:c r="X140" s="115"/>
      <x:c r="Y140" s="115"/>
      <x:c r="Z140" s="115"/>
    </x:row>
    <x:row r="141" ht="15" hidden="0" customHeight="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  <x:c r="S141" s="115"/>
      <x:c r="T141" s="115"/>
      <x:c r="U141" s="115"/>
      <x:c r="V141" s="115"/>
      <x:c r="W141" s="115"/>
      <x:c r="X141" s="115"/>
      <x:c r="Y141" s="115"/>
      <x:c r="Z141" s="115"/>
    </x:row>
    <x:row r="142" ht="15" hidden="0" customHeight="1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  <x:c r="S142" s="115"/>
      <x:c r="T142" s="115"/>
      <x:c r="U142" s="115"/>
      <x:c r="V142" s="115"/>
      <x:c r="W142" s="115"/>
      <x:c r="X142" s="115"/>
      <x:c r="Y142" s="115"/>
      <x:c r="Z142" s="115"/>
    </x:row>
    <x:row r="143" ht="15" hidden="0" customHeight="1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  <x:c r="S143" s="115"/>
      <x:c r="T143" s="115"/>
      <x:c r="U143" s="115"/>
      <x:c r="V143" s="115"/>
      <x:c r="W143" s="115"/>
      <x:c r="X143" s="115"/>
      <x:c r="Y143" s="115"/>
      <x:c r="Z143" s="115"/>
    </x:row>
    <x:row r="144" ht="15" hidden="0" customHeight="1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  <x:c r="S144" s="115"/>
      <x:c r="T144" s="115"/>
      <x:c r="U144" s="115"/>
      <x:c r="V144" s="115"/>
      <x:c r="W144" s="115"/>
      <x:c r="X144" s="115"/>
      <x:c r="Y144" s="115"/>
      <x:c r="Z144" s="115"/>
    </x:row>
    <x:row r="145" ht="15" hidden="0" customHeight="1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  <x:c r="S145" s="115"/>
      <x:c r="T145" s="115"/>
      <x:c r="U145" s="115"/>
      <x:c r="V145" s="115"/>
      <x:c r="W145" s="115"/>
      <x:c r="X145" s="115"/>
      <x:c r="Y145" s="115"/>
      <x:c r="Z145" s="115"/>
    </x:row>
    <x:row r="146" ht="15" hidden="0" customHeight="1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  <x:c r="S146" s="115"/>
      <x:c r="T146" s="115"/>
      <x:c r="U146" s="115"/>
      <x:c r="V146" s="115"/>
      <x:c r="W146" s="115"/>
      <x:c r="X146" s="115"/>
      <x:c r="Y146" s="115"/>
      <x:c r="Z146" s="115"/>
    </x:row>
    <x:row r="147" ht="15" hidden="0" customHeight="1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  <x:c r="S147" s="115"/>
      <x:c r="T147" s="115"/>
      <x:c r="U147" s="115"/>
      <x:c r="V147" s="115"/>
      <x:c r="W147" s="115"/>
      <x:c r="X147" s="115"/>
      <x:c r="Y147" s="115"/>
      <x:c r="Z147" s="115"/>
    </x:row>
    <x:row r="148" ht="15" hidden="0" customHeight="1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  <x:c r="S148" s="115"/>
      <x:c r="T148" s="115"/>
      <x:c r="U148" s="115"/>
      <x:c r="V148" s="115"/>
      <x:c r="W148" s="115"/>
      <x:c r="X148" s="115"/>
      <x:c r="Y148" s="115"/>
      <x:c r="Z148" s="115"/>
    </x:row>
    <x:row r="149" ht="15" hidden="0" customHeight="1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  <x:c r="S149" s="115"/>
      <x:c r="T149" s="115"/>
      <x:c r="U149" s="115"/>
      <x:c r="V149" s="115"/>
      <x:c r="W149" s="115"/>
      <x:c r="X149" s="115"/>
      <x:c r="Y149" s="115"/>
      <x:c r="Z149" s="115"/>
    </x:row>
    <x:row r="150" ht="15" hidden="0" customHeight="1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  <x:c r="S150" s="115"/>
      <x:c r="T150" s="115"/>
      <x:c r="U150" s="115"/>
      <x:c r="V150" s="115"/>
      <x:c r="W150" s="115"/>
      <x:c r="X150" s="115"/>
      <x:c r="Y150" s="115"/>
      <x:c r="Z150" s="115"/>
    </x:row>
    <x:row r="151" ht="15" hidden="0" customHeight="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  <x:c r="S151" s="115"/>
      <x:c r="T151" s="115"/>
      <x:c r="U151" s="115"/>
      <x:c r="V151" s="115"/>
      <x:c r="W151" s="115"/>
      <x:c r="X151" s="115"/>
      <x:c r="Y151" s="115"/>
      <x:c r="Z151" s="115"/>
    </x:row>
    <x:row r="152" ht="15" hidden="0" customHeight="1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  <x:c r="S152" s="115"/>
      <x:c r="T152" s="115"/>
      <x:c r="U152" s="115"/>
      <x:c r="V152" s="115"/>
      <x:c r="W152" s="115"/>
      <x:c r="X152" s="115"/>
      <x:c r="Y152" s="115"/>
      <x:c r="Z152" s="115"/>
    </x:row>
    <x:row r="153" ht="15" hidden="0" customHeight="1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  <x:c r="S153" s="115"/>
      <x:c r="T153" s="115"/>
      <x:c r="U153" s="115"/>
      <x:c r="V153" s="115"/>
      <x:c r="W153" s="115"/>
      <x:c r="X153" s="115"/>
      <x:c r="Y153" s="115"/>
      <x:c r="Z153" s="115"/>
    </x:row>
    <x:row r="154" ht="15" hidden="0" customHeight="1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  <x:c r="S154" s="115"/>
      <x:c r="T154" s="115"/>
      <x:c r="U154" s="115"/>
      <x:c r="V154" s="115"/>
      <x:c r="W154" s="115"/>
      <x:c r="X154" s="115"/>
      <x:c r="Y154" s="115"/>
      <x:c r="Z154" s="115"/>
    </x:row>
    <x:row r="155" ht="15" hidden="0" customHeight="1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  <x:c r="S155" s="115"/>
      <x:c r="T155" s="115"/>
      <x:c r="U155" s="115"/>
      <x:c r="V155" s="115"/>
      <x:c r="W155" s="115"/>
      <x:c r="X155" s="115"/>
      <x:c r="Y155" s="115"/>
      <x:c r="Z155" s="115"/>
    </x:row>
    <x:row r="156" ht="15" hidden="0" customHeight="1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  <x:c r="S156" s="115"/>
      <x:c r="T156" s="115"/>
      <x:c r="U156" s="115"/>
      <x:c r="V156" s="115"/>
      <x:c r="W156" s="115"/>
      <x:c r="X156" s="115"/>
      <x:c r="Y156" s="115"/>
      <x:c r="Z156" s="115"/>
    </x:row>
    <x:row r="157" ht="15" hidden="0" customHeight="1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  <x:c r="S157" s="115"/>
      <x:c r="T157" s="115"/>
      <x:c r="U157" s="115"/>
      <x:c r="V157" s="115"/>
      <x:c r="W157" s="115"/>
      <x:c r="X157" s="115"/>
      <x:c r="Y157" s="115"/>
      <x:c r="Z157" s="115"/>
    </x:row>
    <x:row r="158" ht="15" hidden="0" customHeight="1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  <x:c r="S158" s="115"/>
      <x:c r="T158" s="115"/>
      <x:c r="U158" s="115"/>
      <x:c r="V158" s="115"/>
      <x:c r="W158" s="115"/>
      <x:c r="X158" s="115"/>
      <x:c r="Y158" s="115"/>
      <x:c r="Z158" s="115"/>
    </x:row>
    <x:row r="159" ht="15" hidden="0" customHeight="1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  <x:c r="S159" s="115"/>
      <x:c r="T159" s="115"/>
      <x:c r="U159" s="115"/>
      <x:c r="V159" s="115"/>
      <x:c r="W159" s="115"/>
      <x:c r="X159" s="115"/>
      <x:c r="Y159" s="115"/>
      <x:c r="Z159" s="115"/>
    </x:row>
    <x:row r="160" ht="15" hidden="0" customHeight="1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  <x:c r="S160" s="115"/>
      <x:c r="T160" s="115"/>
      <x:c r="U160" s="115"/>
      <x:c r="V160" s="115"/>
      <x:c r="W160" s="115"/>
      <x:c r="X160" s="115"/>
      <x:c r="Y160" s="115"/>
      <x:c r="Z160" s="115"/>
    </x:row>
    <x:row r="161" ht="15" hidden="0" customHeight="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  <x:c r="S161" s="115"/>
      <x:c r="T161" s="115"/>
      <x:c r="U161" s="115"/>
      <x:c r="V161" s="115"/>
      <x:c r="W161" s="115"/>
      <x:c r="X161" s="115"/>
      <x:c r="Y161" s="115"/>
      <x:c r="Z161" s="115"/>
    </x:row>
    <x:row r="162" ht="15" hidden="0" customHeight="1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  <x:c r="S162" s="115"/>
      <x:c r="T162" s="115"/>
      <x:c r="U162" s="115"/>
      <x:c r="V162" s="115"/>
      <x:c r="W162" s="115"/>
      <x:c r="X162" s="115"/>
      <x:c r="Y162" s="115"/>
      <x:c r="Z162" s="115"/>
    </x:row>
    <x:row r="163" ht="15" hidden="0" customHeight="1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  <x:c r="S163" s="115"/>
      <x:c r="T163" s="115"/>
      <x:c r="U163" s="115"/>
      <x:c r="V163" s="115"/>
      <x:c r="W163" s="115"/>
      <x:c r="X163" s="115"/>
      <x:c r="Y163" s="115"/>
      <x:c r="Z163" s="115"/>
    </x:row>
    <x:row r="164" ht="15" hidden="0" customHeight="1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  <x:c r="S164" s="115"/>
      <x:c r="T164" s="115"/>
      <x:c r="U164" s="115"/>
      <x:c r="V164" s="115"/>
      <x:c r="W164" s="115"/>
      <x:c r="X164" s="115"/>
      <x:c r="Y164" s="115"/>
      <x:c r="Z164" s="115"/>
    </x:row>
    <x:row r="165" ht="15" hidden="0" customHeight="1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  <x:c r="S165" s="115"/>
      <x:c r="T165" s="115"/>
      <x:c r="U165" s="115"/>
      <x:c r="V165" s="115"/>
      <x:c r="W165" s="115"/>
      <x:c r="X165" s="115"/>
      <x:c r="Y165" s="115"/>
      <x:c r="Z165" s="115"/>
    </x:row>
    <x:row r="166" ht="15" hidden="0" customHeight="1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  <x:c r="S166" s="115"/>
      <x:c r="T166" s="115"/>
      <x:c r="U166" s="115"/>
      <x:c r="V166" s="115"/>
      <x:c r="W166" s="115"/>
      <x:c r="X166" s="115"/>
      <x:c r="Y166" s="115"/>
      <x:c r="Z166" s="115"/>
    </x:row>
    <x:row r="167" ht="15" hidden="0" customHeight="1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  <x:c r="S167" s="115"/>
      <x:c r="T167" s="115"/>
      <x:c r="U167" s="115"/>
      <x:c r="V167" s="115"/>
      <x:c r="W167" s="115"/>
      <x:c r="X167" s="115"/>
      <x:c r="Y167" s="115"/>
      <x:c r="Z167" s="115"/>
    </x:row>
    <x:row r="168" ht="15" hidden="0" customHeight="1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  <x:c r="S168" s="115"/>
      <x:c r="T168" s="115"/>
      <x:c r="U168" s="115"/>
      <x:c r="V168" s="115"/>
      <x:c r="W168" s="115"/>
      <x:c r="X168" s="115"/>
      <x:c r="Y168" s="115"/>
      <x:c r="Z168" s="115"/>
    </x:row>
    <x:row r="169" ht="15" hidden="0" customHeight="1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  <x:c r="S169" s="115"/>
      <x:c r="T169" s="115"/>
      <x:c r="U169" s="115"/>
      <x:c r="V169" s="115"/>
      <x:c r="W169" s="115"/>
      <x:c r="X169" s="115"/>
      <x:c r="Y169" s="115"/>
      <x:c r="Z169" s="115"/>
    </x:row>
    <x:row r="170" ht="15" hidden="0" customHeight="1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  <x:c r="S170" s="115"/>
      <x:c r="T170" s="115"/>
      <x:c r="U170" s="115"/>
      <x:c r="V170" s="115"/>
      <x:c r="W170" s="115"/>
      <x:c r="X170" s="115"/>
      <x:c r="Y170" s="115"/>
      <x:c r="Z170" s="115"/>
    </x:row>
    <x:row r="171" ht="15" hidden="0" customHeight="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  <x:c r="S171" s="115"/>
      <x:c r="T171" s="115"/>
      <x:c r="U171" s="115"/>
      <x:c r="V171" s="115"/>
      <x:c r="W171" s="115"/>
      <x:c r="X171" s="115"/>
      <x:c r="Y171" s="115"/>
      <x:c r="Z171" s="115"/>
    </x:row>
    <x:row r="172" ht="15" hidden="0" customHeight="1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  <x:c r="S172" s="115"/>
      <x:c r="T172" s="115"/>
      <x:c r="U172" s="115"/>
      <x:c r="V172" s="115"/>
      <x:c r="W172" s="115"/>
      <x:c r="X172" s="115"/>
      <x:c r="Y172" s="115"/>
      <x:c r="Z172" s="115"/>
    </x:row>
    <x:row r="173" ht="15" hidden="0" customHeight="1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  <x:c r="S173" s="115"/>
      <x:c r="T173" s="115"/>
      <x:c r="U173" s="115"/>
      <x:c r="V173" s="115"/>
      <x:c r="W173" s="115"/>
      <x:c r="X173" s="115"/>
      <x:c r="Y173" s="115"/>
      <x:c r="Z173" s="115"/>
    </x:row>
    <x:row r="174" ht="15" hidden="0" customHeight="1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  <x:c r="S174" s="115"/>
      <x:c r="T174" s="115"/>
      <x:c r="U174" s="115"/>
      <x:c r="V174" s="115"/>
      <x:c r="W174" s="115"/>
      <x:c r="X174" s="115"/>
      <x:c r="Y174" s="115"/>
      <x:c r="Z174" s="115"/>
    </x:row>
    <x:row r="175" ht="15" hidden="0" customHeight="1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  <x:c r="S175" s="115"/>
      <x:c r="T175" s="115"/>
      <x:c r="U175" s="115"/>
      <x:c r="V175" s="115"/>
      <x:c r="W175" s="115"/>
      <x:c r="X175" s="115"/>
      <x:c r="Y175" s="115"/>
      <x:c r="Z175" s="115"/>
    </x:row>
    <x:row r="176" ht="15" hidden="0" customHeight="1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  <x:c r="S176" s="115"/>
      <x:c r="T176" s="115"/>
      <x:c r="U176" s="115"/>
      <x:c r="V176" s="115"/>
      <x:c r="W176" s="115"/>
      <x:c r="X176" s="115"/>
      <x:c r="Y176" s="115"/>
      <x:c r="Z176" s="115"/>
    </x:row>
    <x:row r="177" ht="15" hidden="0" customHeight="1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  <x:c r="S177" s="115"/>
      <x:c r="T177" s="115"/>
      <x:c r="U177" s="115"/>
      <x:c r="V177" s="115"/>
      <x:c r="W177" s="115"/>
      <x:c r="X177" s="115"/>
      <x:c r="Y177" s="115"/>
      <x:c r="Z177" s="115"/>
    </x:row>
    <x:row r="178" ht="15" hidden="0" customHeight="1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  <x:c r="S178" s="115"/>
      <x:c r="T178" s="115"/>
      <x:c r="U178" s="115"/>
      <x:c r="V178" s="115"/>
      <x:c r="W178" s="115"/>
      <x:c r="X178" s="115"/>
      <x:c r="Y178" s="115"/>
      <x:c r="Z178" s="115"/>
    </x:row>
    <x:row r="179" ht="15" hidden="0" customHeight="1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  <x:c r="S179" s="115"/>
      <x:c r="T179" s="115"/>
      <x:c r="U179" s="115"/>
      <x:c r="V179" s="115"/>
      <x:c r="W179" s="115"/>
      <x:c r="X179" s="115"/>
      <x:c r="Y179" s="115"/>
      <x:c r="Z179" s="115"/>
    </x:row>
    <x:row r="180" ht="15" hidden="0" customHeight="1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  <x:c r="S180" s="115"/>
      <x:c r="T180" s="115"/>
      <x:c r="U180" s="115"/>
      <x:c r="V180" s="115"/>
      <x:c r="W180" s="115"/>
      <x:c r="X180" s="115"/>
      <x:c r="Y180" s="115"/>
      <x:c r="Z180" s="115"/>
    </x:row>
    <x:row r="181" ht="15" hidden="0" customHeight="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  <x:c r="S181" s="115"/>
      <x:c r="T181" s="115"/>
      <x:c r="U181" s="115"/>
      <x:c r="V181" s="115"/>
      <x:c r="W181" s="115"/>
      <x:c r="X181" s="115"/>
      <x:c r="Y181" s="115"/>
      <x:c r="Z181" s="115"/>
    </x:row>
    <x:row r="182" ht="15" hidden="0" customHeight="1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  <x:c r="S182" s="115"/>
      <x:c r="T182" s="115"/>
      <x:c r="U182" s="115"/>
      <x:c r="V182" s="115"/>
      <x:c r="W182" s="115"/>
      <x:c r="X182" s="115"/>
      <x:c r="Y182" s="115"/>
      <x:c r="Z182" s="115"/>
    </x:row>
    <x:row r="183" ht="15" hidden="0" customHeight="1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5"/>
      <x:c r="U183" s="115"/>
      <x:c r="V183" s="115"/>
      <x:c r="W183" s="115"/>
      <x:c r="X183" s="115"/>
      <x:c r="Y183" s="115"/>
      <x:c r="Z183" s="115"/>
    </x:row>
    <x:row r="184" ht="15" hidden="0" customHeight="1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  <x:c r="S184" s="115"/>
      <x:c r="T184" s="115"/>
      <x:c r="U184" s="115"/>
      <x:c r="V184" s="115"/>
      <x:c r="W184" s="115"/>
      <x:c r="X184" s="115"/>
      <x:c r="Y184" s="115"/>
      <x:c r="Z184" s="115"/>
    </x:row>
    <x:row r="185" ht="15" hidden="0" customHeight="1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  <x:c r="S185" s="115"/>
      <x:c r="T185" s="115"/>
      <x:c r="U185" s="115"/>
      <x:c r="V185" s="115"/>
      <x:c r="W185" s="115"/>
      <x:c r="X185" s="115"/>
      <x:c r="Y185" s="115"/>
      <x:c r="Z185" s="115"/>
    </x:row>
    <x:row r="186" ht="15" hidden="0" customHeight="1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  <x:c r="S186" s="115"/>
      <x:c r="T186" s="115"/>
      <x:c r="U186" s="115"/>
      <x:c r="V186" s="115"/>
      <x:c r="W186" s="115"/>
      <x:c r="X186" s="115"/>
      <x:c r="Y186" s="115"/>
      <x:c r="Z186" s="115"/>
    </x:row>
    <x:row r="187" ht="15" hidden="0" customHeight="1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  <x:c r="S187" s="115"/>
      <x:c r="T187" s="115"/>
      <x:c r="U187" s="115"/>
      <x:c r="V187" s="115"/>
      <x:c r="W187" s="115"/>
      <x:c r="X187" s="115"/>
      <x:c r="Y187" s="115"/>
      <x:c r="Z187" s="115"/>
    </x:row>
    <x:row r="188" ht="15" hidden="0" customHeight="1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  <x:c r="S188" s="115"/>
      <x:c r="T188" s="115"/>
      <x:c r="U188" s="115"/>
      <x:c r="V188" s="115"/>
      <x:c r="W188" s="115"/>
      <x:c r="X188" s="115"/>
      <x:c r="Y188" s="115"/>
      <x:c r="Z188" s="115"/>
    </x:row>
    <x:row r="189" ht="15" hidden="0" customHeight="1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  <x:c r="S189" s="115"/>
      <x:c r="T189" s="115"/>
      <x:c r="U189" s="115"/>
      <x:c r="V189" s="115"/>
      <x:c r="W189" s="115"/>
      <x:c r="X189" s="115"/>
      <x:c r="Y189" s="115"/>
      <x:c r="Z189" s="115"/>
    </x:row>
    <x:row r="190" ht="15" hidden="0" customHeight="1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  <x:c r="S190" s="115"/>
      <x:c r="T190" s="115"/>
      <x:c r="U190" s="115"/>
      <x:c r="V190" s="115"/>
      <x:c r="W190" s="115"/>
      <x:c r="X190" s="115"/>
      <x:c r="Y190" s="115"/>
      <x:c r="Z190" s="115"/>
    </x:row>
    <x:row r="191" ht="15" hidden="0" customHeight="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  <x:c r="S191" s="115"/>
      <x:c r="T191" s="115"/>
      <x:c r="U191" s="115"/>
      <x:c r="V191" s="115"/>
      <x:c r="W191" s="115"/>
      <x:c r="X191" s="115"/>
      <x:c r="Y191" s="115"/>
      <x:c r="Z191" s="115"/>
    </x:row>
    <x:row r="192" ht="15" hidden="0" customHeight="1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  <x:c r="S192" s="115"/>
      <x:c r="T192" s="115"/>
      <x:c r="U192" s="115"/>
      <x:c r="V192" s="115"/>
      <x:c r="W192" s="115"/>
      <x:c r="X192" s="115"/>
      <x:c r="Y192" s="115"/>
      <x:c r="Z192" s="115"/>
    </x:row>
    <x:row r="193" ht="15" hidden="0" customHeight="1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  <x:c r="S193" s="115"/>
      <x:c r="T193" s="115"/>
      <x:c r="U193" s="115"/>
      <x:c r="V193" s="115"/>
      <x:c r="W193" s="115"/>
      <x:c r="X193" s="115"/>
      <x:c r="Y193" s="115"/>
      <x:c r="Z193" s="115"/>
    </x:row>
    <x:row r="194" ht="15" hidden="0" customHeight="1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  <x:c r="S194" s="115"/>
      <x:c r="T194" s="115"/>
      <x:c r="U194" s="115"/>
      <x:c r="V194" s="115"/>
      <x:c r="W194" s="115"/>
      <x:c r="X194" s="115"/>
      <x:c r="Y194" s="115"/>
      <x:c r="Z194" s="115"/>
    </x:row>
    <x:row r="195" ht="15" hidden="0" customHeight="1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  <x:c r="S195" s="115"/>
      <x:c r="T195" s="115"/>
      <x:c r="U195" s="115"/>
      <x:c r="V195" s="115"/>
      <x:c r="W195" s="115"/>
      <x:c r="X195" s="115"/>
      <x:c r="Y195" s="115"/>
      <x:c r="Z195" s="115"/>
    </x:row>
    <x:row r="196" ht="15" hidden="0" customHeight="1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  <x:c r="S196" s="115"/>
      <x:c r="T196" s="115"/>
      <x:c r="U196" s="115"/>
      <x:c r="V196" s="115"/>
      <x:c r="W196" s="115"/>
      <x:c r="X196" s="115"/>
      <x:c r="Y196" s="115"/>
      <x:c r="Z196" s="115"/>
    </x:row>
    <x:row r="197" ht="15" hidden="0" customHeight="1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  <x:c r="S197" s="115"/>
      <x:c r="T197" s="115"/>
      <x:c r="U197" s="115"/>
      <x:c r="V197" s="115"/>
      <x:c r="W197" s="115"/>
      <x:c r="X197" s="115"/>
      <x:c r="Y197" s="115"/>
      <x:c r="Z197" s="115"/>
    </x:row>
    <x:row r="198" ht="15" hidden="0" customHeight="1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  <x:c r="S198" s="115"/>
      <x:c r="T198" s="115"/>
      <x:c r="U198" s="115"/>
      <x:c r="V198" s="115"/>
      <x:c r="W198" s="115"/>
      <x:c r="X198" s="115"/>
      <x:c r="Y198" s="115"/>
      <x:c r="Z198" s="115"/>
    </x:row>
    <x:row r="199" ht="15" hidden="0" customHeight="1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  <x:c r="S199" s="115"/>
      <x:c r="T199" s="115"/>
      <x:c r="U199" s="115"/>
      <x:c r="V199" s="115"/>
      <x:c r="W199" s="115"/>
      <x:c r="X199" s="115"/>
      <x:c r="Y199" s="115"/>
      <x:c r="Z199" s="115"/>
    </x:row>
    <x:row r="200" ht="15" hidden="0" customHeight="1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  <x:c r="S200" s="115"/>
      <x:c r="T200" s="115"/>
      <x:c r="U200" s="115"/>
      <x:c r="V200" s="115"/>
      <x:c r="W200" s="115"/>
      <x:c r="X200" s="115"/>
      <x:c r="Y200" s="115"/>
      <x:c r="Z200" s="115"/>
    </x:row>
  </x:sheetData>
  <x:mergeCells>
    <x:mergeCell ref="A1:U1"/>
  </x:mergeCells>
  <x:conditionalFormatting sqref="E4:E23">
    <x:cfRule type="expression" dxfId="0" priority="1">
      <x:formula>$E4="At Risk"</x:formula>
    </x:cfRule>
    <x:cfRule type="expression" dxfId="1" priority="2">
      <x:formula>$E4="Complete"</x:formula>
    </x:cfRule>
  </x:conditionalFormatting>
  <x:conditionalFormatting sqref="F4:F23">
    <x:cfRule type="expression" dxfId="2" priority="3">
      <x:formula>$F4="High"</x:formula>
    </x:cfRule>
  </x:conditionalFormatting>
  <x:dataValidations count="3">
    <x:dataValidation type="list" sqref="E4:E23">
      <x:formula1>"Not Started,In Progress,At Risk,Complete,Deferred"</x:formula1>
    </x:dataValidation>
    <x:dataValidation type="list" sqref="F4:F23">
      <x:formula1>"High,Medium,Low"</x:formula1>
    </x:dataValidation>
    <x:dataValidation type="list" sqref="S4:S23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67c568dfe148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0" hidden="0" customWidth="1"/>
  </x:cols>
  <x:sheetData>
    <x:row r="1" ht="21.600000381469727" hidden="0" customHeight="1">
      <x:c r="A1" s="188" t="str">
        <x:v>Integration Milestones — Day 1 to Day 365 Execution Control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  <x:c r="S1" s="115"/>
      <x:c r="T1" s="115"/>
      <x:c r="U1" s="115"/>
      <x:c r="V1" s="115"/>
      <x:c r="W1" s="115"/>
      <x:c r="X1" s="115"/>
      <x:c r="Y1" s="115"/>
      <x:c r="Z1" s="115"/>
    </x:row>
    <x:row r="2" ht="15" hidden="0" customHeight="1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  <x:c r="Q2" s="115"/>
      <x:c r="R2" s="115"/>
      <x:c r="S2" s="115"/>
      <x:c r="T2" s="115"/>
      <x:c r="U2" s="115"/>
      <x:c r="V2" s="115"/>
      <x:c r="W2" s="115"/>
      <x:c r="X2" s="115"/>
      <x:c r="Y2" s="115"/>
      <x:c r="Z2" s="115"/>
    </x:row>
    <x:row r="3" ht="15" hidden="0" customHeight="1">
      <x:c r="A3" s="122" t="str">
        <x:v>Milestone ID</x:v>
      </x:c>
      <x:c r="B3" s="122" t="str">
        <x:v>Phase</x:v>
      </x:c>
      <x:c r="C3" s="122" t="str">
        <x:v>Workstream</x:v>
      </x:c>
      <x:c r="D3" s="122" t="str">
        <x:v>Milestone</x:v>
      </x:c>
      <x:c r="E3" s="122" t="str">
        <x:v>Owner</x:v>
      </x:c>
      <x:c r="F3" s="122" t="str">
        <x:v>Due Date</x:v>
      </x:c>
      <x:c r="G3" s="122" t="str">
        <x:v>Status</x:v>
      </x:c>
      <x:c r="H3" s="122" t="str">
        <x:v>Dependency</x:v>
      </x:c>
      <x:c r="I3" s="122" t="str">
        <x:v>Criticality</x:v>
      </x:c>
      <x:c r="J3" s="122" t="str">
        <x:v>Days Until Due</x:v>
      </x:c>
      <x:c r="K3" s="122" t="str">
        <x:v>Late?</x:v>
      </x:c>
      <x:c r="L3" s="122" t="str">
        <x:v>Notes</x:v>
      </x:c>
      <x:c r="M3" s="115"/>
      <x:c r="N3" s="115"/>
      <x:c r="O3" s="115"/>
      <x:c r="P3" s="115"/>
      <x:c r="Q3" s="115"/>
      <x:c r="R3" s="115"/>
      <x:c r="S3" s="115"/>
      <x:c r="T3" s="115"/>
      <x:c r="U3" s="115"/>
      <x:c r="V3" s="115"/>
      <x:c r="W3" s="115"/>
      <x:c r="X3" s="115"/>
      <x:c r="Y3" s="115"/>
      <x:c r="Z3" s="115"/>
    </x:row>
    <x:row r="4" ht="15" hidden="0" customHeight="1">
      <x:c r="A4" s="115" t="str">
        <x:v>M-001</x:v>
      </x:c>
      <x:c r="B4" s="115" t="str">
        <x:v>Day 1</x:v>
      </x:c>
      <x:c r="C4" s="115" t="str">
        <x:v>Finance / Back Office</x:v>
      </x:c>
      <x:c r="D4" s="115" t="str">
        <x:v>Open combined cash reporting process</x:v>
      </x:c>
      <x:c r="E4" s="115" t="str">
        <x:v>CFO</x:v>
      </x:c>
      <x:c r="F4" s="155" t="n">
        <x:v>46174</x:v>
      </x:c>
      <x:c r="G4" s="115" t="str">
        <x:v>Complete</x:v>
      </x:c>
      <x:c r="H4" s="115" t="str">
        <x:v>Close</x:v>
      </x:c>
      <x:c r="I4" s="115" t="str">
        <x:v>High</x:v>
      </x:c>
      <x:c r="J4" s="115" t="n">
        <x:f>F4-Inputs!$B$15</x:f>
        <x:v>-91</x:v>
      </x:c>
      <x:c r="K4" s="115" t="str">
        <x:f>IF(AND(G4&lt;&gt;"Complete",F4&lt;Inputs!$B$15),"Late","")</x:f>
      </x:c>
      <x:c r="L4" s="115" t="str">
        <x:v>Day-1 treasury visibility</x:v>
      </x:c>
      <x:c r="M4" s="115"/>
      <x:c r="N4" s="115"/>
      <x:c r="O4" s="115"/>
      <x:c r="P4" s="115"/>
      <x:c r="Q4" s="115"/>
      <x:c r="R4" s="115"/>
      <x:c r="S4" s="115"/>
      <x:c r="T4" s="115"/>
      <x:c r="U4" s="115"/>
      <x:c r="V4" s="115"/>
      <x:c r="W4" s="115"/>
      <x:c r="X4" s="115"/>
      <x:c r="Y4" s="115"/>
      <x:c r="Z4" s="115"/>
    </x:row>
    <x:row r="5" ht="15" hidden="0" customHeight="1">
      <x:c r="A5" s="115" t="str">
        <x:v>M-002</x:v>
      </x:c>
      <x:c r="B5" s="115" t="str">
        <x:v>Day 1</x:v>
      </x:c>
      <x:c r="C5" s="115" t="str">
        <x:v>Management Cadence</x:v>
      </x:c>
      <x:c r="D5" s="115" t="str">
        <x:v>Launch integration command center</x:v>
      </x:c>
      <x:c r="E5" s="115" t="str">
        <x:v>Integration Lead</x:v>
      </x:c>
      <x:c r="F5" s="155" t="n">
        <x:v>46176</x:v>
      </x:c>
      <x:c r="G5" s="115" t="str">
        <x:v>Complete</x:v>
      </x:c>
      <x:c r="H5" s="115" t="str">
        <x:v>Close</x:v>
      </x:c>
      <x:c r="I5" s="115" t="str">
        <x:v>High</x:v>
      </x:c>
      <x:c r="J5" s="115" t="n">
        <x:f>F5-Inputs!$B$15</x:f>
        <x:v>-89</x:v>
      </x:c>
      <x:c r="K5" s="115" t="str">
        <x:f>IF(AND(G5&lt;&gt;"Complete",F5&lt;Inputs!$B$15),"Late","")</x:f>
      </x:c>
      <x:c r="L5" s="115" t="str">
        <x:v>Weekly integration review</x:v>
      </x:c>
      <x:c r="M5" s="115"/>
      <x:c r="N5" s="115"/>
      <x:c r="O5" s="115"/>
      <x:c r="P5" s="115"/>
      <x:c r="Q5" s="115"/>
      <x:c r="R5" s="115"/>
      <x:c r="S5" s="115"/>
      <x:c r="T5" s="115"/>
      <x:c r="U5" s="115"/>
      <x:c r="V5" s="115"/>
      <x:c r="W5" s="115"/>
      <x:c r="X5" s="115"/>
      <x:c r="Y5" s="115"/>
      <x:c r="Z5" s="115"/>
    </x:row>
    <x:row r="6" ht="15" hidden="0" customHeight="1">
      <x:c r="A6" s="115" t="str">
        <x:v>M-003</x:v>
      </x:c>
      <x:c r="B6" s="115" t="str">
        <x:v>Day 30</x:v>
      </x:c>
      <x:c r="C6" s="115" t="str">
        <x:v>G&amp;A / SG&amp;A</x:v>
      </x:c>
      <x:c r="D6" s="115" t="str">
        <x:v>Confirm duplicate role list and severance plan</x:v>
      </x:c>
      <x:c r="E6" s="115" t="str">
        <x:v>CFO / CHRO</x:v>
      </x:c>
      <x:c r="F6" s="155" t="n">
        <x:v>46203</x:v>
      </x:c>
      <x:c r="G6" s="115" t="str">
        <x:v>Complete</x:v>
      </x:c>
      <x:c r="H6" s="115" t="str">
        <x:v>HR diligence</x:v>
      </x:c>
      <x:c r="I6" s="115" t="str">
        <x:v>High</x:v>
      </x:c>
      <x:c r="J6" s="115" t="n">
        <x:f>F6-Inputs!$B$15</x:f>
        <x:v>-62</x:v>
      </x:c>
      <x:c r="K6" s="115" t="str">
        <x:f>IF(AND(G6&lt;&gt;"Complete",F6&lt;Inputs!$B$15),"Late","")</x:f>
      </x:c>
      <x:c r="L6" s="115" t="str">
        <x:v>Needed for run-rate validation</x:v>
      </x:c>
      <x:c r="M6" s="115"/>
      <x:c r="N6" s="115"/>
      <x:c r="O6" s="115"/>
      <x:c r="P6" s="115"/>
      <x:c r="Q6" s="115"/>
      <x:c r="R6" s="115"/>
      <x:c r="S6" s="115"/>
      <x:c r="T6" s="115"/>
      <x:c r="U6" s="115"/>
      <x:c r="V6" s="115"/>
      <x:c r="W6" s="115"/>
      <x:c r="X6" s="115"/>
      <x:c r="Y6" s="115"/>
      <x:c r="Z6" s="115"/>
    </x:row>
    <x:row r="7" ht="15" hidden="0" customHeight="1">
      <x:c r="A7" s="115" t="str">
        <x:v>M-004</x:v>
      </x:c>
      <x:c r="B7" s="115" t="str">
        <x:v>Day 30</x:v>
      </x:c>
      <x:c r="C7" s="115" t="str">
        <x:v>Procurement</x:v>
      </x:c>
      <x:c r="D7" s="115" t="str">
        <x:v>Load target vendor master into spend cube</x:v>
      </x:c>
      <x:c r="E7" s="115" t="str">
        <x:v>CPO</x:v>
      </x:c>
      <x:c r="F7" s="155" t="n">
        <x:v>46203</x:v>
      </x:c>
      <x:c r="G7" s="115" t="str">
        <x:v>Complete</x:v>
      </x:c>
      <x:c r="H7" s="115" t="str">
        <x:v>AP extract</x:v>
      </x:c>
      <x:c r="I7" s="115" t="str">
        <x:v>High</x:v>
      </x:c>
      <x:c r="J7" s="115" t="n">
        <x:f>F7-Inputs!$B$15</x:f>
        <x:v>-62</x:v>
      </x:c>
      <x:c r="K7" s="115" t="str">
        <x:f>IF(AND(G7&lt;&gt;"Complete",F7&lt;Inputs!$B$15),"Late","")</x:f>
      </x:c>
      <x:c r="L7" s="115" t="str">
        <x:v>Supports quick-win sourcing</x:v>
      </x:c>
      <x:c r="M7" s="115"/>
      <x:c r="N7" s="115"/>
      <x:c r="O7" s="115"/>
      <x:c r="P7" s="115"/>
      <x:c r="Q7" s="115"/>
      <x:c r="R7" s="115"/>
      <x:c r="S7" s="115"/>
      <x:c r="T7" s="115"/>
      <x:c r="U7" s="115"/>
      <x:c r="V7" s="115"/>
      <x:c r="W7" s="115"/>
      <x:c r="X7" s="115"/>
      <x:c r="Y7" s="115"/>
      <x:c r="Z7" s="115"/>
    </x:row>
    <x:row r="8" ht="15" hidden="0" customHeight="1">
      <x:c r="A8" s="115" t="str">
        <x:v>M-005</x:v>
      </x:c>
      <x:c r="B8" s="115" t="str">
        <x:v>Day 60</x:v>
      </x:c>
      <x:c r="C8" s="115" t="str">
        <x:v>Revenue Leakage</x:v>
      </x:c>
      <x:c r="D8" s="115" t="str">
        <x:v>Complete contract-to-invoice audit</x:v>
      </x:c>
      <x:c r="E8" s="115" t="str">
        <x:v>CFO / CRO</x:v>
      </x:c>
      <x:c r="F8" s="155" t="n">
        <x:v>46234</x:v>
      </x:c>
      <x:c r="G8" s="115" t="str">
        <x:v>Complete</x:v>
      </x:c>
      <x:c r="H8" s="115" t="str">
        <x:v>Customer contracts</x:v>
      </x:c>
      <x:c r="I8" s="115" t="str">
        <x:v>High</x:v>
      </x:c>
      <x:c r="J8" s="115" t="n">
        <x:f>F8-Inputs!$B$15</x:f>
        <x:v>-31</x:v>
      </x:c>
      <x:c r="K8" s="115" t="str">
        <x:f>IF(AND(G8&lt;&gt;"Complete",F8&lt;Inputs!$B$15),"Late","")</x:f>
      </x:c>
      <x:c r="L8" s="115" t="str">
        <x:v>Billing correction workstream</x:v>
      </x:c>
      <x:c r="M8" s="115"/>
      <x:c r="N8" s="115"/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</x:row>
    <x:row r="9" ht="15" hidden="0" customHeight="1">
      <x:c r="A9" s="115" t="str">
        <x:v>M-006</x:v>
      </x:c>
      <x:c r="B9" s="115" t="str">
        <x:v>Day 60</x:v>
      </x:c>
      <x:c r="C9" s="115" t="str">
        <x:v>Systems / IT</x:v>
      </x:c>
      <x:c r="D9" s="115" t="str">
        <x:v>Finalize target ERP migration plan</x:v>
      </x:c>
      <x:c r="E9" s="115" t="str">
        <x:v>CIO</x:v>
      </x:c>
      <x:c r="F9" s="155" t="n">
        <x:v>46234</x:v>
      </x:c>
      <x:c r="G9" s="115" t="str">
        <x:v>In Progress</x:v>
      </x:c>
      <x:c r="H9" s="115" t="str">
        <x:v>Data mapping</x:v>
      </x:c>
      <x:c r="I9" s="115" t="str">
        <x:v>High</x:v>
      </x:c>
      <x:c r="J9" s="115" t="n">
        <x:f>F9-Inputs!$B$15</x:f>
        <x:v>-31</x:v>
      </x:c>
      <x:c r="K9" s="115" t="str">
        <x:f>IF(AND(G9&lt;&gt;"Complete",F9&lt;Inputs!$B$15),"Late","")</x:f>
        <x:v>Late</x:v>
      </x:c>
      <x:c r="L9" s="115" t="str">
        <x:v>Delay risk</x:v>
      </x:c>
      <x:c r="M9" s="115"/>
      <x:c r="N9" s="115"/>
      <x:c r="O9" s="115"/>
      <x:c r="P9" s="115"/>
      <x:c r="Q9" s="115"/>
      <x:c r="R9" s="115"/>
      <x:c r="S9" s="115"/>
      <x:c r="T9" s="115"/>
      <x:c r="U9" s="115"/>
      <x:c r="V9" s="115"/>
      <x:c r="W9" s="115"/>
      <x:c r="X9" s="115"/>
      <x:c r="Y9" s="115"/>
      <x:c r="Z9" s="115"/>
    </x:row>
    <x:row r="10" ht="15" hidden="0" customHeight="1">
      <x:c r="A10" s="115" t="str">
        <x:v>M-007</x:v>
      </x:c>
      <x:c r="B10" s="115" t="str">
        <x:v>Day 90</x:v>
      </x:c>
      <x:c r="C10" s="115" t="str">
        <x:v>Supply Chain / Logistics</x:v>
      </x:c>
      <x:c r="D10" s="115" t="str">
        <x:v>Move freight lanes to platform carriers</x:v>
      </x:c>
      <x:c r="E10" s="115" t="str">
        <x:v>VP Supply Chain</x:v>
      </x:c>
      <x:c r="F10" s="155" t="n">
        <x:v>46265</x:v>
      </x:c>
      <x:c r="G10" s="115" t="str">
        <x:v>In Progress</x:v>
      </x:c>
      <x:c r="H10" s="115" t="str">
        <x:v>Carrier contracts</x:v>
      </x:c>
      <x:c r="I10" s="115" t="str">
        <x:v>High</x:v>
      </x:c>
      <x:c r="J10" s="115" t="n">
        <x:f>F10-Inputs!$B$15</x:f>
        <x:v>0</x:v>
      </x:c>
      <x:c r="K10" s="115" t="str">
        <x:f>IF(AND(G10&lt;&gt;"Complete",F10&lt;Inputs!$B$15),"Late","")</x:f>
      </x:c>
      <x:c r="L10" s="115" t="str">
        <x:v>Track lane-level compliance</x:v>
      </x:c>
      <x:c r="M10" s="115"/>
      <x:c r="N10" s="115"/>
      <x:c r="O10" s="115"/>
      <x:c r="P10" s="115"/>
      <x:c r="Q10" s="115"/>
      <x:c r="R10" s="115"/>
      <x:c r="S10" s="115"/>
      <x:c r="T10" s="115"/>
      <x:c r="U10" s="115"/>
      <x:c r="V10" s="115"/>
      <x:c r="W10" s="115"/>
      <x:c r="X10" s="115"/>
      <x:c r="Y10" s="115"/>
      <x:c r="Z10" s="115"/>
    </x:row>
    <x:row r="11" ht="15" hidden="0" customHeight="1">
      <x:c r="A11" s="115" t="str">
        <x:v>M-008</x:v>
      </x:c>
      <x:c r="B11" s="115" t="str">
        <x:v>Day 90</x:v>
      </x:c>
      <x:c r="C11" s="115" t="str">
        <x:v>Finance / Back Office</x:v>
      </x:c>
      <x:c r="D11" s="115" t="str">
        <x:v>Move AP approval workflow to platform standard</x:v>
      </x:c>
      <x:c r="E11" s="115" t="str">
        <x:v>CFO</x:v>
      </x:c>
      <x:c r="F11" s="155" t="n">
        <x:v>46265</x:v>
      </x:c>
      <x:c r="G11" s="115" t="str">
        <x:v>In Progress</x:v>
      </x:c>
      <x:c r="H11" s="115" t="str">
        <x:v>PO policy</x:v>
      </x:c>
      <x:c r="I11" s="115" t="str">
        <x:v>Medium</x:v>
      </x:c>
      <x:c r="J11" s="115" t="n">
        <x:f>F11-Inputs!$B$15</x:f>
        <x:v>0</x:v>
      </x:c>
      <x:c r="K11" s="115" t="str">
        <x:f>IF(AND(G11&lt;&gt;"Complete",F11&lt;Inputs!$B$15),"Late","")</x:f>
      </x:c>
      <x:c r="L11" s="115" t="str">
        <x:v>Shared service dependency</x:v>
      </x:c>
      <x:c r="M11" s="115"/>
      <x:c r="N11" s="115"/>
      <x:c r="O11" s="115"/>
      <x:c r="P11" s="115"/>
      <x:c r="Q11" s="115"/>
      <x:c r="R11" s="115"/>
      <x:c r="S11" s="115"/>
      <x:c r="T11" s="115"/>
      <x:c r="U11" s="115"/>
      <x:c r="V11" s="115"/>
      <x:c r="W11" s="115"/>
      <x:c r="X11" s="115"/>
      <x:c r="Y11" s="115"/>
      <x:c r="Z11" s="115"/>
    </x:row>
    <x:row r="12" ht="15" hidden="0" customHeight="1">
      <x:c r="A12" s="115" t="str">
        <x:v>M-009</x:v>
      </x:c>
      <x:c r="B12" s="115" t="str">
        <x:v>Day 100</x:v>
      </x:c>
      <x:c r="C12" s="115" t="str">
        <x:v>Board / Governance</x:v>
      </x:c>
      <x:c r="D12" s="115" t="str">
        <x:v>Approve updated synergy forecast</x:v>
      </x:c>
      <x:c r="E12" s="115" t="str">
        <x:v>Integration Lead</x:v>
      </x:c>
      <x:c r="F12" s="155" t="n">
        <x:v>46273</x:v>
      </x:c>
      <x:c r="G12" s="115" t="str">
        <x:v>Not Started</x:v>
      </x:c>
      <x:c r="H12" s="115" t="str">
        <x:v>Validated tracker</x:v>
      </x:c>
      <x:c r="I12" s="115" t="str">
        <x:v>High</x:v>
      </x:c>
      <x:c r="J12" s="115" t="n">
        <x:f>F12-Inputs!$B$15</x:f>
        <x:v>8</x:v>
      </x:c>
      <x:c r="K12" s="115" t="str">
        <x:f>IF(AND(G12&lt;&gt;"Complete",F12&lt;Inputs!$B$15),"Late","")</x:f>
      </x:c>
      <x:c r="L12" s="115" t="str">
        <x:v>Board decision point</x:v>
      </x:c>
      <x:c r="M12" s="115"/>
      <x:c r="N12" s="115"/>
      <x:c r="O12" s="115"/>
      <x:c r="P12" s="115"/>
      <x:c r="Q12" s="115"/>
      <x:c r="R12" s="115"/>
      <x:c r="S12" s="115"/>
      <x:c r="T12" s="115"/>
      <x:c r="U12" s="115"/>
      <x:c r="V12" s="115"/>
      <x:c r="W12" s="115"/>
      <x:c r="X12" s="115"/>
      <x:c r="Y12" s="115"/>
      <x:c r="Z12" s="115"/>
    </x:row>
    <x:row r="13" ht="15" hidden="0" customHeight="1">
      <x:c r="A13" s="115" t="str">
        <x:v>M-010</x:v>
      </x:c>
      <x:c r="B13" s="115" t="str">
        <x:v>Month 6</x:v>
      </x:c>
      <x:c r="C13" s="115" t="str">
        <x:v>Procurement</x:v>
      </x:c>
      <x:c r="D13" s="115" t="str">
        <x:v>Complete top 10 supplier renegotiations</x:v>
      </x:c>
      <x:c r="E13" s="115" t="str">
        <x:v>CPO</x:v>
      </x:c>
      <x:c r="F13" s="155" t="n">
        <x:v>46356</x:v>
      </x:c>
      <x:c r="G13" s="115" t="str">
        <x:v>Not Started</x:v>
      </x:c>
      <x:c r="H13" s="115" t="str">
        <x:v>RFP launch</x:v>
      </x:c>
      <x:c r="I13" s="115" t="str">
        <x:v>High</x:v>
      </x:c>
      <x:c r="J13" s="115" t="n">
        <x:f>F13-Inputs!$B$15</x:f>
        <x:v>91</x:v>
      </x:c>
      <x:c r="K13" s="115" t="str">
        <x:f>IF(AND(G13&lt;&gt;"Complete",F13&lt;Inputs!$B$15),"Late","")</x:f>
      </x:c>
      <x:c r="L13" s="115" t="str">
        <x:v>Large cost synergy</x:v>
      </x:c>
      <x:c r="M13" s="115"/>
      <x:c r="N13" s="115"/>
      <x:c r="O13" s="115"/>
      <x:c r="P13" s="115"/>
      <x:c r="Q13" s="115"/>
      <x:c r="R13" s="115"/>
      <x:c r="S13" s="115"/>
      <x:c r="T13" s="115"/>
      <x:c r="U13" s="115"/>
      <x:c r="V13" s="115"/>
      <x:c r="W13" s="115"/>
      <x:c r="X13" s="115"/>
      <x:c r="Y13" s="115"/>
      <x:c r="Z13" s="115"/>
    </x:row>
    <x:row r="14" ht="15" hidden="0" customHeight="1">
      <x:c r="A14" s="115" t="str">
        <x:v>M-011</x:v>
      </x:c>
      <x:c r="B14" s="115" t="str">
        <x:v>Month 6</x:v>
      </x:c>
      <x:c r="C14" s="115" t="str">
        <x:v>Sales / Revenue</x:v>
      </x:c>
      <x:c r="D14" s="115" t="str">
        <x:v>Launch cross-sell playbook with top 50 accounts</x:v>
      </x:c>
      <x:c r="E14" s="115" t="str">
        <x:v>CRO</x:v>
      </x:c>
      <x:c r="F14" s="155" t="n">
        <x:v>46356</x:v>
      </x:c>
      <x:c r="G14" s="115" t="str">
        <x:v>In Progress</x:v>
      </x:c>
      <x:c r="H14" s="115" t="str">
        <x:v>Sales enablement</x:v>
      </x:c>
      <x:c r="I14" s="115" t="str">
        <x:v>High</x:v>
      </x:c>
      <x:c r="J14" s="115" t="n">
        <x:f>F14-Inputs!$B$15</x:f>
        <x:v>91</x:v>
      </x:c>
      <x:c r="K14" s="115" t="str">
        <x:f>IF(AND(G14&lt;&gt;"Complete",F14&lt;Inputs!$B$15),"Late","")</x:f>
      </x:c>
      <x:c r="L14" s="115" t="str">
        <x:v>Requires account mapping</x:v>
      </x:c>
      <x:c r="M14" s="115"/>
      <x:c r="N14" s="115"/>
      <x:c r="O14" s="115"/>
      <x:c r="P14" s="115"/>
      <x:c r="Q14" s="115"/>
      <x:c r="R14" s="115"/>
      <x:c r="S14" s="115"/>
      <x:c r="T14" s="115"/>
      <x:c r="U14" s="115"/>
      <x:c r="V14" s="115"/>
      <x:c r="W14" s="115"/>
      <x:c r="X14" s="115"/>
      <x:c r="Y14" s="115"/>
      <x:c r="Z14" s="115"/>
    </x:row>
    <x:row r="15" ht="15" hidden="0" customHeight="1">
      <x:c r="A15" s="115" t="str">
        <x:v>M-012</x:v>
      </x:c>
      <x:c r="B15" s="115" t="str">
        <x:v>Month 6</x:v>
      </x:c>
      <x:c r="C15" s="115" t="str">
        <x:v>G&amp;A / SG&amp;A</x:v>
      </x:c>
      <x:c r="D15" s="115" t="str">
        <x:v>Remove duplicated budget from FY27 plan</x:v>
      </x:c>
      <x:c r="E15" s="115" t="str">
        <x:v>CFO</x:v>
      </x:c>
      <x:c r="F15" s="155" t="n">
        <x:v>46371</x:v>
      </x:c>
      <x:c r="G15" s="115" t="str">
        <x:v>Not Started</x:v>
      </x:c>
      <x:c r="H15" s="115" t="str">
        <x:v>Budget cycle</x:v>
      </x:c>
      <x:c r="I15" s="115" t="str">
        <x:v>High</x:v>
      </x:c>
      <x:c r="J15" s="115" t="n">
        <x:f>F15-Inputs!$B$15</x:f>
        <x:v>106</x:v>
      </x:c>
      <x:c r="K15" s="115" t="str">
        <x:f>IF(AND(G15&lt;&gt;"Complete",F15&lt;Inputs!$B$15),"Late","")</x:f>
      </x:c>
      <x:c r="L15" s="115" t="str">
        <x:v>Proof of EBITDA capture</x:v>
      </x:c>
      <x:c r="M15" s="115"/>
      <x:c r="N15" s="115"/>
      <x:c r="O15" s="115"/>
      <x:c r="P15" s="115"/>
      <x:c r="Q15" s="115"/>
      <x:c r="R15" s="115"/>
      <x:c r="S15" s="115"/>
      <x:c r="T15" s="115"/>
      <x:c r="U15" s="115"/>
      <x:c r="V15" s="115"/>
      <x:c r="W15" s="115"/>
      <x:c r="X15" s="115"/>
      <x:c r="Y15" s="115"/>
      <x:c r="Z15" s="115"/>
    </x:row>
    <x:row r="16" ht="15" hidden="0" customHeight="1">
      <x:c r="A16" s="115" t="str">
        <x:v>M-013</x:v>
      </x:c>
      <x:c r="B16" s="115" t="str">
        <x:v>Month 9</x:v>
      </x:c>
      <x:c r="C16" s="115" t="str">
        <x:v>Systems / IT</x:v>
      </x:c>
      <x:c r="D16" s="115" t="str">
        <x:v>Migrate core financial data to platform ERP</x:v>
      </x:c>
      <x:c r="E16" s="115" t="str">
        <x:v>CIO</x:v>
      </x:c>
      <x:c r="F16" s="155" t="n">
        <x:v>46446</x:v>
      </x:c>
      <x:c r="G16" s="115" t="str">
        <x:v>At Risk</x:v>
      </x:c>
      <x:c r="H16" s="115" t="str">
        <x:v>ERP migration plan</x:v>
      </x:c>
      <x:c r="I16" s="115" t="str">
        <x:v>High</x:v>
      </x:c>
      <x:c r="J16" s="115" t="n">
        <x:f>F16-Inputs!$B$15</x:f>
        <x:v>181</x:v>
      </x:c>
      <x:c r="K16" s="115" t="str">
        <x:f>IF(AND(G16&lt;&gt;"Complete",F16&lt;Inputs!$B$15),"Late","")</x:f>
      </x:c>
      <x:c r="L16" s="115" t="str">
        <x:v>At-risk dependency for license savings</x:v>
      </x:c>
      <x:c r="M16" s="115"/>
      <x:c r="N16" s="115"/>
      <x:c r="O16" s="115"/>
      <x:c r="P16" s="115"/>
      <x:c r="Q16" s="115"/>
      <x:c r="R16" s="115"/>
      <x:c r="S16" s="115"/>
      <x:c r="T16" s="115"/>
      <x:c r="U16" s="115"/>
      <x:c r="V16" s="115"/>
      <x:c r="W16" s="115"/>
      <x:c r="X16" s="115"/>
      <x:c r="Y16" s="115"/>
      <x:c r="Z16" s="115"/>
    </x:row>
    <x:row r="17" ht="15" hidden="0" customHeight="1">
      <x:c r="A17" s="115" t="str">
        <x:v>M-014</x:v>
      </x:c>
      <x:c r="B17" s="115" t="str">
        <x:v>Month 9</x:v>
      </x:c>
      <x:c r="C17" s="115" t="str">
        <x:v>Facilities / Footprint</x:v>
      </x:c>
      <x:c r="D17" s="115" t="str">
        <x:v>Negotiate regional office lease exit</x:v>
      </x:c>
      <x:c r="E17" s="115" t="str">
        <x:v>COO</x:v>
      </x:c>
      <x:c r="F17" s="155" t="n">
        <x:v>46446</x:v>
      </x:c>
      <x:c r="G17" s="115" t="str">
        <x:v>Not Started</x:v>
      </x:c>
      <x:c r="H17" s="115" t="str">
        <x:v>Legal review</x:v>
      </x:c>
      <x:c r="I17" s="115" t="str">
        <x:v>Medium</x:v>
      </x:c>
      <x:c r="J17" s="115" t="n">
        <x:f>F17-Inputs!$B$15</x:f>
        <x:v>181</x:v>
      </x:c>
      <x:c r="K17" s="115" t="str">
        <x:f>IF(AND(G17&lt;&gt;"Complete",F17&lt;Inputs!$B$15),"Late","")</x:f>
      </x:c>
      <x:c r="L17" s="115" t="str">
        <x:v>Landlord discussion needed</x:v>
      </x:c>
      <x:c r="M17" s="115"/>
      <x:c r="N17" s="115"/>
      <x:c r="O17" s="115"/>
      <x:c r="P17" s="115"/>
      <x:c r="Q17" s="115"/>
      <x:c r="R17" s="115"/>
      <x:c r="S17" s="115"/>
      <x:c r="T17" s="115"/>
      <x:c r="U17" s="115"/>
      <x:c r="V17" s="115"/>
      <x:c r="W17" s="115"/>
      <x:c r="X17" s="115"/>
      <x:c r="Y17" s="115"/>
      <x:c r="Z17" s="115"/>
    </x:row>
    <x:row r="18" ht="15" hidden="0" customHeight="1">
      <x:c r="A18" s="115" t="str">
        <x:v>M-015</x:v>
      </x:c>
      <x:c r="B18" s="115" t="str">
        <x:v>Month 12</x:v>
      </x:c>
      <x:c r="C18" s="115" t="str">
        <x:v>Systems / IT</x:v>
      </x:c>
      <x:c r="D18" s="115" t="str">
        <x:v>Decommission target ERP</x:v>
      </x:c>
      <x:c r="E18" s="115" t="str">
        <x:v>CIO</x:v>
      </x:c>
      <x:c r="F18" s="155" t="n">
        <x:v>46538</x:v>
      </x:c>
      <x:c r="G18" s="115" t="str">
        <x:v>Not Started</x:v>
      </x:c>
      <x:c r="H18" s="115" t="str">
        <x:v>ERP migration</x:v>
      </x:c>
      <x:c r="I18" s="115" t="str">
        <x:v>High</x:v>
      </x:c>
      <x:c r="J18" s="115" t="n">
        <x:f>F18-Inputs!$B$15</x:f>
        <x:v>273</x:v>
      </x:c>
      <x:c r="K18" s="115" t="str">
        <x:f>IF(AND(G18&lt;&gt;"Complete",F18&lt;Inputs!$B$15),"Late","")</x:f>
      </x:c>
      <x:c r="L18" s="115" t="str">
        <x:v>Unlocks IT savings</x:v>
      </x:c>
      <x:c r="M18" s="115"/>
      <x:c r="N18" s="115"/>
      <x:c r="O18" s="115"/>
      <x:c r="P18" s="115"/>
      <x:c r="Q18" s="115"/>
      <x:c r="R18" s="115"/>
      <x:c r="S18" s="115"/>
      <x:c r="T18" s="115"/>
      <x:c r="U18" s="115"/>
      <x:c r="V18" s="115"/>
      <x:c r="W18" s="115"/>
      <x:c r="X18" s="115"/>
      <x:c r="Y18" s="115"/>
      <x:c r="Z18" s="115"/>
    </x:row>
    <x:row r="19" ht="15" hidden="0" customHeight="1">
      <x:c r="A19" s="115" t="str">
        <x:v>M-016</x:v>
      </x:c>
      <x:c r="B19" s="115" t="str">
        <x:v>Month 12</x:v>
      </x:c>
      <x:c r="C19" s="115" t="str">
        <x:v>Revenue / Cross-sell</x:v>
      </x:c>
      <x:c r="D19" s="115" t="str">
        <x:v>Validate first-year cross-sell contribution margin</x:v>
      </x:c>
      <x:c r="E19" s="115" t="str">
        <x:v>CRO / CFO</x:v>
      </x:c>
      <x:c r="F19" s="155" t="n">
        <x:v>46538</x:v>
      </x:c>
      <x:c r="G19" s="115" t="str">
        <x:v>Not Started</x:v>
      </x:c>
      <x:c r="H19" s="115" t="str">
        <x:v>Booked revenue</x:v>
      </x:c>
      <x:c r="I19" s="115" t="str">
        <x:v>High</x:v>
      </x:c>
      <x:c r="J19" s="115" t="n">
        <x:f>F19-Inputs!$B$15</x:f>
        <x:v>273</x:v>
      </x:c>
      <x:c r="K19" s="115" t="str">
        <x:f>IF(AND(G19&lt;&gt;"Complete",F19&lt;Inputs!$B$15),"Late","")</x:f>
      </x:c>
      <x:c r="L19" s="115" t="str">
        <x:v>Revenue synergy proof</x:v>
      </x:c>
      <x:c r="M19" s="115"/>
      <x:c r="N19" s="115"/>
      <x:c r="O19" s="115"/>
      <x:c r="P19" s="115"/>
      <x:c r="Q19" s="115"/>
      <x:c r="R19" s="115"/>
      <x:c r="S19" s="115"/>
      <x:c r="T19" s="115"/>
      <x:c r="U19" s="115"/>
      <x:c r="V19" s="115"/>
      <x:c r="W19" s="115"/>
      <x:c r="X19" s="115"/>
      <x:c r="Y19" s="115"/>
      <x:c r="Z19" s="115"/>
    </x:row>
    <x:row r="20" ht="15" hidden="0" customHeight="1">
      <x:c r="A20" s="115" t="str">
        <x:v>M-017</x:v>
      </x:c>
      <x:c r="B20" s="115" t="str">
        <x:v>Month 12</x:v>
      </x:c>
      <x:c r="C20" s="115" t="str">
        <x:v>Integration Office</x:v>
      </x:c>
      <x:c r="D20" s="115" t="str">
        <x:v>Close integration office or transition to BAU owners</x:v>
      </x:c>
      <x:c r="E20" s="115" t="str">
        <x:v>Integration Lead</x:v>
      </x:c>
      <x:c r="F20" s="155" t="n">
        <x:v>46568</x:v>
      </x:c>
      <x:c r="G20" s="115" t="str">
        <x:v>Not Started</x:v>
      </x:c>
      <x:c r="H20" s="115" t="str">
        <x:v>All workstreams</x:v>
      </x:c>
      <x:c r="I20" s="115" t="str">
        <x:v>Medium</x:v>
      </x:c>
      <x:c r="J20" s="115" t="n">
        <x:f>F20-Inputs!$B$15</x:f>
        <x:v>303</x:v>
      </x:c>
      <x:c r="K20" s="115" t="str">
        <x:f>IF(AND(G20&lt;&gt;"Complete",F20&lt;Inputs!$B$15),"Late","")</x:f>
      </x:c>
      <x:c r="L20" s="115" t="str">
        <x:v>Institutionalize tracking</x:v>
      </x:c>
      <x:c r="M20" s="115"/>
      <x:c r="N20" s="115"/>
      <x:c r="O20" s="115"/>
      <x:c r="P20" s="115"/>
      <x:c r="Q20" s="115"/>
      <x:c r="R20" s="115"/>
      <x:c r="S20" s="115"/>
      <x:c r="T20" s="115"/>
      <x:c r="U20" s="115"/>
      <x:c r="V20" s="115"/>
      <x:c r="W20" s="115"/>
      <x:c r="X20" s="115"/>
      <x:c r="Y20" s="115"/>
      <x:c r="Z20" s="115"/>
    </x:row>
    <x:row r="21" ht="15" hidden="0" customHeight="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  <x:c r="S21" s="115"/>
      <x:c r="T21" s="115"/>
      <x:c r="U21" s="115"/>
      <x:c r="V21" s="115"/>
      <x:c r="W21" s="115"/>
      <x:c r="X21" s="115"/>
      <x:c r="Y21" s="115"/>
      <x:c r="Z21" s="115"/>
    </x:row>
    <x:row r="22" ht="15" hidden="0" customHeight="1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  <x:c r="S22" s="115"/>
      <x:c r="T22" s="115"/>
      <x:c r="U22" s="115"/>
      <x:c r="V22" s="115"/>
      <x:c r="W22" s="115"/>
      <x:c r="X22" s="115"/>
      <x:c r="Y22" s="115"/>
      <x:c r="Z22" s="115"/>
    </x:row>
    <x:row r="23" ht="15" hidden="0" customHeight="1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  <x:c r="S23" s="115"/>
      <x:c r="T23" s="115"/>
      <x:c r="U23" s="115"/>
      <x:c r="V23" s="115"/>
      <x:c r="W23" s="115"/>
      <x:c r="X23" s="115"/>
      <x:c r="Y23" s="115"/>
      <x:c r="Z23" s="115"/>
    </x:row>
    <x:row r="24" ht="15" hidden="0" customHeight="1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  <x:c r="S24" s="115"/>
      <x:c r="T24" s="115"/>
      <x:c r="U24" s="115"/>
      <x:c r="V24" s="115"/>
      <x:c r="W24" s="115"/>
      <x:c r="X24" s="115"/>
      <x:c r="Y24" s="115"/>
      <x:c r="Z24" s="115"/>
    </x:row>
    <x:row r="25" ht="15" hidden="0" customHeight="1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  <x:c r="S25" s="115"/>
      <x:c r="T25" s="115"/>
      <x:c r="U25" s="115"/>
      <x:c r="V25" s="115"/>
      <x:c r="W25" s="115"/>
      <x:c r="X25" s="115"/>
      <x:c r="Y25" s="115"/>
      <x:c r="Z25" s="115"/>
    </x:row>
    <x:row r="26" ht="15" hidden="0" customHeight="1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  <x:c r="S26" s="115"/>
      <x:c r="T26" s="115"/>
      <x:c r="U26" s="115"/>
      <x:c r="V26" s="115"/>
      <x:c r="W26" s="115"/>
      <x:c r="X26" s="115"/>
      <x:c r="Y26" s="115"/>
      <x:c r="Z26" s="115"/>
    </x:row>
    <x:row r="27" ht="15" hidden="0" customHeight="1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  <x:c r="S27" s="115"/>
      <x:c r="T27" s="115"/>
      <x:c r="U27" s="115"/>
      <x:c r="V27" s="115"/>
      <x:c r="W27" s="115"/>
      <x:c r="X27" s="115"/>
      <x:c r="Y27" s="115"/>
      <x:c r="Z27" s="115"/>
    </x:row>
    <x:row r="28" ht="15" hidden="0" customHeight="1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  <x:c r="S28" s="115"/>
      <x:c r="T28" s="115"/>
      <x:c r="U28" s="115"/>
      <x:c r="V28" s="115"/>
      <x:c r="W28" s="115"/>
      <x:c r="X28" s="115"/>
      <x:c r="Y28" s="115"/>
      <x:c r="Z28" s="115"/>
    </x:row>
    <x:row r="29" ht="15" hidden="0" customHeight="1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  <x:c r="S29" s="115"/>
      <x:c r="T29" s="115"/>
      <x:c r="U29" s="115"/>
      <x:c r="V29" s="115"/>
      <x:c r="W29" s="115"/>
      <x:c r="X29" s="115"/>
      <x:c r="Y29" s="115"/>
      <x:c r="Z29" s="115"/>
    </x:row>
    <x:row r="30" ht="15" hidden="0" customHeight="1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  <x:c r="S30" s="115"/>
      <x:c r="T30" s="115"/>
      <x:c r="U30" s="115"/>
      <x:c r="V30" s="115"/>
      <x:c r="W30" s="115"/>
      <x:c r="X30" s="115"/>
      <x:c r="Y30" s="115"/>
      <x:c r="Z30" s="115"/>
    </x:row>
    <x:row r="31" ht="15" hidden="0" customHeight="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  <x:c r="S31" s="115"/>
      <x:c r="T31" s="115"/>
      <x:c r="U31" s="115"/>
      <x:c r="V31" s="115"/>
      <x:c r="W31" s="115"/>
      <x:c r="X31" s="115"/>
      <x:c r="Y31" s="115"/>
      <x:c r="Z31" s="115"/>
    </x:row>
    <x:row r="32" ht="15" hidden="0" customHeight="1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  <x:c r="S32" s="115"/>
      <x:c r="T32" s="115"/>
      <x:c r="U32" s="115"/>
      <x:c r="V32" s="115"/>
      <x:c r="W32" s="115"/>
      <x:c r="X32" s="115"/>
      <x:c r="Y32" s="115"/>
      <x:c r="Z32" s="115"/>
    </x:row>
    <x:row r="33" ht="15" hidden="0" customHeight="1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  <x:c r="S33" s="115"/>
      <x:c r="T33" s="115"/>
      <x:c r="U33" s="115"/>
      <x:c r="V33" s="115"/>
      <x:c r="W33" s="115"/>
      <x:c r="X33" s="115"/>
      <x:c r="Y33" s="115"/>
      <x:c r="Z33" s="115"/>
    </x:row>
    <x:row r="34" ht="15" hidden="0" customHeight="1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  <x:c r="S34" s="115"/>
      <x:c r="T34" s="115"/>
      <x:c r="U34" s="115"/>
      <x:c r="V34" s="115"/>
      <x:c r="W34" s="115"/>
      <x:c r="X34" s="115"/>
      <x:c r="Y34" s="115"/>
      <x:c r="Z34" s="115"/>
    </x:row>
    <x:row r="35" ht="15" hidden="0" customHeight="1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  <x:c r="S35" s="115"/>
      <x:c r="T35" s="115"/>
      <x:c r="U35" s="115"/>
      <x:c r="V35" s="115"/>
      <x:c r="W35" s="115"/>
      <x:c r="X35" s="115"/>
      <x:c r="Y35" s="115"/>
      <x:c r="Z35" s="115"/>
    </x:row>
    <x:row r="36" ht="15" hidden="0" customHeight="1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  <x:c r="S36" s="115"/>
      <x:c r="T36" s="115"/>
      <x:c r="U36" s="115"/>
      <x:c r="V36" s="115"/>
      <x:c r="W36" s="115"/>
      <x:c r="X36" s="115"/>
      <x:c r="Y36" s="115"/>
      <x:c r="Z36" s="115"/>
    </x:row>
    <x:row r="37" ht="15" hidden="0" customHeight="1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  <x:c r="S37" s="115"/>
      <x:c r="T37" s="115"/>
      <x:c r="U37" s="115"/>
      <x:c r="V37" s="115"/>
      <x:c r="W37" s="115"/>
      <x:c r="X37" s="115"/>
      <x:c r="Y37" s="115"/>
      <x:c r="Z37" s="115"/>
    </x:row>
    <x:row r="38" ht="15" hidden="0" customHeight="1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  <x:c r="S38" s="115"/>
      <x:c r="T38" s="115"/>
      <x:c r="U38" s="115"/>
      <x:c r="V38" s="115"/>
      <x:c r="W38" s="115"/>
      <x:c r="X38" s="115"/>
      <x:c r="Y38" s="115"/>
      <x:c r="Z38" s="115"/>
    </x:row>
    <x:row r="39" ht="15" hidden="0" customHeight="1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  <x:c r="S39" s="115"/>
      <x:c r="T39" s="115"/>
      <x:c r="U39" s="115"/>
      <x:c r="V39" s="115"/>
      <x:c r="W39" s="115"/>
      <x:c r="X39" s="115"/>
      <x:c r="Y39" s="115"/>
      <x:c r="Z39" s="115"/>
    </x:row>
    <x:row r="40" ht="15" hidden="0" customHeight="1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  <x:c r="S40" s="115"/>
      <x:c r="T40" s="115"/>
      <x:c r="U40" s="115"/>
      <x:c r="V40" s="115"/>
      <x:c r="W40" s="115"/>
      <x:c r="X40" s="115"/>
      <x:c r="Y40" s="115"/>
      <x:c r="Z40" s="115"/>
    </x:row>
    <x:row r="41" ht="15" hidden="0" customHeight="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  <x:c r="S41" s="115"/>
      <x:c r="T41" s="115"/>
      <x:c r="U41" s="115"/>
      <x:c r="V41" s="115"/>
      <x:c r="W41" s="115"/>
      <x:c r="X41" s="115"/>
      <x:c r="Y41" s="115"/>
      <x:c r="Z41" s="115"/>
    </x:row>
    <x:row r="42" ht="15" hidden="0" customHeight="1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5"/>
      <x:c r="U42" s="115"/>
      <x:c r="V42" s="115"/>
      <x:c r="W42" s="115"/>
      <x:c r="X42" s="115"/>
      <x:c r="Y42" s="115"/>
      <x:c r="Z42" s="115"/>
    </x:row>
    <x:row r="43" ht="15" hidden="0" customHeight="1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  <x:c r="S43" s="115"/>
      <x:c r="T43" s="115"/>
      <x:c r="U43" s="115"/>
      <x:c r="V43" s="115"/>
      <x:c r="W43" s="115"/>
      <x:c r="X43" s="115"/>
      <x:c r="Y43" s="115"/>
      <x:c r="Z43" s="115"/>
    </x:row>
    <x:row r="44" ht="15" hidden="0" customHeight="1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  <x:c r="S44" s="115"/>
      <x:c r="T44" s="115"/>
      <x:c r="U44" s="115"/>
      <x:c r="V44" s="115"/>
      <x:c r="W44" s="115"/>
      <x:c r="X44" s="115"/>
      <x:c r="Y44" s="115"/>
      <x:c r="Z44" s="115"/>
    </x:row>
    <x:row r="45" ht="15" hidden="0" customHeight="1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  <x:c r="S45" s="115"/>
      <x:c r="T45" s="115"/>
      <x:c r="U45" s="115"/>
      <x:c r="V45" s="115"/>
      <x:c r="W45" s="115"/>
      <x:c r="X45" s="115"/>
      <x:c r="Y45" s="115"/>
      <x:c r="Z45" s="115"/>
    </x:row>
    <x:row r="46" ht="15" hidden="0" customHeight="1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  <x:c r="S46" s="115"/>
      <x:c r="T46" s="115"/>
      <x:c r="U46" s="115"/>
      <x:c r="V46" s="115"/>
      <x:c r="W46" s="115"/>
      <x:c r="X46" s="115"/>
      <x:c r="Y46" s="115"/>
      <x:c r="Z46" s="115"/>
    </x:row>
    <x:row r="47" ht="15" hidden="0" customHeight="1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  <x:c r="S47" s="115"/>
      <x:c r="T47" s="115"/>
      <x:c r="U47" s="115"/>
      <x:c r="V47" s="115"/>
      <x:c r="W47" s="115"/>
      <x:c r="X47" s="115"/>
      <x:c r="Y47" s="115"/>
      <x:c r="Z47" s="115"/>
    </x:row>
    <x:row r="48" ht="15" hidden="0" customHeight="1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  <x:c r="S48" s="115"/>
      <x:c r="T48" s="115"/>
      <x:c r="U48" s="115"/>
      <x:c r="V48" s="115"/>
      <x:c r="W48" s="115"/>
      <x:c r="X48" s="115"/>
      <x:c r="Y48" s="115"/>
      <x:c r="Z48" s="115"/>
    </x:row>
    <x:row r="49" ht="15" hidden="0" customHeight="1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  <x:c r="S49" s="115"/>
      <x:c r="T49" s="115"/>
      <x:c r="U49" s="115"/>
      <x:c r="V49" s="115"/>
      <x:c r="W49" s="115"/>
      <x:c r="X49" s="115"/>
      <x:c r="Y49" s="115"/>
      <x:c r="Z49" s="115"/>
    </x:row>
    <x:row r="50" ht="15" hidden="0" customHeight="1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  <x:c r="S50" s="115"/>
      <x:c r="T50" s="115"/>
      <x:c r="U50" s="115"/>
      <x:c r="V50" s="115"/>
      <x:c r="W50" s="115"/>
      <x:c r="X50" s="115"/>
      <x:c r="Y50" s="115"/>
      <x:c r="Z50" s="115"/>
    </x:row>
    <x:row r="51" ht="15" hidden="0" customHeight="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  <x:c r="S51" s="115"/>
      <x:c r="T51" s="115"/>
      <x:c r="U51" s="115"/>
      <x:c r="V51" s="115"/>
      <x:c r="W51" s="115"/>
      <x:c r="X51" s="115"/>
      <x:c r="Y51" s="115"/>
      <x:c r="Z51" s="115"/>
    </x:row>
    <x:row r="52" ht="15" hidden="0" customHeight="1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  <x:c r="S52" s="115"/>
      <x:c r="T52" s="115"/>
      <x:c r="U52" s="115"/>
      <x:c r="V52" s="115"/>
      <x:c r="W52" s="115"/>
      <x:c r="X52" s="115"/>
      <x:c r="Y52" s="115"/>
      <x:c r="Z52" s="115"/>
    </x:row>
    <x:row r="53" ht="15" hidden="0" customHeight="1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  <x:c r="S53" s="115"/>
      <x:c r="T53" s="115"/>
      <x:c r="U53" s="115"/>
      <x:c r="V53" s="115"/>
      <x:c r="W53" s="115"/>
      <x:c r="X53" s="115"/>
      <x:c r="Y53" s="115"/>
      <x:c r="Z53" s="115"/>
    </x:row>
    <x:row r="54" ht="15" hidden="0" customHeight="1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  <x:c r="S54" s="115"/>
      <x:c r="T54" s="115"/>
      <x:c r="U54" s="115"/>
      <x:c r="V54" s="115"/>
      <x:c r="W54" s="115"/>
      <x:c r="X54" s="115"/>
      <x:c r="Y54" s="115"/>
      <x:c r="Z54" s="115"/>
    </x:row>
    <x:row r="55" ht="15" hidden="0" customHeight="1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  <x:c r="S55" s="115"/>
      <x:c r="T55" s="115"/>
      <x:c r="U55" s="115"/>
      <x:c r="V55" s="115"/>
      <x:c r="W55" s="115"/>
      <x:c r="X55" s="115"/>
      <x:c r="Y55" s="115"/>
      <x:c r="Z55" s="115"/>
    </x:row>
    <x:row r="56" ht="15" hidden="0" customHeight="1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  <x:c r="S56" s="115"/>
      <x:c r="T56" s="115"/>
      <x:c r="U56" s="115"/>
      <x:c r="V56" s="115"/>
      <x:c r="W56" s="115"/>
      <x:c r="X56" s="115"/>
      <x:c r="Y56" s="115"/>
      <x:c r="Z56" s="115"/>
    </x:row>
    <x:row r="57" ht="15" hidden="0" customHeight="1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  <x:c r="S57" s="115"/>
      <x:c r="T57" s="115"/>
      <x:c r="U57" s="115"/>
      <x:c r="V57" s="115"/>
      <x:c r="W57" s="115"/>
      <x:c r="X57" s="115"/>
      <x:c r="Y57" s="115"/>
      <x:c r="Z57" s="115"/>
    </x:row>
    <x:row r="58" ht="15" hidden="0" customHeight="1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  <x:c r="S58" s="115"/>
      <x:c r="T58" s="115"/>
      <x:c r="U58" s="115"/>
      <x:c r="V58" s="115"/>
      <x:c r="W58" s="115"/>
      <x:c r="X58" s="115"/>
      <x:c r="Y58" s="115"/>
      <x:c r="Z58" s="115"/>
    </x:row>
    <x:row r="59" ht="15" hidden="0" customHeight="1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15"/>
      <x:c r="T59" s="115"/>
      <x:c r="U59" s="115"/>
      <x:c r="V59" s="115"/>
      <x:c r="W59" s="115"/>
      <x:c r="X59" s="115"/>
      <x:c r="Y59" s="115"/>
      <x:c r="Z59" s="115"/>
    </x:row>
    <x:row r="60" ht="15" hidden="0" customHeight="1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15"/>
      <x:c r="T60" s="115"/>
      <x:c r="U60" s="115"/>
      <x:c r="V60" s="115"/>
      <x:c r="W60" s="115"/>
      <x:c r="X60" s="115"/>
      <x:c r="Y60" s="115"/>
      <x:c r="Z60" s="115"/>
    </x:row>
    <x:row r="61" ht="15" hidden="0" customHeight="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  <x:c r="S61" s="115"/>
      <x:c r="T61" s="115"/>
      <x:c r="U61" s="115"/>
      <x:c r="V61" s="115"/>
      <x:c r="W61" s="115"/>
      <x:c r="X61" s="115"/>
      <x:c r="Y61" s="115"/>
      <x:c r="Z61" s="115"/>
    </x:row>
    <x:row r="62" ht="15" hidden="0" customHeight="1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  <x:c r="S62" s="115"/>
      <x:c r="T62" s="115"/>
      <x:c r="U62" s="115"/>
      <x:c r="V62" s="115"/>
      <x:c r="W62" s="115"/>
      <x:c r="X62" s="115"/>
      <x:c r="Y62" s="115"/>
      <x:c r="Z62" s="115"/>
    </x:row>
    <x:row r="63" ht="15" hidden="0" customHeight="1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5"/>
      <x:c r="T63" s="115"/>
      <x:c r="U63" s="115"/>
      <x:c r="V63" s="115"/>
      <x:c r="W63" s="115"/>
      <x:c r="X63" s="115"/>
      <x:c r="Y63" s="115"/>
      <x:c r="Z63" s="115"/>
    </x:row>
    <x:row r="64" ht="15" hidden="0" customHeight="1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  <x:c r="S64" s="115"/>
      <x:c r="T64" s="115"/>
      <x:c r="U64" s="115"/>
      <x:c r="V64" s="115"/>
      <x:c r="W64" s="115"/>
      <x:c r="X64" s="115"/>
      <x:c r="Y64" s="115"/>
      <x:c r="Z64" s="115"/>
    </x:row>
    <x:row r="65" ht="15" hidden="0" customHeight="1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  <x:c r="S65" s="115"/>
      <x:c r="T65" s="115"/>
      <x:c r="U65" s="115"/>
      <x:c r="V65" s="115"/>
      <x:c r="W65" s="115"/>
      <x:c r="X65" s="115"/>
      <x:c r="Y65" s="115"/>
      <x:c r="Z65" s="115"/>
    </x:row>
    <x:row r="66" ht="15" hidden="0" customHeight="1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  <x:c r="S66" s="115"/>
      <x:c r="T66" s="115"/>
      <x:c r="U66" s="115"/>
      <x:c r="V66" s="115"/>
      <x:c r="W66" s="115"/>
      <x:c r="X66" s="115"/>
      <x:c r="Y66" s="115"/>
      <x:c r="Z66" s="115"/>
    </x:row>
    <x:row r="67" ht="15" hidden="0" customHeight="1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  <x:c r="S67" s="115"/>
      <x:c r="T67" s="115"/>
      <x:c r="U67" s="115"/>
      <x:c r="V67" s="115"/>
      <x:c r="W67" s="115"/>
      <x:c r="X67" s="115"/>
      <x:c r="Y67" s="115"/>
      <x:c r="Z67" s="115"/>
    </x:row>
    <x:row r="68" ht="15" hidden="0" customHeight="1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  <x:c r="S68" s="115"/>
      <x:c r="T68" s="115"/>
      <x:c r="U68" s="115"/>
      <x:c r="V68" s="115"/>
      <x:c r="W68" s="115"/>
      <x:c r="X68" s="115"/>
      <x:c r="Y68" s="115"/>
      <x:c r="Z68" s="115"/>
    </x:row>
    <x:row r="69" ht="15" hidden="0" customHeight="1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  <x:c r="S69" s="115"/>
      <x:c r="T69" s="115"/>
      <x:c r="U69" s="115"/>
      <x:c r="V69" s="115"/>
      <x:c r="W69" s="115"/>
      <x:c r="X69" s="115"/>
      <x:c r="Y69" s="115"/>
      <x:c r="Z69" s="115"/>
    </x:row>
    <x:row r="70" ht="15" hidden="0" customHeight="1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  <x:c r="S70" s="115"/>
      <x:c r="T70" s="115"/>
      <x:c r="U70" s="115"/>
      <x:c r="V70" s="115"/>
      <x:c r="W70" s="115"/>
      <x:c r="X70" s="115"/>
      <x:c r="Y70" s="115"/>
      <x:c r="Z70" s="115"/>
    </x:row>
    <x:row r="71" ht="15" hidden="0" customHeight="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  <x:c r="S71" s="115"/>
      <x:c r="T71" s="115"/>
      <x:c r="U71" s="115"/>
      <x:c r="V71" s="115"/>
      <x:c r="W71" s="115"/>
      <x:c r="X71" s="115"/>
      <x:c r="Y71" s="115"/>
      <x:c r="Z71" s="115"/>
    </x:row>
    <x:row r="72" ht="15" hidden="0" customHeight="1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  <x:c r="S72" s="115"/>
      <x:c r="T72" s="115"/>
      <x:c r="U72" s="115"/>
      <x:c r="V72" s="115"/>
      <x:c r="W72" s="115"/>
      <x:c r="X72" s="115"/>
      <x:c r="Y72" s="115"/>
      <x:c r="Z72" s="115"/>
    </x:row>
    <x:row r="73" ht="15" hidden="0" customHeight="1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  <x:c r="S73" s="115"/>
      <x:c r="T73" s="115"/>
      <x:c r="U73" s="115"/>
      <x:c r="V73" s="115"/>
      <x:c r="W73" s="115"/>
      <x:c r="X73" s="115"/>
      <x:c r="Y73" s="115"/>
      <x:c r="Z73" s="115"/>
    </x:row>
    <x:row r="74" ht="15" hidden="0" customHeight="1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  <x:c r="S74" s="115"/>
      <x:c r="T74" s="115"/>
      <x:c r="U74" s="115"/>
      <x:c r="V74" s="115"/>
      <x:c r="W74" s="115"/>
      <x:c r="X74" s="115"/>
      <x:c r="Y74" s="115"/>
      <x:c r="Z74" s="115"/>
    </x:row>
    <x:row r="75" ht="15" hidden="0" customHeight="1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  <x:c r="S75" s="115"/>
      <x:c r="T75" s="115"/>
      <x:c r="U75" s="115"/>
      <x:c r="V75" s="115"/>
      <x:c r="W75" s="115"/>
      <x:c r="X75" s="115"/>
      <x:c r="Y75" s="115"/>
      <x:c r="Z75" s="115"/>
    </x:row>
    <x:row r="76" ht="15" hidden="0" customHeight="1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  <x:c r="S76" s="115"/>
      <x:c r="T76" s="115"/>
      <x:c r="U76" s="115"/>
      <x:c r="V76" s="115"/>
      <x:c r="W76" s="115"/>
      <x:c r="X76" s="115"/>
      <x:c r="Y76" s="115"/>
      <x:c r="Z76" s="115"/>
    </x:row>
    <x:row r="77" ht="15" hidden="0" customHeight="1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  <x:c r="S77" s="115"/>
      <x:c r="T77" s="115"/>
      <x:c r="U77" s="115"/>
      <x:c r="V77" s="115"/>
      <x:c r="W77" s="115"/>
      <x:c r="X77" s="115"/>
      <x:c r="Y77" s="115"/>
      <x:c r="Z77" s="115"/>
    </x:row>
    <x:row r="78" ht="15" hidden="0" customHeight="1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5"/>
      <x:c r="T78" s="115"/>
      <x:c r="U78" s="115"/>
      <x:c r="V78" s="115"/>
      <x:c r="W78" s="115"/>
      <x:c r="X78" s="115"/>
      <x:c r="Y78" s="115"/>
      <x:c r="Z78" s="115"/>
    </x:row>
    <x:row r="79" ht="15" hidden="0" customHeight="1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  <x:c r="S79" s="115"/>
      <x:c r="T79" s="115"/>
      <x:c r="U79" s="115"/>
      <x:c r="V79" s="115"/>
      <x:c r="W79" s="115"/>
      <x:c r="X79" s="115"/>
      <x:c r="Y79" s="115"/>
      <x:c r="Z79" s="115"/>
    </x:row>
    <x:row r="80" ht="15" hidden="0" customHeight="1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  <x:c r="S80" s="115"/>
      <x:c r="T80" s="115"/>
      <x:c r="U80" s="115"/>
      <x:c r="V80" s="115"/>
      <x:c r="W80" s="115"/>
      <x:c r="X80" s="115"/>
      <x:c r="Y80" s="115"/>
      <x:c r="Z80" s="115"/>
    </x:row>
    <x:row r="81" ht="15" hidden="0" customHeight="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  <x:c r="S81" s="115"/>
      <x:c r="T81" s="115"/>
      <x:c r="U81" s="115"/>
      <x:c r="V81" s="115"/>
      <x:c r="W81" s="115"/>
      <x:c r="X81" s="115"/>
      <x:c r="Y81" s="115"/>
      <x:c r="Z81" s="115"/>
    </x:row>
    <x:row r="82" ht="15" hidden="0" customHeight="1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  <x:c r="S82" s="115"/>
      <x:c r="T82" s="115"/>
      <x:c r="U82" s="115"/>
      <x:c r="V82" s="115"/>
      <x:c r="W82" s="115"/>
      <x:c r="X82" s="115"/>
      <x:c r="Y82" s="115"/>
      <x:c r="Z82" s="115"/>
    </x:row>
    <x:row r="83" ht="15" hidden="0" customHeight="1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  <x:c r="S83" s="115"/>
      <x:c r="T83" s="115"/>
      <x:c r="U83" s="115"/>
      <x:c r="V83" s="115"/>
      <x:c r="W83" s="115"/>
      <x:c r="X83" s="115"/>
      <x:c r="Y83" s="115"/>
      <x:c r="Z83" s="115"/>
    </x:row>
    <x:row r="84" ht="15" hidden="0" customHeight="1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  <x:c r="S84" s="115"/>
      <x:c r="T84" s="115"/>
      <x:c r="U84" s="115"/>
      <x:c r="V84" s="115"/>
      <x:c r="W84" s="115"/>
      <x:c r="X84" s="115"/>
      <x:c r="Y84" s="115"/>
      <x:c r="Z84" s="115"/>
    </x:row>
    <x:row r="85" ht="15" hidden="0" customHeight="1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  <x:c r="S85" s="115"/>
      <x:c r="T85" s="115"/>
      <x:c r="U85" s="115"/>
      <x:c r="V85" s="115"/>
      <x:c r="W85" s="115"/>
      <x:c r="X85" s="115"/>
      <x:c r="Y85" s="115"/>
      <x:c r="Z85" s="115"/>
    </x:row>
    <x:row r="86" ht="15" hidden="0" customHeight="1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  <x:c r="S86" s="115"/>
      <x:c r="T86" s="115"/>
      <x:c r="U86" s="115"/>
      <x:c r="V86" s="115"/>
      <x:c r="W86" s="115"/>
      <x:c r="X86" s="115"/>
      <x:c r="Y86" s="115"/>
      <x:c r="Z86" s="115"/>
    </x:row>
    <x:row r="87" ht="15" hidden="0" customHeight="1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  <x:c r="S87" s="115"/>
      <x:c r="T87" s="115"/>
      <x:c r="U87" s="115"/>
      <x:c r="V87" s="115"/>
      <x:c r="W87" s="115"/>
      <x:c r="X87" s="115"/>
      <x:c r="Y87" s="115"/>
      <x:c r="Z87" s="115"/>
    </x:row>
    <x:row r="88" ht="15" hidden="0" customHeight="1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  <x:c r="S88" s="115"/>
      <x:c r="T88" s="115"/>
      <x:c r="U88" s="115"/>
      <x:c r="V88" s="115"/>
      <x:c r="W88" s="115"/>
      <x:c r="X88" s="115"/>
      <x:c r="Y88" s="115"/>
      <x:c r="Z88" s="115"/>
    </x:row>
    <x:row r="89" ht="15" hidden="0" customHeight="1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  <x:c r="S89" s="115"/>
      <x:c r="T89" s="115"/>
      <x:c r="U89" s="115"/>
      <x:c r="V89" s="115"/>
      <x:c r="W89" s="115"/>
      <x:c r="X89" s="115"/>
      <x:c r="Y89" s="115"/>
      <x:c r="Z89" s="115"/>
    </x:row>
    <x:row r="90" ht="15" hidden="0" customHeight="1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  <x:c r="S90" s="115"/>
      <x:c r="T90" s="115"/>
      <x:c r="U90" s="115"/>
      <x:c r="V90" s="115"/>
      <x:c r="W90" s="115"/>
      <x:c r="X90" s="115"/>
      <x:c r="Y90" s="115"/>
      <x:c r="Z90" s="115"/>
    </x:row>
    <x:row r="91" ht="15" hidden="0" customHeight="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  <x:c r="S91" s="115"/>
      <x:c r="T91" s="115"/>
      <x:c r="U91" s="115"/>
      <x:c r="V91" s="115"/>
      <x:c r="W91" s="115"/>
      <x:c r="X91" s="115"/>
      <x:c r="Y91" s="115"/>
      <x:c r="Z91" s="115"/>
    </x:row>
    <x:row r="92" ht="15" hidden="0" customHeight="1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  <x:c r="S92" s="115"/>
      <x:c r="T92" s="115"/>
      <x:c r="U92" s="115"/>
      <x:c r="V92" s="115"/>
      <x:c r="W92" s="115"/>
      <x:c r="X92" s="115"/>
      <x:c r="Y92" s="115"/>
      <x:c r="Z92" s="115"/>
    </x:row>
    <x:row r="93" ht="15" hidden="0" customHeight="1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  <x:c r="S93" s="115"/>
      <x:c r="T93" s="115"/>
      <x:c r="U93" s="115"/>
      <x:c r="V93" s="115"/>
      <x:c r="W93" s="115"/>
      <x:c r="X93" s="115"/>
      <x:c r="Y93" s="115"/>
      <x:c r="Z93" s="115"/>
    </x:row>
    <x:row r="94" ht="15" hidden="0" customHeight="1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  <x:c r="S94" s="115"/>
      <x:c r="T94" s="115"/>
      <x:c r="U94" s="115"/>
      <x:c r="V94" s="115"/>
      <x:c r="W94" s="115"/>
      <x:c r="X94" s="115"/>
      <x:c r="Y94" s="115"/>
      <x:c r="Z94" s="115"/>
    </x:row>
    <x:row r="95" ht="15" hidden="0" customHeight="1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  <x:c r="S95" s="115"/>
      <x:c r="T95" s="115"/>
      <x:c r="U95" s="115"/>
      <x:c r="V95" s="115"/>
      <x:c r="W95" s="115"/>
      <x:c r="X95" s="115"/>
      <x:c r="Y95" s="115"/>
      <x:c r="Z95" s="115"/>
    </x:row>
    <x:row r="96" ht="15" hidden="0" customHeight="1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  <x:c r="S96" s="115"/>
      <x:c r="T96" s="115"/>
      <x:c r="U96" s="115"/>
      <x:c r="V96" s="115"/>
      <x:c r="W96" s="115"/>
      <x:c r="X96" s="115"/>
      <x:c r="Y96" s="115"/>
      <x:c r="Z96" s="115"/>
    </x:row>
    <x:row r="97" ht="15" hidden="0" customHeight="1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  <x:c r="S97" s="115"/>
      <x:c r="T97" s="115"/>
      <x:c r="U97" s="115"/>
      <x:c r="V97" s="115"/>
      <x:c r="W97" s="115"/>
      <x:c r="X97" s="115"/>
      <x:c r="Y97" s="115"/>
      <x:c r="Z97" s="115"/>
    </x:row>
    <x:row r="98" ht="15" hidden="0" customHeight="1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  <x:c r="S98" s="115"/>
      <x:c r="T98" s="115"/>
      <x:c r="U98" s="115"/>
      <x:c r="V98" s="115"/>
      <x:c r="W98" s="115"/>
      <x:c r="X98" s="115"/>
      <x:c r="Y98" s="115"/>
      <x:c r="Z98" s="115"/>
    </x:row>
    <x:row r="99" ht="15" hidden="0" customHeight="1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  <x:c r="S99" s="115"/>
      <x:c r="T99" s="115"/>
      <x:c r="U99" s="115"/>
      <x:c r="V99" s="115"/>
      <x:c r="W99" s="115"/>
      <x:c r="X99" s="115"/>
      <x:c r="Y99" s="115"/>
      <x:c r="Z99" s="115"/>
    </x:row>
    <x:row r="100" ht="15" hidden="0" customHeight="1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  <x:c r="S100" s="115"/>
      <x:c r="T100" s="115"/>
      <x:c r="U100" s="115"/>
      <x:c r="V100" s="115"/>
      <x:c r="W100" s="115"/>
      <x:c r="X100" s="115"/>
      <x:c r="Y100" s="115"/>
      <x:c r="Z100" s="115"/>
    </x:row>
    <x:row r="101" ht="15" hidden="0" customHeight="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  <x:c r="S101" s="115"/>
      <x:c r="T101" s="115"/>
      <x:c r="U101" s="115"/>
      <x:c r="V101" s="115"/>
      <x:c r="W101" s="115"/>
      <x:c r="X101" s="115"/>
      <x:c r="Y101" s="115"/>
      <x:c r="Z101" s="115"/>
    </x:row>
    <x:row r="102" ht="15" hidden="0" customHeight="1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  <x:c r="S102" s="115"/>
      <x:c r="T102" s="115"/>
      <x:c r="U102" s="115"/>
      <x:c r="V102" s="115"/>
      <x:c r="W102" s="115"/>
      <x:c r="X102" s="115"/>
      <x:c r="Y102" s="115"/>
      <x:c r="Z102" s="115"/>
    </x:row>
    <x:row r="103" ht="15" hidden="0" customHeight="1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  <x:c r="S103" s="115"/>
      <x:c r="T103" s="115"/>
      <x:c r="U103" s="115"/>
      <x:c r="V103" s="115"/>
      <x:c r="W103" s="115"/>
      <x:c r="X103" s="115"/>
      <x:c r="Y103" s="115"/>
      <x:c r="Z103" s="115"/>
    </x:row>
    <x:row r="104" ht="15" hidden="0" customHeight="1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  <x:c r="S104" s="115"/>
      <x:c r="T104" s="115"/>
      <x:c r="U104" s="115"/>
      <x:c r="V104" s="115"/>
      <x:c r="W104" s="115"/>
      <x:c r="X104" s="115"/>
      <x:c r="Y104" s="115"/>
      <x:c r="Z104" s="115"/>
    </x:row>
    <x:row r="105" ht="15" hidden="0" customHeight="1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  <x:c r="S105" s="115"/>
      <x:c r="T105" s="115"/>
      <x:c r="U105" s="115"/>
      <x:c r="V105" s="115"/>
      <x:c r="W105" s="115"/>
      <x:c r="X105" s="115"/>
      <x:c r="Y105" s="115"/>
      <x:c r="Z105" s="115"/>
    </x:row>
    <x:row r="106" ht="15" hidden="0" customHeight="1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  <x:c r="S106" s="115"/>
      <x:c r="T106" s="115"/>
      <x:c r="U106" s="115"/>
      <x:c r="V106" s="115"/>
      <x:c r="W106" s="115"/>
      <x:c r="X106" s="115"/>
      <x:c r="Y106" s="115"/>
      <x:c r="Z106" s="115"/>
    </x:row>
    <x:row r="107" ht="15" hidden="0" customHeight="1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  <x:c r="S107" s="115"/>
      <x:c r="T107" s="115"/>
      <x:c r="U107" s="115"/>
      <x:c r="V107" s="115"/>
      <x:c r="W107" s="115"/>
      <x:c r="X107" s="115"/>
      <x:c r="Y107" s="115"/>
      <x:c r="Z107" s="115"/>
    </x:row>
    <x:row r="108" ht="15" hidden="0" customHeight="1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  <x:c r="S108" s="115"/>
      <x:c r="T108" s="115"/>
      <x:c r="U108" s="115"/>
      <x:c r="V108" s="115"/>
      <x:c r="W108" s="115"/>
      <x:c r="X108" s="115"/>
      <x:c r="Y108" s="115"/>
      <x:c r="Z108" s="115"/>
    </x:row>
    <x:row r="109" ht="15" hidden="0" customHeight="1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  <x:c r="S109" s="115"/>
      <x:c r="T109" s="115"/>
      <x:c r="U109" s="115"/>
      <x:c r="V109" s="115"/>
      <x:c r="W109" s="115"/>
      <x:c r="X109" s="115"/>
      <x:c r="Y109" s="115"/>
      <x:c r="Z109" s="115"/>
    </x:row>
    <x:row r="110" ht="15" hidden="0" customHeight="1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  <x:c r="S110" s="115"/>
      <x:c r="T110" s="115"/>
      <x:c r="U110" s="115"/>
      <x:c r="V110" s="115"/>
      <x:c r="W110" s="115"/>
      <x:c r="X110" s="115"/>
      <x:c r="Y110" s="115"/>
      <x:c r="Z110" s="115"/>
    </x:row>
    <x:row r="111" ht="15" hidden="0" customHeight="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  <x:c r="S111" s="115"/>
      <x:c r="T111" s="115"/>
      <x:c r="U111" s="115"/>
      <x:c r="V111" s="115"/>
      <x:c r="W111" s="115"/>
      <x:c r="X111" s="115"/>
      <x:c r="Y111" s="115"/>
      <x:c r="Z111" s="115"/>
    </x:row>
    <x:row r="112" ht="15" hidden="0" customHeight="1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  <x:c r="S112" s="115"/>
      <x:c r="T112" s="115"/>
      <x:c r="U112" s="115"/>
      <x:c r="V112" s="115"/>
      <x:c r="W112" s="115"/>
      <x:c r="X112" s="115"/>
      <x:c r="Y112" s="115"/>
      <x:c r="Z112" s="115"/>
    </x:row>
    <x:row r="113" ht="15" hidden="0" customHeight="1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  <x:c r="S113" s="115"/>
      <x:c r="T113" s="115"/>
      <x:c r="U113" s="115"/>
      <x:c r="V113" s="115"/>
      <x:c r="W113" s="115"/>
      <x:c r="X113" s="115"/>
      <x:c r="Y113" s="115"/>
      <x:c r="Z113" s="115"/>
    </x:row>
    <x:row r="114" ht="15" hidden="0" customHeight="1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  <x:c r="S114" s="115"/>
      <x:c r="T114" s="115"/>
      <x:c r="U114" s="115"/>
      <x:c r="V114" s="115"/>
      <x:c r="W114" s="115"/>
      <x:c r="X114" s="115"/>
      <x:c r="Y114" s="115"/>
      <x:c r="Z114" s="115"/>
    </x:row>
    <x:row r="115" ht="15" hidden="0" customHeight="1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  <x:c r="S115" s="115"/>
      <x:c r="T115" s="115"/>
      <x:c r="U115" s="115"/>
      <x:c r="V115" s="115"/>
      <x:c r="W115" s="115"/>
      <x:c r="X115" s="115"/>
      <x:c r="Y115" s="115"/>
      <x:c r="Z115" s="115"/>
    </x:row>
    <x:row r="116" ht="15" hidden="0" customHeight="1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  <x:c r="S116" s="115"/>
      <x:c r="T116" s="115"/>
      <x:c r="U116" s="115"/>
      <x:c r="V116" s="115"/>
      <x:c r="W116" s="115"/>
      <x:c r="X116" s="115"/>
      <x:c r="Y116" s="115"/>
      <x:c r="Z116" s="115"/>
    </x:row>
    <x:row r="117" ht="15" hidden="0" customHeight="1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  <x:c r="S117" s="115"/>
      <x:c r="T117" s="115"/>
      <x:c r="U117" s="115"/>
      <x:c r="V117" s="115"/>
      <x:c r="W117" s="115"/>
      <x:c r="X117" s="115"/>
      <x:c r="Y117" s="115"/>
      <x:c r="Z117" s="115"/>
    </x:row>
    <x:row r="118" ht="15" hidden="0" customHeight="1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  <x:c r="S118" s="115"/>
      <x:c r="T118" s="115"/>
      <x:c r="U118" s="115"/>
      <x:c r="V118" s="115"/>
      <x:c r="W118" s="115"/>
      <x:c r="X118" s="115"/>
      <x:c r="Y118" s="115"/>
      <x:c r="Z118" s="115"/>
    </x:row>
    <x:row r="119" ht="15" hidden="0" customHeight="1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  <x:c r="S119" s="115"/>
      <x:c r="T119" s="115"/>
      <x:c r="U119" s="115"/>
      <x:c r="V119" s="115"/>
      <x:c r="W119" s="115"/>
      <x:c r="X119" s="115"/>
      <x:c r="Y119" s="115"/>
      <x:c r="Z119" s="115"/>
    </x:row>
    <x:row r="120" ht="15" hidden="0" customHeight="1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  <x:c r="S120" s="115"/>
      <x:c r="T120" s="115"/>
      <x:c r="U120" s="115"/>
      <x:c r="V120" s="115"/>
      <x:c r="W120" s="115"/>
      <x:c r="X120" s="115"/>
      <x:c r="Y120" s="115"/>
      <x:c r="Z120" s="115"/>
    </x:row>
    <x:row r="121" ht="15" hidden="0" customHeight="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  <x:c r="S121" s="115"/>
      <x:c r="T121" s="115"/>
      <x:c r="U121" s="115"/>
      <x:c r="V121" s="115"/>
      <x:c r="W121" s="115"/>
      <x:c r="X121" s="115"/>
      <x:c r="Y121" s="115"/>
      <x:c r="Z121" s="115"/>
    </x:row>
    <x:row r="122" ht="15" hidden="0" customHeight="1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  <x:c r="S122" s="115"/>
      <x:c r="T122" s="115"/>
      <x:c r="U122" s="115"/>
      <x:c r="V122" s="115"/>
      <x:c r="W122" s="115"/>
      <x:c r="X122" s="115"/>
      <x:c r="Y122" s="115"/>
      <x:c r="Z122" s="115"/>
    </x:row>
    <x:row r="123" ht="15" hidden="0" customHeight="1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  <x:c r="S123" s="115"/>
      <x:c r="T123" s="115"/>
      <x:c r="U123" s="115"/>
      <x:c r="V123" s="115"/>
      <x:c r="W123" s="115"/>
      <x:c r="X123" s="115"/>
      <x:c r="Y123" s="115"/>
      <x:c r="Z123" s="115"/>
    </x:row>
    <x:row r="124" ht="15" hidden="0" customHeight="1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  <x:c r="S124" s="115"/>
      <x:c r="T124" s="115"/>
      <x:c r="U124" s="115"/>
      <x:c r="V124" s="115"/>
      <x:c r="W124" s="115"/>
      <x:c r="X124" s="115"/>
      <x:c r="Y124" s="115"/>
      <x:c r="Z124" s="115"/>
    </x:row>
    <x:row r="125" ht="15" hidden="0" customHeight="1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  <x:c r="S125" s="115"/>
      <x:c r="T125" s="115"/>
      <x:c r="U125" s="115"/>
      <x:c r="V125" s="115"/>
      <x:c r="W125" s="115"/>
      <x:c r="X125" s="115"/>
      <x:c r="Y125" s="115"/>
      <x:c r="Z125" s="115"/>
    </x:row>
    <x:row r="126" ht="15" hidden="0" customHeight="1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  <x:c r="S126" s="115"/>
      <x:c r="T126" s="115"/>
      <x:c r="U126" s="115"/>
      <x:c r="V126" s="115"/>
      <x:c r="W126" s="115"/>
      <x:c r="X126" s="115"/>
      <x:c r="Y126" s="115"/>
      <x:c r="Z126" s="115"/>
    </x:row>
    <x:row r="127" ht="15" hidden="0" customHeight="1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  <x:c r="S127" s="115"/>
      <x:c r="T127" s="115"/>
      <x:c r="U127" s="115"/>
      <x:c r="V127" s="115"/>
      <x:c r="W127" s="115"/>
      <x:c r="X127" s="115"/>
      <x:c r="Y127" s="115"/>
      <x:c r="Z127" s="115"/>
    </x:row>
    <x:row r="128" ht="15" hidden="0" customHeight="1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  <x:c r="S128" s="115"/>
      <x:c r="T128" s="115"/>
      <x:c r="U128" s="115"/>
      <x:c r="V128" s="115"/>
      <x:c r="W128" s="115"/>
      <x:c r="X128" s="115"/>
      <x:c r="Y128" s="115"/>
      <x:c r="Z128" s="115"/>
    </x:row>
    <x:row r="129" ht="15" hidden="0" customHeight="1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  <x:c r="S129" s="115"/>
      <x:c r="T129" s="115"/>
      <x:c r="U129" s="115"/>
      <x:c r="V129" s="115"/>
      <x:c r="W129" s="115"/>
      <x:c r="X129" s="115"/>
      <x:c r="Y129" s="115"/>
      <x:c r="Z129" s="115"/>
    </x:row>
    <x:row r="130" ht="15" hidden="0" customHeight="1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  <x:c r="S130" s="115"/>
      <x:c r="T130" s="115"/>
      <x:c r="U130" s="115"/>
      <x:c r="V130" s="115"/>
      <x:c r="W130" s="115"/>
      <x:c r="X130" s="115"/>
      <x:c r="Y130" s="115"/>
      <x:c r="Z130" s="115"/>
    </x:row>
    <x:row r="131" ht="15" hidden="0" customHeight="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  <x:c r="S131" s="115"/>
      <x:c r="T131" s="115"/>
      <x:c r="U131" s="115"/>
      <x:c r="V131" s="115"/>
      <x:c r="W131" s="115"/>
      <x:c r="X131" s="115"/>
      <x:c r="Y131" s="115"/>
      <x:c r="Z131" s="115"/>
    </x:row>
    <x:row r="132" ht="15" hidden="0" customHeight="1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  <x:c r="S132" s="115"/>
      <x:c r="T132" s="115"/>
      <x:c r="U132" s="115"/>
      <x:c r="V132" s="115"/>
      <x:c r="W132" s="115"/>
      <x:c r="X132" s="115"/>
      <x:c r="Y132" s="115"/>
      <x:c r="Z132" s="115"/>
    </x:row>
    <x:row r="133" ht="15" hidden="0" customHeight="1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  <x:c r="S133" s="115"/>
      <x:c r="T133" s="115"/>
      <x:c r="U133" s="115"/>
      <x:c r="V133" s="115"/>
      <x:c r="W133" s="115"/>
      <x:c r="X133" s="115"/>
      <x:c r="Y133" s="115"/>
      <x:c r="Z133" s="115"/>
    </x:row>
    <x:row r="134" ht="15" hidden="0" customHeight="1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  <x:c r="S134" s="115"/>
      <x:c r="T134" s="115"/>
      <x:c r="U134" s="115"/>
      <x:c r="V134" s="115"/>
      <x:c r="W134" s="115"/>
      <x:c r="X134" s="115"/>
      <x:c r="Y134" s="115"/>
      <x:c r="Z134" s="115"/>
    </x:row>
    <x:row r="135" ht="15" hidden="0" customHeight="1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  <x:c r="S135" s="115"/>
      <x:c r="T135" s="115"/>
      <x:c r="U135" s="115"/>
      <x:c r="V135" s="115"/>
      <x:c r="W135" s="115"/>
      <x:c r="X135" s="115"/>
      <x:c r="Y135" s="115"/>
      <x:c r="Z135" s="115"/>
    </x:row>
    <x:row r="136" ht="15" hidden="0" customHeight="1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  <x:c r="S136" s="115"/>
      <x:c r="T136" s="115"/>
      <x:c r="U136" s="115"/>
      <x:c r="V136" s="115"/>
      <x:c r="W136" s="115"/>
      <x:c r="X136" s="115"/>
      <x:c r="Y136" s="115"/>
      <x:c r="Z136" s="115"/>
    </x:row>
    <x:row r="137" ht="15" hidden="0" customHeight="1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  <x:c r="S137" s="115"/>
      <x:c r="T137" s="115"/>
      <x:c r="U137" s="115"/>
      <x:c r="V137" s="115"/>
      <x:c r="W137" s="115"/>
      <x:c r="X137" s="115"/>
      <x:c r="Y137" s="115"/>
      <x:c r="Z137" s="115"/>
    </x:row>
    <x:row r="138" ht="15" hidden="0" customHeight="1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5"/>
      <x:c r="T138" s="115"/>
      <x:c r="U138" s="115"/>
      <x:c r="V138" s="115"/>
      <x:c r="W138" s="115"/>
      <x:c r="X138" s="115"/>
      <x:c r="Y138" s="115"/>
      <x:c r="Z138" s="115"/>
    </x:row>
    <x:row r="139" ht="15" hidden="0" customHeight="1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  <x:c r="S139" s="115"/>
      <x:c r="T139" s="115"/>
      <x:c r="U139" s="115"/>
      <x:c r="V139" s="115"/>
      <x:c r="W139" s="115"/>
      <x:c r="X139" s="115"/>
      <x:c r="Y139" s="115"/>
      <x:c r="Z139" s="115"/>
    </x:row>
    <x:row r="140" ht="15" hidden="0" customHeight="1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  <x:c r="S140" s="115"/>
      <x:c r="T140" s="115"/>
      <x:c r="U140" s="115"/>
      <x:c r="V140" s="115"/>
      <x:c r="W140" s="115"/>
      <x:c r="X140" s="115"/>
      <x:c r="Y140" s="115"/>
      <x:c r="Z140" s="115"/>
    </x:row>
    <x:row r="141" ht="15" hidden="0" customHeight="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  <x:c r="S141" s="115"/>
      <x:c r="T141" s="115"/>
      <x:c r="U141" s="115"/>
      <x:c r="V141" s="115"/>
      <x:c r="W141" s="115"/>
      <x:c r="X141" s="115"/>
      <x:c r="Y141" s="115"/>
      <x:c r="Z141" s="115"/>
    </x:row>
    <x:row r="142" ht="15" hidden="0" customHeight="1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  <x:c r="S142" s="115"/>
      <x:c r="T142" s="115"/>
      <x:c r="U142" s="115"/>
      <x:c r="V142" s="115"/>
      <x:c r="W142" s="115"/>
      <x:c r="X142" s="115"/>
      <x:c r="Y142" s="115"/>
      <x:c r="Z142" s="115"/>
    </x:row>
    <x:row r="143" ht="15" hidden="0" customHeight="1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  <x:c r="S143" s="115"/>
      <x:c r="T143" s="115"/>
      <x:c r="U143" s="115"/>
      <x:c r="V143" s="115"/>
      <x:c r="W143" s="115"/>
      <x:c r="X143" s="115"/>
      <x:c r="Y143" s="115"/>
      <x:c r="Z143" s="115"/>
    </x:row>
    <x:row r="144" ht="15" hidden="0" customHeight="1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  <x:c r="S144" s="115"/>
      <x:c r="T144" s="115"/>
      <x:c r="U144" s="115"/>
      <x:c r="V144" s="115"/>
      <x:c r="W144" s="115"/>
      <x:c r="X144" s="115"/>
      <x:c r="Y144" s="115"/>
      <x:c r="Z144" s="115"/>
    </x:row>
    <x:row r="145" ht="15" hidden="0" customHeight="1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  <x:c r="S145" s="115"/>
      <x:c r="T145" s="115"/>
      <x:c r="U145" s="115"/>
      <x:c r="V145" s="115"/>
      <x:c r="W145" s="115"/>
      <x:c r="X145" s="115"/>
      <x:c r="Y145" s="115"/>
      <x:c r="Z145" s="115"/>
    </x:row>
    <x:row r="146" ht="15" hidden="0" customHeight="1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  <x:c r="S146" s="115"/>
      <x:c r="T146" s="115"/>
      <x:c r="U146" s="115"/>
      <x:c r="V146" s="115"/>
      <x:c r="W146" s="115"/>
      <x:c r="X146" s="115"/>
      <x:c r="Y146" s="115"/>
      <x:c r="Z146" s="115"/>
    </x:row>
    <x:row r="147" ht="15" hidden="0" customHeight="1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  <x:c r="S147" s="115"/>
      <x:c r="T147" s="115"/>
      <x:c r="U147" s="115"/>
      <x:c r="V147" s="115"/>
      <x:c r="W147" s="115"/>
      <x:c r="X147" s="115"/>
      <x:c r="Y147" s="115"/>
      <x:c r="Z147" s="115"/>
    </x:row>
    <x:row r="148" ht="15" hidden="0" customHeight="1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  <x:c r="S148" s="115"/>
      <x:c r="T148" s="115"/>
      <x:c r="U148" s="115"/>
      <x:c r="V148" s="115"/>
      <x:c r="W148" s="115"/>
      <x:c r="X148" s="115"/>
      <x:c r="Y148" s="115"/>
      <x:c r="Z148" s="115"/>
    </x:row>
    <x:row r="149" ht="15" hidden="0" customHeight="1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  <x:c r="S149" s="115"/>
      <x:c r="T149" s="115"/>
      <x:c r="U149" s="115"/>
      <x:c r="V149" s="115"/>
      <x:c r="W149" s="115"/>
      <x:c r="X149" s="115"/>
      <x:c r="Y149" s="115"/>
      <x:c r="Z149" s="115"/>
    </x:row>
    <x:row r="150" ht="15" hidden="0" customHeight="1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  <x:c r="S150" s="115"/>
      <x:c r="T150" s="115"/>
      <x:c r="U150" s="115"/>
      <x:c r="V150" s="115"/>
      <x:c r="W150" s="115"/>
      <x:c r="X150" s="115"/>
      <x:c r="Y150" s="115"/>
      <x:c r="Z150" s="115"/>
    </x:row>
    <x:row r="151" ht="15" hidden="0" customHeight="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  <x:c r="S151" s="115"/>
      <x:c r="T151" s="115"/>
      <x:c r="U151" s="115"/>
      <x:c r="V151" s="115"/>
      <x:c r="W151" s="115"/>
      <x:c r="X151" s="115"/>
      <x:c r="Y151" s="115"/>
      <x:c r="Z151" s="115"/>
    </x:row>
    <x:row r="152" ht="15" hidden="0" customHeight="1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  <x:c r="S152" s="115"/>
      <x:c r="T152" s="115"/>
      <x:c r="U152" s="115"/>
      <x:c r="V152" s="115"/>
      <x:c r="W152" s="115"/>
      <x:c r="X152" s="115"/>
      <x:c r="Y152" s="115"/>
      <x:c r="Z152" s="115"/>
    </x:row>
    <x:row r="153" ht="15" hidden="0" customHeight="1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  <x:c r="S153" s="115"/>
      <x:c r="T153" s="115"/>
      <x:c r="U153" s="115"/>
      <x:c r="V153" s="115"/>
      <x:c r="W153" s="115"/>
      <x:c r="X153" s="115"/>
      <x:c r="Y153" s="115"/>
      <x:c r="Z153" s="115"/>
    </x:row>
    <x:row r="154" ht="15" hidden="0" customHeight="1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  <x:c r="S154" s="115"/>
      <x:c r="T154" s="115"/>
      <x:c r="U154" s="115"/>
      <x:c r="V154" s="115"/>
      <x:c r="W154" s="115"/>
      <x:c r="X154" s="115"/>
      <x:c r="Y154" s="115"/>
      <x:c r="Z154" s="115"/>
    </x:row>
    <x:row r="155" ht="15" hidden="0" customHeight="1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  <x:c r="S155" s="115"/>
      <x:c r="T155" s="115"/>
      <x:c r="U155" s="115"/>
      <x:c r="V155" s="115"/>
      <x:c r="W155" s="115"/>
      <x:c r="X155" s="115"/>
      <x:c r="Y155" s="115"/>
      <x:c r="Z155" s="115"/>
    </x:row>
    <x:row r="156" ht="15" hidden="0" customHeight="1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  <x:c r="S156" s="115"/>
      <x:c r="T156" s="115"/>
      <x:c r="U156" s="115"/>
      <x:c r="V156" s="115"/>
      <x:c r="W156" s="115"/>
      <x:c r="X156" s="115"/>
      <x:c r="Y156" s="115"/>
      <x:c r="Z156" s="115"/>
    </x:row>
    <x:row r="157" ht="15" hidden="0" customHeight="1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  <x:c r="S157" s="115"/>
      <x:c r="T157" s="115"/>
      <x:c r="U157" s="115"/>
      <x:c r="V157" s="115"/>
      <x:c r="W157" s="115"/>
      <x:c r="X157" s="115"/>
      <x:c r="Y157" s="115"/>
      <x:c r="Z157" s="115"/>
    </x:row>
    <x:row r="158" ht="15" hidden="0" customHeight="1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  <x:c r="S158" s="115"/>
      <x:c r="T158" s="115"/>
      <x:c r="U158" s="115"/>
      <x:c r="V158" s="115"/>
      <x:c r="W158" s="115"/>
      <x:c r="X158" s="115"/>
      <x:c r="Y158" s="115"/>
      <x:c r="Z158" s="115"/>
    </x:row>
    <x:row r="159" ht="15" hidden="0" customHeight="1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  <x:c r="S159" s="115"/>
      <x:c r="T159" s="115"/>
      <x:c r="U159" s="115"/>
      <x:c r="V159" s="115"/>
      <x:c r="W159" s="115"/>
      <x:c r="X159" s="115"/>
      <x:c r="Y159" s="115"/>
      <x:c r="Z159" s="115"/>
    </x:row>
    <x:row r="160" ht="15" hidden="0" customHeight="1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  <x:c r="S160" s="115"/>
      <x:c r="T160" s="115"/>
      <x:c r="U160" s="115"/>
      <x:c r="V160" s="115"/>
      <x:c r="W160" s="115"/>
      <x:c r="X160" s="115"/>
      <x:c r="Y160" s="115"/>
      <x:c r="Z160" s="115"/>
    </x:row>
    <x:row r="161" ht="15" hidden="0" customHeight="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  <x:c r="S161" s="115"/>
      <x:c r="T161" s="115"/>
      <x:c r="U161" s="115"/>
      <x:c r="V161" s="115"/>
      <x:c r="W161" s="115"/>
      <x:c r="X161" s="115"/>
      <x:c r="Y161" s="115"/>
      <x:c r="Z161" s="115"/>
    </x:row>
    <x:row r="162" ht="15" hidden="0" customHeight="1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  <x:c r="S162" s="115"/>
      <x:c r="T162" s="115"/>
      <x:c r="U162" s="115"/>
      <x:c r="V162" s="115"/>
      <x:c r="W162" s="115"/>
      <x:c r="X162" s="115"/>
      <x:c r="Y162" s="115"/>
      <x:c r="Z162" s="115"/>
    </x:row>
    <x:row r="163" ht="15" hidden="0" customHeight="1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  <x:c r="S163" s="115"/>
      <x:c r="T163" s="115"/>
      <x:c r="U163" s="115"/>
      <x:c r="V163" s="115"/>
      <x:c r="W163" s="115"/>
      <x:c r="X163" s="115"/>
      <x:c r="Y163" s="115"/>
      <x:c r="Z163" s="115"/>
    </x:row>
    <x:row r="164" ht="15" hidden="0" customHeight="1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  <x:c r="S164" s="115"/>
      <x:c r="T164" s="115"/>
      <x:c r="U164" s="115"/>
      <x:c r="V164" s="115"/>
      <x:c r="W164" s="115"/>
      <x:c r="X164" s="115"/>
      <x:c r="Y164" s="115"/>
      <x:c r="Z164" s="115"/>
    </x:row>
    <x:row r="165" ht="15" hidden="0" customHeight="1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  <x:c r="S165" s="115"/>
      <x:c r="T165" s="115"/>
      <x:c r="U165" s="115"/>
      <x:c r="V165" s="115"/>
      <x:c r="W165" s="115"/>
      <x:c r="X165" s="115"/>
      <x:c r="Y165" s="115"/>
      <x:c r="Z165" s="115"/>
    </x:row>
    <x:row r="166" ht="15" hidden="0" customHeight="1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  <x:c r="S166" s="115"/>
      <x:c r="T166" s="115"/>
      <x:c r="U166" s="115"/>
      <x:c r="V166" s="115"/>
      <x:c r="W166" s="115"/>
      <x:c r="X166" s="115"/>
      <x:c r="Y166" s="115"/>
      <x:c r="Z166" s="115"/>
    </x:row>
    <x:row r="167" ht="15" hidden="0" customHeight="1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  <x:c r="S167" s="115"/>
      <x:c r="T167" s="115"/>
      <x:c r="U167" s="115"/>
      <x:c r="V167" s="115"/>
      <x:c r="W167" s="115"/>
      <x:c r="X167" s="115"/>
      <x:c r="Y167" s="115"/>
      <x:c r="Z167" s="115"/>
    </x:row>
    <x:row r="168" ht="15" hidden="0" customHeight="1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  <x:c r="S168" s="115"/>
      <x:c r="T168" s="115"/>
      <x:c r="U168" s="115"/>
      <x:c r="V168" s="115"/>
      <x:c r="W168" s="115"/>
      <x:c r="X168" s="115"/>
      <x:c r="Y168" s="115"/>
      <x:c r="Z168" s="115"/>
    </x:row>
    <x:row r="169" ht="15" hidden="0" customHeight="1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  <x:c r="S169" s="115"/>
      <x:c r="T169" s="115"/>
      <x:c r="U169" s="115"/>
      <x:c r="V169" s="115"/>
      <x:c r="W169" s="115"/>
      <x:c r="X169" s="115"/>
      <x:c r="Y169" s="115"/>
      <x:c r="Z169" s="115"/>
    </x:row>
    <x:row r="170" ht="15" hidden="0" customHeight="1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  <x:c r="S170" s="115"/>
      <x:c r="T170" s="115"/>
      <x:c r="U170" s="115"/>
      <x:c r="V170" s="115"/>
      <x:c r="W170" s="115"/>
      <x:c r="X170" s="115"/>
      <x:c r="Y170" s="115"/>
      <x:c r="Z170" s="115"/>
    </x:row>
    <x:row r="171" ht="15" hidden="0" customHeight="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  <x:c r="S171" s="115"/>
      <x:c r="T171" s="115"/>
      <x:c r="U171" s="115"/>
      <x:c r="V171" s="115"/>
      <x:c r="W171" s="115"/>
      <x:c r="X171" s="115"/>
      <x:c r="Y171" s="115"/>
      <x:c r="Z171" s="115"/>
    </x:row>
    <x:row r="172" ht="15" hidden="0" customHeight="1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  <x:c r="S172" s="115"/>
      <x:c r="T172" s="115"/>
      <x:c r="U172" s="115"/>
      <x:c r="V172" s="115"/>
      <x:c r="W172" s="115"/>
      <x:c r="X172" s="115"/>
      <x:c r="Y172" s="115"/>
      <x:c r="Z172" s="115"/>
    </x:row>
    <x:row r="173" ht="15" hidden="0" customHeight="1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  <x:c r="S173" s="115"/>
      <x:c r="T173" s="115"/>
      <x:c r="U173" s="115"/>
      <x:c r="V173" s="115"/>
      <x:c r="W173" s="115"/>
      <x:c r="X173" s="115"/>
      <x:c r="Y173" s="115"/>
      <x:c r="Z173" s="115"/>
    </x:row>
    <x:row r="174" ht="15" hidden="0" customHeight="1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  <x:c r="S174" s="115"/>
      <x:c r="T174" s="115"/>
      <x:c r="U174" s="115"/>
      <x:c r="V174" s="115"/>
      <x:c r="W174" s="115"/>
      <x:c r="X174" s="115"/>
      <x:c r="Y174" s="115"/>
      <x:c r="Z174" s="115"/>
    </x:row>
    <x:row r="175" ht="15" hidden="0" customHeight="1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  <x:c r="S175" s="115"/>
      <x:c r="T175" s="115"/>
      <x:c r="U175" s="115"/>
      <x:c r="V175" s="115"/>
      <x:c r="W175" s="115"/>
      <x:c r="X175" s="115"/>
      <x:c r="Y175" s="115"/>
      <x:c r="Z175" s="115"/>
    </x:row>
    <x:row r="176" ht="15" hidden="0" customHeight="1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  <x:c r="S176" s="115"/>
      <x:c r="T176" s="115"/>
      <x:c r="U176" s="115"/>
      <x:c r="V176" s="115"/>
      <x:c r="W176" s="115"/>
      <x:c r="X176" s="115"/>
      <x:c r="Y176" s="115"/>
      <x:c r="Z176" s="115"/>
    </x:row>
    <x:row r="177" ht="15" hidden="0" customHeight="1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  <x:c r="S177" s="115"/>
      <x:c r="T177" s="115"/>
      <x:c r="U177" s="115"/>
      <x:c r="V177" s="115"/>
      <x:c r="W177" s="115"/>
      <x:c r="X177" s="115"/>
      <x:c r="Y177" s="115"/>
      <x:c r="Z177" s="115"/>
    </x:row>
    <x:row r="178" ht="15" hidden="0" customHeight="1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  <x:c r="S178" s="115"/>
      <x:c r="T178" s="115"/>
      <x:c r="U178" s="115"/>
      <x:c r="V178" s="115"/>
      <x:c r="W178" s="115"/>
      <x:c r="X178" s="115"/>
      <x:c r="Y178" s="115"/>
      <x:c r="Z178" s="115"/>
    </x:row>
    <x:row r="179" ht="15" hidden="0" customHeight="1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  <x:c r="S179" s="115"/>
      <x:c r="T179" s="115"/>
      <x:c r="U179" s="115"/>
      <x:c r="V179" s="115"/>
      <x:c r="W179" s="115"/>
      <x:c r="X179" s="115"/>
      <x:c r="Y179" s="115"/>
      <x:c r="Z179" s="115"/>
    </x:row>
    <x:row r="180" ht="15" hidden="0" customHeight="1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  <x:c r="S180" s="115"/>
      <x:c r="T180" s="115"/>
      <x:c r="U180" s="115"/>
      <x:c r="V180" s="115"/>
      <x:c r="W180" s="115"/>
      <x:c r="X180" s="115"/>
      <x:c r="Y180" s="115"/>
      <x:c r="Z180" s="115"/>
    </x:row>
    <x:row r="181" ht="15" hidden="0" customHeight="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  <x:c r="S181" s="115"/>
      <x:c r="T181" s="115"/>
      <x:c r="U181" s="115"/>
      <x:c r="V181" s="115"/>
      <x:c r="W181" s="115"/>
      <x:c r="X181" s="115"/>
      <x:c r="Y181" s="115"/>
      <x:c r="Z181" s="115"/>
    </x:row>
    <x:row r="182" ht="15" hidden="0" customHeight="1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  <x:c r="S182" s="115"/>
      <x:c r="T182" s="115"/>
      <x:c r="U182" s="115"/>
      <x:c r="V182" s="115"/>
      <x:c r="W182" s="115"/>
      <x:c r="X182" s="115"/>
      <x:c r="Y182" s="115"/>
      <x:c r="Z182" s="115"/>
    </x:row>
    <x:row r="183" ht="15" hidden="0" customHeight="1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5"/>
      <x:c r="U183" s="115"/>
      <x:c r="V183" s="115"/>
      <x:c r="W183" s="115"/>
      <x:c r="X183" s="115"/>
      <x:c r="Y183" s="115"/>
      <x:c r="Z183" s="115"/>
    </x:row>
    <x:row r="184" ht="15" hidden="0" customHeight="1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  <x:c r="S184" s="115"/>
      <x:c r="T184" s="115"/>
      <x:c r="U184" s="115"/>
      <x:c r="V184" s="115"/>
      <x:c r="W184" s="115"/>
      <x:c r="X184" s="115"/>
      <x:c r="Y184" s="115"/>
      <x:c r="Z184" s="115"/>
    </x:row>
    <x:row r="185" ht="15" hidden="0" customHeight="1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  <x:c r="S185" s="115"/>
      <x:c r="T185" s="115"/>
      <x:c r="U185" s="115"/>
      <x:c r="V185" s="115"/>
      <x:c r="W185" s="115"/>
      <x:c r="X185" s="115"/>
      <x:c r="Y185" s="115"/>
      <x:c r="Z185" s="115"/>
    </x:row>
    <x:row r="186" ht="15" hidden="0" customHeight="1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  <x:c r="S186" s="115"/>
      <x:c r="T186" s="115"/>
      <x:c r="U186" s="115"/>
      <x:c r="V186" s="115"/>
      <x:c r="W186" s="115"/>
      <x:c r="X186" s="115"/>
      <x:c r="Y186" s="115"/>
      <x:c r="Z186" s="115"/>
    </x:row>
    <x:row r="187" ht="15" hidden="0" customHeight="1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  <x:c r="S187" s="115"/>
      <x:c r="T187" s="115"/>
      <x:c r="U187" s="115"/>
      <x:c r="V187" s="115"/>
      <x:c r="W187" s="115"/>
      <x:c r="X187" s="115"/>
      <x:c r="Y187" s="115"/>
      <x:c r="Z187" s="115"/>
    </x:row>
    <x:row r="188" ht="15" hidden="0" customHeight="1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  <x:c r="S188" s="115"/>
      <x:c r="T188" s="115"/>
      <x:c r="U188" s="115"/>
      <x:c r="V188" s="115"/>
      <x:c r="W188" s="115"/>
      <x:c r="X188" s="115"/>
      <x:c r="Y188" s="115"/>
      <x:c r="Z188" s="115"/>
    </x:row>
    <x:row r="189" ht="15" hidden="0" customHeight="1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  <x:c r="S189" s="115"/>
      <x:c r="T189" s="115"/>
      <x:c r="U189" s="115"/>
      <x:c r="V189" s="115"/>
      <x:c r="W189" s="115"/>
      <x:c r="X189" s="115"/>
      <x:c r="Y189" s="115"/>
      <x:c r="Z189" s="115"/>
    </x:row>
    <x:row r="190" ht="15" hidden="0" customHeight="1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  <x:c r="S190" s="115"/>
      <x:c r="T190" s="115"/>
      <x:c r="U190" s="115"/>
      <x:c r="V190" s="115"/>
      <x:c r="W190" s="115"/>
      <x:c r="X190" s="115"/>
      <x:c r="Y190" s="115"/>
      <x:c r="Z190" s="115"/>
    </x:row>
    <x:row r="191" ht="15" hidden="0" customHeight="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  <x:c r="S191" s="115"/>
      <x:c r="T191" s="115"/>
      <x:c r="U191" s="115"/>
      <x:c r="V191" s="115"/>
      <x:c r="W191" s="115"/>
      <x:c r="X191" s="115"/>
      <x:c r="Y191" s="115"/>
      <x:c r="Z191" s="115"/>
    </x:row>
    <x:row r="192" ht="15" hidden="0" customHeight="1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  <x:c r="S192" s="115"/>
      <x:c r="T192" s="115"/>
      <x:c r="U192" s="115"/>
      <x:c r="V192" s="115"/>
      <x:c r="W192" s="115"/>
      <x:c r="X192" s="115"/>
      <x:c r="Y192" s="115"/>
      <x:c r="Z192" s="115"/>
    </x:row>
    <x:row r="193" ht="15" hidden="0" customHeight="1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  <x:c r="S193" s="115"/>
      <x:c r="T193" s="115"/>
      <x:c r="U193" s="115"/>
      <x:c r="V193" s="115"/>
      <x:c r="W193" s="115"/>
      <x:c r="X193" s="115"/>
      <x:c r="Y193" s="115"/>
      <x:c r="Z193" s="115"/>
    </x:row>
    <x:row r="194" ht="15" hidden="0" customHeight="1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  <x:c r="S194" s="115"/>
      <x:c r="T194" s="115"/>
      <x:c r="U194" s="115"/>
      <x:c r="V194" s="115"/>
      <x:c r="W194" s="115"/>
      <x:c r="X194" s="115"/>
      <x:c r="Y194" s="115"/>
      <x:c r="Z194" s="115"/>
    </x:row>
    <x:row r="195" ht="15" hidden="0" customHeight="1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  <x:c r="S195" s="115"/>
      <x:c r="T195" s="115"/>
      <x:c r="U195" s="115"/>
      <x:c r="V195" s="115"/>
      <x:c r="W195" s="115"/>
      <x:c r="X195" s="115"/>
      <x:c r="Y195" s="115"/>
      <x:c r="Z195" s="115"/>
    </x:row>
    <x:row r="196" ht="15" hidden="0" customHeight="1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  <x:c r="S196" s="115"/>
      <x:c r="T196" s="115"/>
      <x:c r="U196" s="115"/>
      <x:c r="V196" s="115"/>
      <x:c r="W196" s="115"/>
      <x:c r="X196" s="115"/>
      <x:c r="Y196" s="115"/>
      <x:c r="Z196" s="115"/>
    </x:row>
    <x:row r="197" ht="15" hidden="0" customHeight="1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  <x:c r="S197" s="115"/>
      <x:c r="T197" s="115"/>
      <x:c r="U197" s="115"/>
      <x:c r="V197" s="115"/>
      <x:c r="W197" s="115"/>
      <x:c r="X197" s="115"/>
      <x:c r="Y197" s="115"/>
      <x:c r="Z197" s="115"/>
    </x:row>
    <x:row r="198" ht="15" hidden="0" customHeight="1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  <x:c r="S198" s="115"/>
      <x:c r="T198" s="115"/>
      <x:c r="U198" s="115"/>
      <x:c r="V198" s="115"/>
      <x:c r="W198" s="115"/>
      <x:c r="X198" s="115"/>
      <x:c r="Y198" s="115"/>
      <x:c r="Z198" s="115"/>
    </x:row>
    <x:row r="199" ht="15" hidden="0" customHeight="1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  <x:c r="S199" s="115"/>
      <x:c r="T199" s="115"/>
      <x:c r="U199" s="115"/>
      <x:c r="V199" s="115"/>
      <x:c r="W199" s="115"/>
      <x:c r="X199" s="115"/>
      <x:c r="Y199" s="115"/>
      <x:c r="Z199" s="115"/>
    </x:row>
    <x:row r="200" ht="15" hidden="0" customHeight="1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  <x:c r="S200" s="115"/>
      <x:c r="T200" s="115"/>
      <x:c r="U200" s="115"/>
      <x:c r="V200" s="115"/>
      <x:c r="W200" s="115"/>
      <x:c r="X200" s="115"/>
      <x:c r="Y200" s="115"/>
      <x:c r="Z200" s="115"/>
    </x:row>
  </x:sheetData>
  <x:mergeCells>
    <x:mergeCell ref="A1:L1"/>
  </x:mergeCells>
  <x:conditionalFormatting sqref="G4:G20">
    <x:cfRule type="expression" dxfId="5" priority="1">
      <x:formula>$G4="At Risk"</x:formula>
    </x:cfRule>
  </x:conditionalFormatting>
  <x:conditionalFormatting sqref="K4:K20">
    <x:cfRule type="expression" dxfId="6" priority="2">
      <x:formula>$K4="Late"</x:formula>
    </x:cfRule>
  </x:conditionalFormatting>
  <x:dataValidations count="2">
    <x:dataValidation type="list" sqref="G4:G20">
      <x:formula1>"Not Started,In Progress,At Risk,Complete,Deferred"</x:formula1>
    </x:dataValidation>
    <x:dataValidation type="list" sqref="I4:I2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da46ac7a5b49b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1.600000381469727" hidden="0" customHeight="1">
      <x:c r="A1" s="188" t="str">
        <x:v>Workstream Detail — Target, Capture, Validation, and Status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  <x:c r="S1" s="115"/>
      <x:c r="T1" s="115"/>
      <x:c r="U1" s="115"/>
      <x:c r="V1" s="115"/>
      <x:c r="W1" s="115"/>
      <x:c r="X1" s="115"/>
      <x:c r="Y1" s="115"/>
      <x:c r="Z1" s="115"/>
    </x:row>
    <x:row r="2" ht="15" hidden="0" customHeight="1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  <x:c r="Q2" s="115"/>
      <x:c r="R2" s="115"/>
      <x:c r="S2" s="115"/>
      <x:c r="T2" s="115"/>
      <x:c r="U2" s="115"/>
      <x:c r="V2" s="115"/>
      <x:c r="W2" s="115"/>
      <x:c r="X2" s="115"/>
      <x:c r="Y2" s="115"/>
      <x:c r="Z2" s="115"/>
    </x:row>
    <x:row r="3" ht="15" hidden="0" customHeight="1">
      <x:c r="A3" s="122" t="str">
        <x:v>Workstream</x:v>
      </x:c>
      <x:c r="B3" s="122" t="str">
        <x:v>Initiatives</x:v>
      </x:c>
      <x:c r="C3" s="122" t="str">
        <x:v># Complete</x:v>
      </x:c>
      <x:c r="D3" s="122" t="str">
        <x:v># At Risk</x:v>
      </x:c>
      <x:c r="E3" s="122" t="str">
        <x:v>Gross Target ($)</x:v>
      </x:c>
      <x:c r="F3" s="122" t="str">
        <x:v>Net Target ($)</x:v>
      </x:c>
      <x:c r="G3" s="122" t="str">
        <x:v>Run-Rate Captured ($)</x:v>
      </x:c>
      <x:c r="H3" s="122" t="str">
        <x:v>Validated EBITDA ($)</x:v>
      </x:c>
      <x:c r="I3" s="122" t="str">
        <x:v>Validation %</x:v>
      </x:c>
      <x:c r="J3" s="122" t="str">
        <x:v>Exit Value ($)</x:v>
      </x:c>
      <x:c r="K3" s="122" t="str">
        <x:v>Status</x:v>
      </x:c>
      <x:c r="L3" s="115"/>
      <x:c r="M3" s="115"/>
      <x:c r="N3" s="115"/>
      <x:c r="O3" s="115"/>
      <x:c r="P3" s="115"/>
      <x:c r="Q3" s="115"/>
      <x:c r="R3" s="115"/>
      <x:c r="S3" s="115"/>
      <x:c r="T3" s="115"/>
      <x:c r="U3" s="115"/>
      <x:c r="V3" s="115"/>
      <x:c r="W3" s="115"/>
      <x:c r="X3" s="115"/>
      <x:c r="Y3" s="115"/>
      <x:c r="Z3" s="115"/>
    </x:row>
    <x:row r="4" ht="15" hidden="0" customHeight="1">
      <x:c r="A4" s="115" t="str">
        <x:v>Procurement</x:v>
      </x:c>
      <x:c r="B4" s="115" t="n">
        <x:f>COUNTIF(Synergy_Tracker!$B$4:$B$23,A4)</x:f>
        <x:v>3</x:v>
      </x:c>
      <x:c r="C4" s="115" t="n">
        <x:f>COUNTIFS(Synergy_Tracker!$B$4:$B$23,A4,Synergy_Tracker!$E$4:$E$23,"Complete")</x:f>
        <x:v>0</x:v>
      </x:c>
      <x:c r="D4" s="115" t="n">
        <x:f>COUNTIFS(Synergy_Tracker!$B$4:$B$23,A4,Synergy_Tracker!$E$4:$E$23,"At Risk")</x:f>
        <x:v>0</x:v>
      </x:c>
      <x:c r="E4" s="123" t="n">
        <x:f>SUMIF(Synergy_Tracker!$B$4:$B$23,A4,Synergy_Tracker!$I$4:$I$23)</x:f>
        <x:v>2530000</x:v>
      </x:c>
      <x:c r="F4" s="123" t="n">
        <x:f>SUMIF(Synergy_Tracker!$B$4:$B$23,A4,Synergy_Tracker!$K$4:$K$23)</x:f>
        <x:v>2198000</x:v>
      </x:c>
      <x:c r="G4" s="123" t="n">
        <x:f>SUMIF(Synergy_Tracker!$B$4:$B$23,A4,Synergy_Tracker!$Q$4:$Q$23)</x:f>
        <x:v>622750</x:v>
      </x:c>
      <x:c r="H4" s="123" t="n">
        <x:f>SUMIF(Synergy_Tracker!$B$4:$B$23,A4,Synergy_Tracker!$R$4:$R$23)</x:f>
        <x:v>371862.5</x:v>
      </x:c>
      <x:c r="I4" s="124" t="n">
        <x:f>IF(F4=0,0,H4/F4)</x:f>
        <x:v>0.1691822111010009</x:v>
      </x:c>
      <x:c r="J4" s="123" t="n">
        <x:f>H4*Inputs!$B$9</x:f>
        <x:v>4276418.75</x:v>
      </x:c>
      <x:c r="K4" s="115" t="str">
        <x:f>IF(I4&gt;=Inputs!$B$16,"On Track",IF(G4/MAX(F4,1)&lt;Inputs!$B$17,"Behind","Watch"))</x:f>
        <x:v>Behind</x:v>
      </x:c>
      <x:c r="L4" s="115"/>
      <x:c r="M4" s="115"/>
      <x:c r="N4" s="115"/>
      <x:c r="O4" s="115"/>
      <x:c r="P4" s="115"/>
      <x:c r="Q4" s="115"/>
      <x:c r="R4" s="115"/>
      <x:c r="S4" s="115"/>
      <x:c r="T4" s="115"/>
      <x:c r="U4" s="115"/>
      <x:c r="V4" s="115"/>
      <x:c r="W4" s="115"/>
      <x:c r="X4" s="115"/>
      <x:c r="Y4" s="115"/>
      <x:c r="Z4" s="115"/>
    </x:row>
    <x:row r="5" ht="15" hidden="0" customHeight="1">
      <x:c r="A5" s="115" t="str">
        <x:v>Supply Chain / Logistics</x:v>
      </x:c>
      <x:c r="B5" s="115" t="n">
        <x:f>COUNTIF(Synergy_Tracker!$B$4:$B$23,A5)</x:f>
        <x:v>2</x:v>
      </x:c>
      <x:c r="C5" s="115" t="n">
        <x:f>COUNTIFS(Synergy_Tracker!$B$4:$B$23,A5,Synergy_Tracker!$E$4:$E$23,"Complete")</x:f>
        <x:v>0</x:v>
      </x:c>
      <x:c r="D5" s="115" t="n">
        <x:f>COUNTIFS(Synergy_Tracker!$B$4:$B$23,A5,Synergy_Tracker!$E$4:$E$23,"At Risk")</x:f>
        <x:v>1</x:v>
      </x:c>
      <x:c r="E5" s="123" t="n">
        <x:f>SUMIF(Synergy_Tracker!$B$4:$B$23,A5,Synergy_Tracker!$I$4:$I$23)</x:f>
        <x:v>1380000</x:v>
      </x:c>
      <x:c r="F5" s="123" t="n">
        <x:f>SUMIF(Synergy_Tracker!$B$4:$B$23,A5,Synergy_Tracker!$K$4:$K$23)</x:f>
        <x:v>1102800</x:v>
      </x:c>
      <x:c r="G5" s="123" t="n">
        <x:f>SUMIF(Synergy_Tracker!$B$4:$B$23,A5,Synergy_Tracker!$Q$4:$Q$23)</x:f>
        <x:v>444680</x:v>
      </x:c>
      <x:c r="H5" s="123" t="n">
        <x:f>SUMIF(Synergy_Tracker!$B$4:$B$23,A5,Synergy_Tracker!$R$4:$R$23)</x:f>
        <x:v>416470</x:v>
      </x:c>
      <x:c r="I5" s="124" t="n">
        <x:f>IF(F5=0,0,H5/F5)</x:f>
        <x:v>0.37764780558578165</x:v>
      </x:c>
      <x:c r="J5" s="123" t="n">
        <x:f>H5*Inputs!$B$9</x:f>
        <x:v>4789405</x:v>
      </x:c>
      <x:c r="K5" s="115" t="str">
        <x:f>IF(I5&gt;=Inputs!$B$16,"On Track",IF(G5/MAX(F5,1)&lt;Inputs!$B$17,"Behind","Watch"))</x:f>
        <x:v>Behind</x:v>
      </x:c>
      <x:c r="L5" s="115"/>
      <x:c r="M5" s="115"/>
      <x:c r="N5" s="115"/>
      <x:c r="O5" s="115"/>
      <x:c r="P5" s="115"/>
      <x:c r="Q5" s="115"/>
      <x:c r="R5" s="115"/>
      <x:c r="S5" s="115"/>
      <x:c r="T5" s="115"/>
      <x:c r="U5" s="115"/>
      <x:c r="V5" s="115"/>
      <x:c r="W5" s="115"/>
      <x:c r="X5" s="115"/>
      <x:c r="Y5" s="115"/>
      <x:c r="Z5" s="115"/>
    </x:row>
    <x:row r="6" ht="15" hidden="0" customHeight="1">
      <x:c r="A6" s="115" t="str">
        <x:v>G&amp;A / SG&amp;A</x:v>
      </x:c>
      <x:c r="B6" s="115" t="n">
        <x:f>COUNTIF(Synergy_Tracker!$B$4:$B$23,A6)</x:f>
        <x:v>4</x:v>
      </x:c>
      <x:c r="C6" s="115" t="n">
        <x:f>COUNTIFS(Synergy_Tracker!$B$4:$B$23,A6,Synergy_Tracker!$E$4:$E$23,"Complete")</x:f>
        <x:v>1</x:v>
      </x:c>
      <x:c r="D6" s="115" t="n">
        <x:f>COUNTIFS(Synergy_Tracker!$B$4:$B$23,A6,Synergy_Tracker!$E$4:$E$23,"At Risk")</x:f>
        <x:v>0</x:v>
      </x:c>
      <x:c r="E6" s="123" t="n">
        <x:f>SUMIF(Synergy_Tracker!$B$4:$B$23,A6,Synergy_Tracker!$I$4:$I$23)</x:f>
        <x:v>1870000</x:v>
      </x:c>
      <x:c r="F6" s="123" t="n">
        <x:f>SUMIF(Synergy_Tracker!$B$4:$B$23,A6,Synergy_Tracker!$K$4:$K$23)</x:f>
        <x:v>1724000</x:v>
      </x:c>
      <x:c r="G6" s="123" t="n">
        <x:f>SUMIF(Synergy_Tracker!$B$4:$B$23,A6,Synergy_Tracker!$Q$4:$Q$23)</x:f>
        <x:v>1019700</x:v>
      </x:c>
      <x:c r="H6" s="123" t="n">
        <x:f>SUMIF(Synergy_Tracker!$B$4:$B$23,A6,Synergy_Tracker!$R$4:$R$23)</x:f>
        <x:v>940050</x:v>
      </x:c>
      <x:c r="I6" s="124" t="n">
        <x:f>IF(F6=0,0,H6/F6)</x:f>
        <x:v>0.5452726218097448</x:v>
      </x:c>
      <x:c r="J6" s="123" t="n">
        <x:f>H6*Inputs!$B$9</x:f>
        <x:v>10810575</x:v>
      </x:c>
      <x:c r="K6" s="115" t="str">
        <x:f>IF(I6&gt;=Inputs!$B$16,"On Track",IF(G6/MAX(F6,1)&lt;Inputs!$B$17,"Behind","Watch"))</x:f>
        <x:v>Behind</x:v>
      </x:c>
      <x:c r="L6" s="115"/>
      <x:c r="M6" s="115"/>
      <x:c r="N6" s="115"/>
      <x:c r="O6" s="115"/>
      <x:c r="P6" s="115"/>
      <x:c r="Q6" s="115"/>
      <x:c r="R6" s="115"/>
      <x:c r="S6" s="115"/>
      <x:c r="T6" s="115"/>
      <x:c r="U6" s="115"/>
      <x:c r="V6" s="115"/>
      <x:c r="W6" s="115"/>
      <x:c r="X6" s="115"/>
      <x:c r="Y6" s="115"/>
      <x:c r="Z6" s="115"/>
    </x:row>
    <x:row r="7" ht="15" hidden="0" customHeight="1">
      <x:c r="A7" s="115" t="str">
        <x:v>Systems / IT</x:v>
      </x:c>
      <x:c r="B7" s="115" t="n">
        <x:f>COUNTIF(Synergy_Tracker!$B$4:$B$23,A7)</x:f>
        <x:v>3</x:v>
      </x:c>
      <x:c r="C7" s="115" t="n">
        <x:f>COUNTIFS(Synergy_Tracker!$B$4:$B$23,A7,Synergy_Tracker!$E$4:$E$23,"Complete")</x:f>
        <x:v>1</x:v>
      </x:c>
      <x:c r="D7" s="115" t="n">
        <x:f>COUNTIFS(Synergy_Tracker!$B$4:$B$23,A7,Synergy_Tracker!$E$4:$E$23,"At Risk")</x:f>
        <x:v>1</x:v>
      </x:c>
      <x:c r="E7" s="123" t="n">
        <x:f>SUMIF(Synergy_Tracker!$B$4:$B$23,A7,Synergy_Tracker!$I$4:$I$23)</x:f>
        <x:v>1220000</x:v>
      </x:c>
      <x:c r="F7" s="123" t="n">
        <x:f>SUMIF(Synergy_Tracker!$B$4:$B$23,A7,Synergy_Tracker!$K$4:$K$23)</x:f>
        <x:v>982500</x:v>
      </x:c>
      <x:c r="G7" s="123" t="n">
        <x:f>SUMIF(Synergy_Tracker!$B$4:$B$23,A7,Synergy_Tracker!$Q$4:$Q$23)</x:f>
        <x:v>328040</x:v>
      </x:c>
      <x:c r="H7" s="123" t="n">
        <x:f>SUMIF(Synergy_Tracker!$B$4:$B$23,A7,Synergy_Tracker!$R$4:$R$23)</x:f>
        <x:v>285192.5</x:v>
      </x:c>
      <x:c r="I7" s="124" t="n">
        <x:f>IF(F7=0,0,H7/F7)</x:f>
        <x:v>0.2902722646310433</x:v>
      </x:c>
      <x:c r="J7" s="123" t="n">
        <x:f>H7*Inputs!$B$9</x:f>
        <x:v>3279713.75</x:v>
      </x:c>
      <x:c r="K7" s="115" t="str">
        <x:f>IF(I7&gt;=Inputs!$B$16,"On Track",IF(G7/MAX(F7,1)&lt;Inputs!$B$17,"Behind","Watch"))</x:f>
        <x:v>Behind</x:v>
      </x:c>
      <x:c r="L7" s="115"/>
      <x:c r="M7" s="115"/>
      <x:c r="N7" s="115"/>
      <x:c r="O7" s="115"/>
      <x:c r="P7" s="115"/>
      <x:c r="Q7" s="115"/>
      <x:c r="R7" s="115"/>
      <x:c r="S7" s="115"/>
      <x:c r="T7" s="115"/>
      <x:c r="U7" s="115"/>
      <x:c r="V7" s="115"/>
      <x:c r="W7" s="115"/>
      <x:c r="X7" s="115"/>
      <x:c r="Y7" s="115"/>
      <x:c r="Z7" s="115"/>
    </x:row>
    <x:row r="8" ht="15" hidden="0" customHeight="1">
      <x:c r="A8" s="115" t="str">
        <x:v>Facilities / Footprint</x:v>
      </x:c>
      <x:c r="B8" s="115" t="n">
        <x:f>COUNTIF(Synergy_Tracker!$B$4:$B$23,A8)</x:f>
        <x:v>2</x:v>
      </x:c>
      <x:c r="C8" s="115" t="n">
        <x:f>COUNTIFS(Synergy_Tracker!$B$4:$B$23,A8,Synergy_Tracker!$E$4:$E$23,"Complete")</x:f>
        <x:v>0</x:v>
      </x:c>
      <x:c r="D8" s="115" t="n">
        <x:f>COUNTIFS(Synergy_Tracker!$B$4:$B$23,A8,Synergy_Tracker!$E$4:$E$23,"At Risk")</x:f>
        <x:v>0</x:v>
      </x:c>
      <x:c r="E8" s="123" t="n">
        <x:f>SUMIF(Synergy_Tracker!$B$4:$B$23,A8,Synergy_Tracker!$I$4:$I$23)</x:f>
        <x:v>960000</x:v>
      </x:c>
      <x:c r="F8" s="123" t="n">
        <x:f>SUMIF(Synergy_Tracker!$B$4:$B$23,A8,Synergy_Tracker!$K$4:$K$23)</x:f>
        <x:v>746000</x:v>
      </x:c>
      <x:c r="G8" s="123" t="n">
        <x:f>SUMIF(Synergy_Tracker!$B$4:$B$23,A8,Synergy_Tracker!$Q$4:$Q$23)</x:f>
        <x:v>20800</x:v>
      </x:c>
      <x:c r="H8" s="123" t="n">
        <x:f>SUMIF(Synergy_Tracker!$B$4:$B$23,A8,Synergy_Tracker!$R$4:$R$23)</x:f>
        <x:v>7279.999999999999</x:v>
      </x:c>
      <x:c r="I8" s="124" t="n">
        <x:f>IF(F8=0,0,H8/F8)</x:f>
        <x:v>0.009758713136729222</x:v>
      </x:c>
      <x:c r="J8" s="123" t="n">
        <x:f>H8*Inputs!$B$9</x:f>
        <x:v>83719.99999999999</x:v>
      </x:c>
      <x:c r="K8" s="115" t="str">
        <x:f>IF(I8&gt;=Inputs!$B$16,"On Track",IF(G8/MAX(F8,1)&lt;Inputs!$B$17,"Behind","Watch"))</x:f>
        <x:v>Behind</x:v>
      </x:c>
      <x:c r="L8" s="115"/>
      <x:c r="M8" s="115"/>
      <x:c r="N8" s="115"/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</x:row>
    <x:row r="9" ht="15" hidden="0" customHeight="1">
      <x:c r="A9" s="115" t="str">
        <x:v>Finance / Back Office</x:v>
      </x:c>
      <x:c r="B9" s="115" t="n">
        <x:f>COUNTIF(Synergy_Tracker!$B$4:$B$23,A9)</x:f>
        <x:v>2</x:v>
      </x:c>
      <x:c r="C9" s="115" t="n">
        <x:f>COUNTIFS(Synergy_Tracker!$B$4:$B$23,A9,Synergy_Tracker!$E$4:$E$23,"Complete")</x:f>
        <x:v>0</x:v>
      </x:c>
      <x:c r="D9" s="115" t="n">
        <x:f>COUNTIFS(Synergy_Tracker!$B$4:$B$23,A9,Synergy_Tracker!$E$4:$E$23,"At Risk")</x:f>
        <x:v>0</x:v>
      </x:c>
      <x:c r="E9" s="123" t="n">
        <x:f>SUMIF(Synergy_Tracker!$B$4:$B$23,A9,Synergy_Tracker!$I$4:$I$23)</x:f>
        <x:v>800000</x:v>
      </x:c>
      <x:c r="F9" s="123" t="n">
        <x:f>SUMIF(Synergy_Tracker!$B$4:$B$23,A9,Synergy_Tracker!$K$4:$K$23)</x:f>
        <x:v>691400</x:v>
      </x:c>
      <x:c r="G9" s="123" t="n">
        <x:f>SUMIF(Synergy_Tracker!$B$4:$B$23,A9,Synergy_Tracker!$Q$4:$Q$23)</x:f>
        <x:v>207680</x:v>
      </x:c>
      <x:c r="H9" s="123" t="n">
        <x:f>SUMIF(Synergy_Tracker!$B$4:$B$23,A9,Synergy_Tracker!$R$4:$R$23)</x:f>
        <x:v>155760</x:v>
      </x:c>
      <x:c r="I9" s="124" t="n">
        <x:f>IF(F9=0,0,H9/F9)</x:f>
        <x:v>0.2252820364477871</x:v>
      </x:c>
      <x:c r="J9" s="123" t="n">
        <x:f>H9*Inputs!$B$9</x:f>
        <x:v>1791240</x:v>
      </x:c>
      <x:c r="K9" s="115" t="str">
        <x:f>IF(I9&gt;=Inputs!$B$16,"On Track",IF(G9/MAX(F9,1)&lt;Inputs!$B$17,"Behind","Watch"))</x:f>
        <x:v>Behind</x:v>
      </x:c>
      <x:c r="L9" s="115"/>
      <x:c r="M9" s="115"/>
      <x:c r="N9" s="115"/>
      <x:c r="O9" s="115"/>
      <x:c r="P9" s="115"/>
      <x:c r="Q9" s="115"/>
      <x:c r="R9" s="115"/>
      <x:c r="S9" s="115"/>
      <x:c r="T9" s="115"/>
      <x:c r="U9" s="115"/>
      <x:c r="V9" s="115"/>
      <x:c r="W9" s="115"/>
      <x:c r="X9" s="115"/>
      <x:c r="Y9" s="115"/>
      <x:c r="Z9" s="115"/>
    </x:row>
    <x:row r="10" ht="15" hidden="0" customHeight="1">
      <x:c r="A10" s="115" t="str">
        <x:v>Revenue / Cross-sell</x:v>
      </x:c>
      <x:c r="B10" s="115" t="n">
        <x:f>COUNTIF(Synergy_Tracker!$B$4:$B$23,A10)</x:f>
        <x:v>2</x:v>
      </x:c>
      <x:c r="C10" s="115" t="n">
        <x:f>COUNTIFS(Synergy_Tracker!$B$4:$B$23,A10,Synergy_Tracker!$E$4:$E$23,"Complete")</x:f>
        <x:v>0</x:v>
      </x:c>
      <x:c r="D10" s="115" t="n">
        <x:f>COUNTIFS(Synergy_Tracker!$B$4:$B$23,A10,Synergy_Tracker!$E$4:$E$23,"At Risk")</x:f>
        <x:v>0</x:v>
      </x:c>
      <x:c r="E10" s="123" t="n">
        <x:f>SUMIF(Synergy_Tracker!$B$4:$B$23,A10,Synergy_Tracker!$I$4:$I$23)</x:f>
        <x:v>2650000</x:v>
      </x:c>
      <x:c r="F10" s="123" t="n">
        <x:f>SUMIF(Synergy_Tracker!$B$4:$B$23,A10,Synergy_Tracker!$K$4:$K$23)</x:f>
        <x:v>1677500</x:v>
      </x:c>
      <x:c r="G10" s="123" t="n">
        <x:f>SUMIF(Synergy_Tracker!$B$4:$B$23,A10,Synergy_Tracker!$Q$4:$Q$23)</x:f>
        <x:v>147300</x:v>
      </x:c>
      <x:c r="H10" s="123" t="n">
        <x:f>SUMIF(Synergy_Tracker!$B$4:$B$23,A10,Synergy_Tracker!$R$4:$R$23)</x:f>
        <x:v>51555</x:v>
      </x:c>
      <x:c r="I10" s="124" t="n">
        <x:f>IF(F10=0,0,H10/F10)</x:f>
        <x:v>0.03073323397913562</x:v>
      </x:c>
      <x:c r="J10" s="123" t="n">
        <x:f>H10*Inputs!$B$9</x:f>
        <x:v>592882.5</x:v>
      </x:c>
      <x:c r="K10" s="115" t="str">
        <x:f>IF(I10&gt;=Inputs!$B$16,"On Track",IF(G10/MAX(F10,1)&lt;Inputs!$B$17,"Behind","Watch"))</x:f>
        <x:v>Behind</x:v>
      </x:c>
      <x:c r="L10" s="115"/>
      <x:c r="M10" s="115"/>
      <x:c r="N10" s="115"/>
      <x:c r="O10" s="115"/>
      <x:c r="P10" s="115"/>
      <x:c r="Q10" s="115"/>
      <x:c r="R10" s="115"/>
      <x:c r="S10" s="115"/>
      <x:c r="T10" s="115"/>
      <x:c r="U10" s="115"/>
      <x:c r="V10" s="115"/>
      <x:c r="W10" s="115"/>
      <x:c r="X10" s="115"/>
      <x:c r="Y10" s="115"/>
      <x:c r="Z10" s="115"/>
    </x:row>
    <x:row r="11" ht="15" hidden="0" customHeight="1">
      <x:c r="A11" s="115" t="str">
        <x:v>Revenue Leakage</x:v>
      </x:c>
      <x:c r="B11" s="115" t="n">
        <x:f>COUNTIF(Synergy_Tracker!$B$4:$B$23,A11)</x:f>
        <x:v>2</x:v>
      </x:c>
      <x:c r="C11" s="115" t="n">
        <x:f>COUNTIFS(Synergy_Tracker!$B$4:$B$23,A11,Synergy_Tracker!$E$4:$E$23,"Complete")</x:f>
        <x:v>1</x:v>
      </x:c>
      <x:c r="D11" s="115" t="n">
        <x:f>COUNTIFS(Synergy_Tracker!$B$4:$B$23,A11,Synergy_Tracker!$E$4:$E$23,"At Risk")</x:f>
        <x:v>0</x:v>
      </x:c>
      <x:c r="E11" s="123" t="n">
        <x:f>SUMIF(Synergy_Tracker!$B$4:$B$23,A11,Synergy_Tracker!$I$4:$I$23)</x:f>
        <x:v>1180000</x:v>
      </x:c>
      <x:c r="F11" s="123" t="n">
        <x:f>SUMIF(Synergy_Tracker!$B$4:$B$23,A11,Synergy_Tracker!$K$4:$K$23)</x:f>
        <x:v>1036600</x:v>
      </x:c>
      <x:c r="G11" s="123" t="n">
        <x:f>SUMIF(Synergy_Tracker!$B$4:$B$23,A11,Synergy_Tracker!$Q$4:$Q$23)</x:f>
        <x:v>672860</x:v>
      </x:c>
      <x:c r="H11" s="123" t="n">
        <x:f>SUMIF(Synergy_Tracker!$B$4:$B$23,A11,Synergy_Tracker!$R$4:$R$23)</x:f>
        <x:v>598485</x:v>
      </x:c>
      <x:c r="I11" s="124" t="n">
        <x:f>IF(F11=0,0,H11/F11)</x:f>
        <x:v>0.5773538491221301</x:v>
      </x:c>
      <x:c r="J11" s="123" t="n">
        <x:f>H11*Inputs!$B$9</x:f>
        <x:v>6882577.5</x:v>
      </x:c>
      <x:c r="K11" s="115" t="str">
        <x:f>IF(I11&gt;=Inputs!$B$16,"On Track",IF(G11/MAX(F11,1)&lt;Inputs!$B$17,"Behind","Watch"))</x:f>
        <x:v>Watch</x:v>
      </x:c>
      <x:c r="L11" s="115"/>
      <x:c r="M11" s="115"/>
      <x:c r="N11" s="115"/>
      <x:c r="O11" s="115"/>
      <x:c r="P11" s="115"/>
      <x:c r="Q11" s="115"/>
      <x:c r="R11" s="115"/>
      <x:c r="S11" s="115"/>
      <x:c r="T11" s="115"/>
      <x:c r="U11" s="115"/>
      <x:c r="V11" s="115"/>
      <x:c r="W11" s="115"/>
      <x:c r="X11" s="115"/>
      <x:c r="Y11" s="115"/>
      <x:c r="Z11" s="115"/>
    </x:row>
    <x:row r="12" ht="15" hidden="0" customHeight="1">
      <x:c r="A12" s="182" t="str">
        <x:v>Total</x:v>
      </x:c>
      <x:c r="B12" s="182" t="n">
        <x:f>SUM(B4:B11)</x:f>
        <x:v>20</x:v>
      </x:c>
      <x:c r="C12" s="182" t="n">
        <x:f>SUM(C4:C11)</x:f>
        <x:v>3</x:v>
      </x:c>
      <x:c r="D12" s="182" t="n">
        <x:f>SUM(D4:D11)</x:f>
        <x:v>2</x:v>
      </x:c>
      <x:c r="E12" s="183" t="n">
        <x:f>SUM(E4:E11)</x:f>
        <x:v>12590000</x:v>
      </x:c>
      <x:c r="F12" s="183" t="n">
        <x:f>SUM(F4:F11)</x:f>
        <x:v>10158800</x:v>
      </x:c>
      <x:c r="G12" s="183" t="n">
        <x:f>SUM(G4:G11)</x:f>
        <x:v>3463810</x:v>
      </x:c>
      <x:c r="H12" s="183" t="n">
        <x:f>SUM(H4:H11)</x:f>
        <x:v>2826655</x:v>
      </x:c>
      <x:c r="I12" s="184" t="n">
        <x:f>IF(F12=0,0,H12/F12)</x:f>
        <x:v>0.27824693861479705</x:v>
      </x:c>
      <x:c r="J12" s="183" t="n">
        <x:f>SUM(J4:J11)</x:f>
        <x:v>32506532.5</x:v>
      </x:c>
      <x:c r="K12" s="182" t="str">
        <x:f>IF(I12&gt;=Inputs!$B$16,"On Track","Watch")</x:f>
        <x:v>Watch</x:v>
      </x:c>
      <x:c r="L12" s="115"/>
      <x:c r="M12" s="115"/>
      <x:c r="N12" s="115"/>
      <x:c r="O12" s="115"/>
      <x:c r="P12" s="115"/>
      <x:c r="Q12" s="115"/>
      <x:c r="R12" s="115"/>
      <x:c r="S12" s="115"/>
      <x:c r="T12" s="115"/>
      <x:c r="U12" s="115"/>
      <x:c r="V12" s="115"/>
      <x:c r="W12" s="115"/>
      <x:c r="X12" s="115"/>
      <x:c r="Y12" s="115"/>
      <x:c r="Z12" s="115"/>
    </x:row>
    <x:row r="13" ht="15" hidden="0" customHeight="1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  <x:c r="L13" s="115"/>
      <x:c r="M13" s="115"/>
      <x:c r="N13" s="115"/>
      <x:c r="O13" s="115"/>
      <x:c r="P13" s="115"/>
      <x:c r="Q13" s="115"/>
      <x:c r="R13" s="115"/>
      <x:c r="S13" s="115"/>
      <x:c r="T13" s="115"/>
      <x:c r="U13" s="115"/>
      <x:c r="V13" s="115"/>
      <x:c r="W13" s="115"/>
      <x:c r="X13" s="115"/>
      <x:c r="Y13" s="115"/>
      <x:c r="Z13" s="115"/>
    </x:row>
    <x:row r="14" ht="15" hidden="0" customHeight="1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O14" s="115"/>
      <x:c r="P14" s="115"/>
      <x:c r="Q14" s="115"/>
      <x:c r="R14" s="115"/>
      <x:c r="S14" s="115"/>
      <x:c r="T14" s="115"/>
      <x:c r="U14" s="115"/>
      <x:c r="V14" s="115"/>
      <x:c r="W14" s="115"/>
      <x:c r="X14" s="115"/>
      <x:c r="Y14" s="115"/>
      <x:c r="Z14" s="115"/>
    </x:row>
    <x:row r="15" ht="15" hidden="0" customHeight="1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115"/>
      <x:c r="P15" s="115"/>
      <x:c r="Q15" s="115"/>
      <x:c r="R15" s="115"/>
      <x:c r="S15" s="115"/>
      <x:c r="T15" s="115"/>
      <x:c r="U15" s="115"/>
      <x:c r="V15" s="115"/>
      <x:c r="W15" s="115"/>
      <x:c r="X15" s="115"/>
      <x:c r="Y15" s="115"/>
      <x:c r="Z15" s="115"/>
    </x:row>
    <x:row r="16" ht="15" hidden="0" customHeight="1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  <x:c r="O16" s="115"/>
      <x:c r="P16" s="115"/>
      <x:c r="Q16" s="115"/>
      <x:c r="R16" s="115"/>
      <x:c r="S16" s="115"/>
      <x:c r="T16" s="115"/>
      <x:c r="U16" s="115"/>
      <x:c r="V16" s="115"/>
      <x:c r="W16" s="115"/>
      <x:c r="X16" s="115"/>
      <x:c r="Y16" s="115"/>
      <x:c r="Z16" s="115"/>
    </x:row>
    <x:row r="17" ht="15" hidden="0" customHeight="1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  <x:c r="O17" s="115"/>
      <x:c r="P17" s="115"/>
      <x:c r="Q17" s="115"/>
      <x:c r="R17" s="115"/>
      <x:c r="S17" s="115"/>
      <x:c r="T17" s="115"/>
      <x:c r="U17" s="115"/>
      <x:c r="V17" s="115"/>
      <x:c r="W17" s="115"/>
      <x:c r="X17" s="115"/>
      <x:c r="Y17" s="115"/>
      <x:c r="Z17" s="115"/>
    </x:row>
    <x:row r="18" ht="15" hidden="0" customHeight="1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  <x:c r="M18" s="115"/>
      <x:c r="N18" s="115"/>
      <x:c r="O18" s="115"/>
      <x:c r="P18" s="115"/>
      <x:c r="Q18" s="115"/>
      <x:c r="R18" s="115"/>
      <x:c r="S18" s="115"/>
      <x:c r="T18" s="115"/>
      <x:c r="U18" s="115"/>
      <x:c r="V18" s="115"/>
      <x:c r="W18" s="115"/>
      <x:c r="X18" s="115"/>
      <x:c r="Y18" s="115"/>
      <x:c r="Z18" s="115"/>
    </x:row>
    <x:row r="19" ht="15" hidden="0" customHeight="1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  <x:c r="O19" s="115"/>
      <x:c r="P19" s="115"/>
      <x:c r="Q19" s="115"/>
      <x:c r="R19" s="115"/>
      <x:c r="S19" s="115"/>
      <x:c r="T19" s="115"/>
      <x:c r="U19" s="115"/>
      <x:c r="V19" s="115"/>
      <x:c r="W19" s="115"/>
      <x:c r="X19" s="115"/>
      <x:c r="Y19" s="115"/>
      <x:c r="Z19" s="115"/>
    </x:row>
    <x:row r="20" ht="15" hidden="0" customHeight="1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  <x:c r="O20" s="115"/>
      <x:c r="P20" s="115"/>
      <x:c r="Q20" s="115"/>
      <x:c r="R20" s="115"/>
      <x:c r="S20" s="115"/>
      <x:c r="T20" s="115"/>
      <x:c r="U20" s="115"/>
      <x:c r="V20" s="115"/>
      <x:c r="W20" s="115"/>
      <x:c r="X20" s="115"/>
      <x:c r="Y20" s="115"/>
      <x:c r="Z20" s="115"/>
    </x:row>
    <x:row r="21" ht="15" hidden="0" customHeight="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  <x:c r="S21" s="115"/>
      <x:c r="T21" s="115"/>
      <x:c r="U21" s="115"/>
      <x:c r="V21" s="115"/>
      <x:c r="W21" s="115"/>
      <x:c r="X21" s="115"/>
      <x:c r="Y21" s="115"/>
      <x:c r="Z21" s="115"/>
    </x:row>
    <x:row r="22" ht="15" hidden="0" customHeight="1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  <x:c r="S22" s="115"/>
      <x:c r="T22" s="115"/>
      <x:c r="U22" s="115"/>
      <x:c r="V22" s="115"/>
      <x:c r="W22" s="115"/>
      <x:c r="X22" s="115"/>
      <x:c r="Y22" s="115"/>
      <x:c r="Z22" s="115"/>
    </x:row>
    <x:row r="23" ht="15" hidden="0" customHeight="1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  <x:c r="S23" s="115"/>
      <x:c r="T23" s="115"/>
      <x:c r="U23" s="115"/>
      <x:c r="V23" s="115"/>
      <x:c r="W23" s="115"/>
      <x:c r="X23" s="115"/>
      <x:c r="Y23" s="115"/>
      <x:c r="Z23" s="115"/>
    </x:row>
    <x:row r="24" ht="15" hidden="0" customHeight="1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  <x:c r="S24" s="115"/>
      <x:c r="T24" s="115"/>
      <x:c r="U24" s="115"/>
      <x:c r="V24" s="115"/>
      <x:c r="W24" s="115"/>
      <x:c r="X24" s="115"/>
      <x:c r="Y24" s="115"/>
      <x:c r="Z24" s="115"/>
    </x:row>
    <x:row r="25" ht="15" hidden="0" customHeight="1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  <x:c r="S25" s="115"/>
      <x:c r="T25" s="115"/>
      <x:c r="U25" s="115"/>
      <x:c r="V25" s="115"/>
      <x:c r="W25" s="115"/>
      <x:c r="X25" s="115"/>
      <x:c r="Y25" s="115"/>
      <x:c r="Z25" s="115"/>
    </x:row>
    <x:row r="26" ht="15" hidden="0" customHeight="1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  <x:c r="S26" s="115"/>
      <x:c r="T26" s="115"/>
      <x:c r="U26" s="115"/>
      <x:c r="V26" s="115"/>
      <x:c r="W26" s="115"/>
      <x:c r="X26" s="115"/>
      <x:c r="Y26" s="115"/>
      <x:c r="Z26" s="115"/>
    </x:row>
    <x:row r="27" ht="15" hidden="0" customHeight="1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  <x:c r="S27" s="115"/>
      <x:c r="T27" s="115"/>
      <x:c r="U27" s="115"/>
      <x:c r="V27" s="115"/>
      <x:c r="W27" s="115"/>
      <x:c r="X27" s="115"/>
      <x:c r="Y27" s="115"/>
      <x:c r="Z27" s="115"/>
    </x:row>
    <x:row r="28" ht="15" hidden="0" customHeight="1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  <x:c r="S28" s="115"/>
      <x:c r="T28" s="115"/>
      <x:c r="U28" s="115"/>
      <x:c r="V28" s="115"/>
      <x:c r="W28" s="115"/>
      <x:c r="X28" s="115"/>
      <x:c r="Y28" s="115"/>
      <x:c r="Z28" s="115"/>
    </x:row>
    <x:row r="29" ht="15" hidden="0" customHeight="1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  <x:c r="S29" s="115"/>
      <x:c r="T29" s="115"/>
      <x:c r="U29" s="115"/>
      <x:c r="V29" s="115"/>
      <x:c r="W29" s="115"/>
      <x:c r="X29" s="115"/>
      <x:c r="Y29" s="115"/>
      <x:c r="Z29" s="115"/>
    </x:row>
    <x:row r="30" ht="15" hidden="0" customHeight="1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  <x:c r="S30" s="115"/>
      <x:c r="T30" s="115"/>
      <x:c r="U30" s="115"/>
      <x:c r="V30" s="115"/>
      <x:c r="W30" s="115"/>
      <x:c r="X30" s="115"/>
      <x:c r="Y30" s="115"/>
      <x:c r="Z30" s="115"/>
    </x:row>
    <x:row r="31" ht="15" hidden="0" customHeight="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  <x:c r="S31" s="115"/>
      <x:c r="T31" s="115"/>
      <x:c r="U31" s="115"/>
      <x:c r="V31" s="115"/>
      <x:c r="W31" s="115"/>
      <x:c r="X31" s="115"/>
      <x:c r="Y31" s="115"/>
      <x:c r="Z31" s="115"/>
    </x:row>
    <x:row r="32" ht="15" hidden="0" customHeight="1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  <x:c r="S32" s="115"/>
      <x:c r="T32" s="115"/>
      <x:c r="U32" s="115"/>
      <x:c r="V32" s="115"/>
      <x:c r="W32" s="115"/>
      <x:c r="X32" s="115"/>
      <x:c r="Y32" s="115"/>
      <x:c r="Z32" s="115"/>
    </x:row>
    <x:row r="33" ht="15" hidden="0" customHeight="1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  <x:c r="S33" s="115"/>
      <x:c r="T33" s="115"/>
      <x:c r="U33" s="115"/>
      <x:c r="V33" s="115"/>
      <x:c r="W33" s="115"/>
      <x:c r="X33" s="115"/>
      <x:c r="Y33" s="115"/>
      <x:c r="Z33" s="115"/>
    </x:row>
    <x:row r="34" ht="15" hidden="0" customHeight="1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  <x:c r="S34" s="115"/>
      <x:c r="T34" s="115"/>
      <x:c r="U34" s="115"/>
      <x:c r="V34" s="115"/>
      <x:c r="W34" s="115"/>
      <x:c r="X34" s="115"/>
      <x:c r="Y34" s="115"/>
      <x:c r="Z34" s="115"/>
    </x:row>
    <x:row r="35" ht="15" hidden="0" customHeight="1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  <x:c r="S35" s="115"/>
      <x:c r="T35" s="115"/>
      <x:c r="U35" s="115"/>
      <x:c r="V35" s="115"/>
      <x:c r="W35" s="115"/>
      <x:c r="X35" s="115"/>
      <x:c r="Y35" s="115"/>
      <x:c r="Z35" s="115"/>
    </x:row>
    <x:row r="36" ht="15" hidden="0" customHeight="1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  <x:c r="S36" s="115"/>
      <x:c r="T36" s="115"/>
      <x:c r="U36" s="115"/>
      <x:c r="V36" s="115"/>
      <x:c r="W36" s="115"/>
      <x:c r="X36" s="115"/>
      <x:c r="Y36" s="115"/>
      <x:c r="Z36" s="115"/>
    </x:row>
    <x:row r="37" ht="15" hidden="0" customHeight="1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  <x:c r="S37" s="115"/>
      <x:c r="T37" s="115"/>
      <x:c r="U37" s="115"/>
      <x:c r="V37" s="115"/>
      <x:c r="W37" s="115"/>
      <x:c r="X37" s="115"/>
      <x:c r="Y37" s="115"/>
      <x:c r="Z37" s="115"/>
    </x:row>
    <x:row r="38" ht="15" hidden="0" customHeight="1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  <x:c r="S38" s="115"/>
      <x:c r="T38" s="115"/>
      <x:c r="U38" s="115"/>
      <x:c r="V38" s="115"/>
      <x:c r="W38" s="115"/>
      <x:c r="X38" s="115"/>
      <x:c r="Y38" s="115"/>
      <x:c r="Z38" s="115"/>
    </x:row>
    <x:row r="39" ht="15" hidden="0" customHeight="1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  <x:c r="S39" s="115"/>
      <x:c r="T39" s="115"/>
      <x:c r="U39" s="115"/>
      <x:c r="V39" s="115"/>
      <x:c r="W39" s="115"/>
      <x:c r="X39" s="115"/>
      <x:c r="Y39" s="115"/>
      <x:c r="Z39" s="115"/>
    </x:row>
    <x:row r="40" ht="15" hidden="0" customHeight="1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  <x:c r="S40" s="115"/>
      <x:c r="T40" s="115"/>
      <x:c r="U40" s="115"/>
      <x:c r="V40" s="115"/>
      <x:c r="W40" s="115"/>
      <x:c r="X40" s="115"/>
      <x:c r="Y40" s="115"/>
      <x:c r="Z40" s="115"/>
    </x:row>
    <x:row r="41" ht="15" hidden="0" customHeight="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  <x:c r="S41" s="115"/>
      <x:c r="T41" s="115"/>
      <x:c r="U41" s="115"/>
      <x:c r="V41" s="115"/>
      <x:c r="W41" s="115"/>
      <x:c r="X41" s="115"/>
      <x:c r="Y41" s="115"/>
      <x:c r="Z41" s="115"/>
    </x:row>
    <x:row r="42" ht="15" hidden="0" customHeight="1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5"/>
      <x:c r="U42" s="115"/>
      <x:c r="V42" s="115"/>
      <x:c r="W42" s="115"/>
      <x:c r="X42" s="115"/>
      <x:c r="Y42" s="115"/>
      <x:c r="Z42" s="115"/>
    </x:row>
    <x:row r="43" ht="15" hidden="0" customHeight="1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  <x:c r="S43" s="115"/>
      <x:c r="T43" s="115"/>
      <x:c r="U43" s="115"/>
      <x:c r="V43" s="115"/>
      <x:c r="W43" s="115"/>
      <x:c r="X43" s="115"/>
      <x:c r="Y43" s="115"/>
      <x:c r="Z43" s="115"/>
    </x:row>
    <x:row r="44" ht="15" hidden="0" customHeight="1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  <x:c r="S44" s="115"/>
      <x:c r="T44" s="115"/>
      <x:c r="U44" s="115"/>
      <x:c r="V44" s="115"/>
      <x:c r="W44" s="115"/>
      <x:c r="X44" s="115"/>
      <x:c r="Y44" s="115"/>
      <x:c r="Z44" s="115"/>
    </x:row>
    <x:row r="45" ht="15" hidden="0" customHeight="1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  <x:c r="S45" s="115"/>
      <x:c r="T45" s="115"/>
      <x:c r="U45" s="115"/>
      <x:c r="V45" s="115"/>
      <x:c r="W45" s="115"/>
      <x:c r="X45" s="115"/>
      <x:c r="Y45" s="115"/>
      <x:c r="Z45" s="115"/>
    </x:row>
    <x:row r="46" ht="15" hidden="0" customHeight="1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  <x:c r="S46" s="115"/>
      <x:c r="T46" s="115"/>
      <x:c r="U46" s="115"/>
      <x:c r="V46" s="115"/>
      <x:c r="W46" s="115"/>
      <x:c r="X46" s="115"/>
      <x:c r="Y46" s="115"/>
      <x:c r="Z46" s="115"/>
    </x:row>
    <x:row r="47" ht="15" hidden="0" customHeight="1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  <x:c r="S47" s="115"/>
      <x:c r="T47" s="115"/>
      <x:c r="U47" s="115"/>
      <x:c r="V47" s="115"/>
      <x:c r="W47" s="115"/>
      <x:c r="X47" s="115"/>
      <x:c r="Y47" s="115"/>
      <x:c r="Z47" s="115"/>
    </x:row>
    <x:row r="48" ht="15" hidden="0" customHeight="1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  <x:c r="S48" s="115"/>
      <x:c r="T48" s="115"/>
      <x:c r="U48" s="115"/>
      <x:c r="V48" s="115"/>
      <x:c r="W48" s="115"/>
      <x:c r="X48" s="115"/>
      <x:c r="Y48" s="115"/>
      <x:c r="Z48" s="115"/>
    </x:row>
    <x:row r="49" ht="15" hidden="0" customHeight="1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  <x:c r="S49" s="115"/>
      <x:c r="T49" s="115"/>
      <x:c r="U49" s="115"/>
      <x:c r="V49" s="115"/>
      <x:c r="W49" s="115"/>
      <x:c r="X49" s="115"/>
      <x:c r="Y49" s="115"/>
      <x:c r="Z49" s="115"/>
    </x:row>
    <x:row r="50" ht="15" hidden="0" customHeight="1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  <x:c r="S50" s="115"/>
      <x:c r="T50" s="115"/>
      <x:c r="U50" s="115"/>
      <x:c r="V50" s="115"/>
      <x:c r="W50" s="115"/>
      <x:c r="X50" s="115"/>
      <x:c r="Y50" s="115"/>
      <x:c r="Z50" s="115"/>
    </x:row>
    <x:row r="51" ht="15" hidden="0" customHeight="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  <x:c r="S51" s="115"/>
      <x:c r="T51" s="115"/>
      <x:c r="U51" s="115"/>
      <x:c r="V51" s="115"/>
      <x:c r="W51" s="115"/>
      <x:c r="X51" s="115"/>
      <x:c r="Y51" s="115"/>
      <x:c r="Z51" s="115"/>
    </x:row>
    <x:row r="52" ht="15" hidden="0" customHeight="1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  <x:c r="S52" s="115"/>
      <x:c r="T52" s="115"/>
      <x:c r="U52" s="115"/>
      <x:c r="V52" s="115"/>
      <x:c r="W52" s="115"/>
      <x:c r="X52" s="115"/>
      <x:c r="Y52" s="115"/>
      <x:c r="Z52" s="115"/>
    </x:row>
    <x:row r="53" ht="15" hidden="0" customHeight="1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  <x:c r="S53" s="115"/>
      <x:c r="T53" s="115"/>
      <x:c r="U53" s="115"/>
      <x:c r="V53" s="115"/>
      <x:c r="W53" s="115"/>
      <x:c r="X53" s="115"/>
      <x:c r="Y53" s="115"/>
      <x:c r="Z53" s="115"/>
    </x:row>
    <x:row r="54" ht="15" hidden="0" customHeight="1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  <x:c r="S54" s="115"/>
      <x:c r="T54" s="115"/>
      <x:c r="U54" s="115"/>
      <x:c r="V54" s="115"/>
      <x:c r="W54" s="115"/>
      <x:c r="X54" s="115"/>
      <x:c r="Y54" s="115"/>
      <x:c r="Z54" s="115"/>
    </x:row>
    <x:row r="55" ht="15" hidden="0" customHeight="1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  <x:c r="S55" s="115"/>
      <x:c r="T55" s="115"/>
      <x:c r="U55" s="115"/>
      <x:c r="V55" s="115"/>
      <x:c r="W55" s="115"/>
      <x:c r="X55" s="115"/>
      <x:c r="Y55" s="115"/>
      <x:c r="Z55" s="115"/>
    </x:row>
    <x:row r="56" ht="15" hidden="0" customHeight="1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  <x:c r="S56" s="115"/>
      <x:c r="T56" s="115"/>
      <x:c r="U56" s="115"/>
      <x:c r="V56" s="115"/>
      <x:c r="W56" s="115"/>
      <x:c r="X56" s="115"/>
      <x:c r="Y56" s="115"/>
      <x:c r="Z56" s="115"/>
    </x:row>
    <x:row r="57" ht="15" hidden="0" customHeight="1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  <x:c r="S57" s="115"/>
      <x:c r="T57" s="115"/>
      <x:c r="U57" s="115"/>
      <x:c r="V57" s="115"/>
      <x:c r="W57" s="115"/>
      <x:c r="X57" s="115"/>
      <x:c r="Y57" s="115"/>
      <x:c r="Z57" s="115"/>
    </x:row>
    <x:row r="58" ht="15" hidden="0" customHeight="1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  <x:c r="S58" s="115"/>
      <x:c r="T58" s="115"/>
      <x:c r="U58" s="115"/>
      <x:c r="V58" s="115"/>
      <x:c r="W58" s="115"/>
      <x:c r="X58" s="115"/>
      <x:c r="Y58" s="115"/>
      <x:c r="Z58" s="115"/>
    </x:row>
    <x:row r="59" ht="15" hidden="0" customHeight="1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15"/>
      <x:c r="T59" s="115"/>
      <x:c r="U59" s="115"/>
      <x:c r="V59" s="115"/>
      <x:c r="W59" s="115"/>
      <x:c r="X59" s="115"/>
      <x:c r="Y59" s="115"/>
      <x:c r="Z59" s="115"/>
    </x:row>
    <x:row r="60" ht="15" hidden="0" customHeight="1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15"/>
      <x:c r="T60" s="115"/>
      <x:c r="U60" s="115"/>
      <x:c r="V60" s="115"/>
      <x:c r="W60" s="115"/>
      <x:c r="X60" s="115"/>
      <x:c r="Y60" s="115"/>
      <x:c r="Z60" s="115"/>
    </x:row>
    <x:row r="61" ht="15" hidden="0" customHeight="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  <x:c r="S61" s="115"/>
      <x:c r="T61" s="115"/>
      <x:c r="U61" s="115"/>
      <x:c r="V61" s="115"/>
      <x:c r="W61" s="115"/>
      <x:c r="X61" s="115"/>
      <x:c r="Y61" s="115"/>
      <x:c r="Z61" s="115"/>
    </x:row>
    <x:row r="62" ht="15" hidden="0" customHeight="1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  <x:c r="S62" s="115"/>
      <x:c r="T62" s="115"/>
      <x:c r="U62" s="115"/>
      <x:c r="V62" s="115"/>
      <x:c r="W62" s="115"/>
      <x:c r="X62" s="115"/>
      <x:c r="Y62" s="115"/>
      <x:c r="Z62" s="115"/>
    </x:row>
    <x:row r="63" ht="15" hidden="0" customHeight="1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5"/>
      <x:c r="T63" s="115"/>
      <x:c r="U63" s="115"/>
      <x:c r="V63" s="115"/>
      <x:c r="W63" s="115"/>
      <x:c r="X63" s="115"/>
      <x:c r="Y63" s="115"/>
      <x:c r="Z63" s="115"/>
    </x:row>
    <x:row r="64" ht="15" hidden="0" customHeight="1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  <x:c r="S64" s="115"/>
      <x:c r="T64" s="115"/>
      <x:c r="U64" s="115"/>
      <x:c r="V64" s="115"/>
      <x:c r="W64" s="115"/>
      <x:c r="X64" s="115"/>
      <x:c r="Y64" s="115"/>
      <x:c r="Z64" s="115"/>
    </x:row>
    <x:row r="65" ht="15" hidden="0" customHeight="1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  <x:c r="S65" s="115"/>
      <x:c r="T65" s="115"/>
      <x:c r="U65" s="115"/>
      <x:c r="V65" s="115"/>
      <x:c r="W65" s="115"/>
      <x:c r="X65" s="115"/>
      <x:c r="Y65" s="115"/>
      <x:c r="Z65" s="115"/>
    </x:row>
    <x:row r="66" ht="15" hidden="0" customHeight="1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  <x:c r="S66" s="115"/>
      <x:c r="T66" s="115"/>
      <x:c r="U66" s="115"/>
      <x:c r="V66" s="115"/>
      <x:c r="W66" s="115"/>
      <x:c r="X66" s="115"/>
      <x:c r="Y66" s="115"/>
      <x:c r="Z66" s="115"/>
    </x:row>
    <x:row r="67" ht="15" hidden="0" customHeight="1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  <x:c r="S67" s="115"/>
      <x:c r="T67" s="115"/>
      <x:c r="U67" s="115"/>
      <x:c r="V67" s="115"/>
      <x:c r="W67" s="115"/>
      <x:c r="X67" s="115"/>
      <x:c r="Y67" s="115"/>
      <x:c r="Z67" s="115"/>
    </x:row>
    <x:row r="68" ht="15" hidden="0" customHeight="1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  <x:c r="S68" s="115"/>
      <x:c r="T68" s="115"/>
      <x:c r="U68" s="115"/>
      <x:c r="V68" s="115"/>
      <x:c r="W68" s="115"/>
      <x:c r="X68" s="115"/>
      <x:c r="Y68" s="115"/>
      <x:c r="Z68" s="115"/>
    </x:row>
    <x:row r="69" ht="15" hidden="0" customHeight="1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  <x:c r="S69" s="115"/>
      <x:c r="T69" s="115"/>
      <x:c r="U69" s="115"/>
      <x:c r="V69" s="115"/>
      <x:c r="W69" s="115"/>
      <x:c r="X69" s="115"/>
      <x:c r="Y69" s="115"/>
      <x:c r="Z69" s="115"/>
    </x:row>
    <x:row r="70" ht="15" hidden="0" customHeight="1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  <x:c r="S70" s="115"/>
      <x:c r="T70" s="115"/>
      <x:c r="U70" s="115"/>
      <x:c r="V70" s="115"/>
      <x:c r="W70" s="115"/>
      <x:c r="X70" s="115"/>
      <x:c r="Y70" s="115"/>
      <x:c r="Z70" s="115"/>
    </x:row>
    <x:row r="71" ht="15" hidden="0" customHeight="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  <x:c r="S71" s="115"/>
      <x:c r="T71" s="115"/>
      <x:c r="U71" s="115"/>
      <x:c r="V71" s="115"/>
      <x:c r="W71" s="115"/>
      <x:c r="X71" s="115"/>
      <x:c r="Y71" s="115"/>
      <x:c r="Z71" s="115"/>
    </x:row>
    <x:row r="72" ht="15" hidden="0" customHeight="1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  <x:c r="S72" s="115"/>
      <x:c r="T72" s="115"/>
      <x:c r="U72" s="115"/>
      <x:c r="V72" s="115"/>
      <x:c r="W72" s="115"/>
      <x:c r="X72" s="115"/>
      <x:c r="Y72" s="115"/>
      <x:c r="Z72" s="115"/>
    </x:row>
    <x:row r="73" ht="15" hidden="0" customHeight="1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  <x:c r="S73" s="115"/>
      <x:c r="T73" s="115"/>
      <x:c r="U73" s="115"/>
      <x:c r="V73" s="115"/>
      <x:c r="W73" s="115"/>
      <x:c r="X73" s="115"/>
      <x:c r="Y73" s="115"/>
      <x:c r="Z73" s="115"/>
    </x:row>
    <x:row r="74" ht="15" hidden="0" customHeight="1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  <x:c r="S74" s="115"/>
      <x:c r="T74" s="115"/>
      <x:c r="U74" s="115"/>
      <x:c r="V74" s="115"/>
      <x:c r="W74" s="115"/>
      <x:c r="X74" s="115"/>
      <x:c r="Y74" s="115"/>
      <x:c r="Z74" s="115"/>
    </x:row>
    <x:row r="75" ht="15" hidden="0" customHeight="1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  <x:c r="S75" s="115"/>
      <x:c r="T75" s="115"/>
      <x:c r="U75" s="115"/>
      <x:c r="V75" s="115"/>
      <x:c r="W75" s="115"/>
      <x:c r="X75" s="115"/>
      <x:c r="Y75" s="115"/>
      <x:c r="Z75" s="115"/>
    </x:row>
    <x:row r="76" ht="15" hidden="0" customHeight="1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  <x:c r="S76" s="115"/>
      <x:c r="T76" s="115"/>
      <x:c r="U76" s="115"/>
      <x:c r="V76" s="115"/>
      <x:c r="W76" s="115"/>
      <x:c r="X76" s="115"/>
      <x:c r="Y76" s="115"/>
      <x:c r="Z76" s="115"/>
    </x:row>
    <x:row r="77" ht="15" hidden="0" customHeight="1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  <x:c r="S77" s="115"/>
      <x:c r="T77" s="115"/>
      <x:c r="U77" s="115"/>
      <x:c r="V77" s="115"/>
      <x:c r="W77" s="115"/>
      <x:c r="X77" s="115"/>
      <x:c r="Y77" s="115"/>
      <x:c r="Z77" s="115"/>
    </x:row>
    <x:row r="78" ht="15" hidden="0" customHeight="1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5"/>
      <x:c r="T78" s="115"/>
      <x:c r="U78" s="115"/>
      <x:c r="V78" s="115"/>
      <x:c r="W78" s="115"/>
      <x:c r="X78" s="115"/>
      <x:c r="Y78" s="115"/>
      <x:c r="Z78" s="115"/>
    </x:row>
    <x:row r="79" ht="15" hidden="0" customHeight="1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  <x:c r="S79" s="115"/>
      <x:c r="T79" s="115"/>
      <x:c r="U79" s="115"/>
      <x:c r="V79" s="115"/>
      <x:c r="W79" s="115"/>
      <x:c r="X79" s="115"/>
      <x:c r="Y79" s="115"/>
      <x:c r="Z79" s="115"/>
    </x:row>
    <x:row r="80" ht="15" hidden="0" customHeight="1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  <x:c r="S80" s="115"/>
      <x:c r="T80" s="115"/>
      <x:c r="U80" s="115"/>
      <x:c r="V80" s="115"/>
      <x:c r="W80" s="115"/>
      <x:c r="X80" s="115"/>
      <x:c r="Y80" s="115"/>
      <x:c r="Z80" s="115"/>
    </x:row>
    <x:row r="81" ht="15" hidden="0" customHeight="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  <x:c r="S81" s="115"/>
      <x:c r="T81" s="115"/>
      <x:c r="U81" s="115"/>
      <x:c r="V81" s="115"/>
      <x:c r="W81" s="115"/>
      <x:c r="X81" s="115"/>
      <x:c r="Y81" s="115"/>
      <x:c r="Z81" s="115"/>
    </x:row>
    <x:row r="82" ht="15" hidden="0" customHeight="1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  <x:c r="S82" s="115"/>
      <x:c r="T82" s="115"/>
      <x:c r="U82" s="115"/>
      <x:c r="V82" s="115"/>
      <x:c r="W82" s="115"/>
      <x:c r="X82" s="115"/>
      <x:c r="Y82" s="115"/>
      <x:c r="Z82" s="115"/>
    </x:row>
    <x:row r="83" ht="15" hidden="0" customHeight="1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  <x:c r="S83" s="115"/>
      <x:c r="T83" s="115"/>
      <x:c r="U83" s="115"/>
      <x:c r="V83" s="115"/>
      <x:c r="W83" s="115"/>
      <x:c r="X83" s="115"/>
      <x:c r="Y83" s="115"/>
      <x:c r="Z83" s="115"/>
    </x:row>
    <x:row r="84" ht="15" hidden="0" customHeight="1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  <x:c r="S84" s="115"/>
      <x:c r="T84" s="115"/>
      <x:c r="U84" s="115"/>
      <x:c r="V84" s="115"/>
      <x:c r="W84" s="115"/>
      <x:c r="X84" s="115"/>
      <x:c r="Y84" s="115"/>
      <x:c r="Z84" s="115"/>
    </x:row>
    <x:row r="85" ht="15" hidden="0" customHeight="1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  <x:c r="S85" s="115"/>
      <x:c r="T85" s="115"/>
      <x:c r="U85" s="115"/>
      <x:c r="V85" s="115"/>
      <x:c r="W85" s="115"/>
      <x:c r="X85" s="115"/>
      <x:c r="Y85" s="115"/>
      <x:c r="Z85" s="115"/>
    </x:row>
    <x:row r="86" ht="15" hidden="0" customHeight="1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  <x:c r="S86" s="115"/>
      <x:c r="T86" s="115"/>
      <x:c r="U86" s="115"/>
      <x:c r="V86" s="115"/>
      <x:c r="W86" s="115"/>
      <x:c r="X86" s="115"/>
      <x:c r="Y86" s="115"/>
      <x:c r="Z86" s="115"/>
    </x:row>
    <x:row r="87" ht="15" hidden="0" customHeight="1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  <x:c r="S87" s="115"/>
      <x:c r="T87" s="115"/>
      <x:c r="U87" s="115"/>
      <x:c r="V87" s="115"/>
      <x:c r="W87" s="115"/>
      <x:c r="X87" s="115"/>
      <x:c r="Y87" s="115"/>
      <x:c r="Z87" s="115"/>
    </x:row>
    <x:row r="88" ht="15" hidden="0" customHeight="1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  <x:c r="S88" s="115"/>
      <x:c r="T88" s="115"/>
      <x:c r="U88" s="115"/>
      <x:c r="V88" s="115"/>
      <x:c r="W88" s="115"/>
      <x:c r="X88" s="115"/>
      <x:c r="Y88" s="115"/>
      <x:c r="Z88" s="115"/>
    </x:row>
    <x:row r="89" ht="15" hidden="0" customHeight="1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  <x:c r="S89" s="115"/>
      <x:c r="T89" s="115"/>
      <x:c r="U89" s="115"/>
      <x:c r="V89" s="115"/>
      <x:c r="W89" s="115"/>
      <x:c r="X89" s="115"/>
      <x:c r="Y89" s="115"/>
      <x:c r="Z89" s="115"/>
    </x:row>
    <x:row r="90" ht="15" hidden="0" customHeight="1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  <x:c r="S90" s="115"/>
      <x:c r="T90" s="115"/>
      <x:c r="U90" s="115"/>
      <x:c r="V90" s="115"/>
      <x:c r="W90" s="115"/>
      <x:c r="X90" s="115"/>
      <x:c r="Y90" s="115"/>
      <x:c r="Z90" s="115"/>
    </x:row>
    <x:row r="91" ht="15" hidden="0" customHeight="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  <x:c r="S91" s="115"/>
      <x:c r="T91" s="115"/>
      <x:c r="U91" s="115"/>
      <x:c r="V91" s="115"/>
      <x:c r="W91" s="115"/>
      <x:c r="X91" s="115"/>
      <x:c r="Y91" s="115"/>
      <x:c r="Z91" s="115"/>
    </x:row>
    <x:row r="92" ht="15" hidden="0" customHeight="1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  <x:c r="S92" s="115"/>
      <x:c r="T92" s="115"/>
      <x:c r="U92" s="115"/>
      <x:c r="V92" s="115"/>
      <x:c r="W92" s="115"/>
      <x:c r="X92" s="115"/>
      <x:c r="Y92" s="115"/>
      <x:c r="Z92" s="115"/>
    </x:row>
    <x:row r="93" ht="15" hidden="0" customHeight="1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  <x:c r="S93" s="115"/>
      <x:c r="T93" s="115"/>
      <x:c r="U93" s="115"/>
      <x:c r="V93" s="115"/>
      <x:c r="W93" s="115"/>
      <x:c r="X93" s="115"/>
      <x:c r="Y93" s="115"/>
      <x:c r="Z93" s="115"/>
    </x:row>
    <x:row r="94" ht="15" hidden="0" customHeight="1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  <x:c r="S94" s="115"/>
      <x:c r="T94" s="115"/>
      <x:c r="U94" s="115"/>
      <x:c r="V94" s="115"/>
      <x:c r="W94" s="115"/>
      <x:c r="X94" s="115"/>
      <x:c r="Y94" s="115"/>
      <x:c r="Z94" s="115"/>
    </x:row>
    <x:row r="95" ht="15" hidden="0" customHeight="1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  <x:c r="S95" s="115"/>
      <x:c r="T95" s="115"/>
      <x:c r="U95" s="115"/>
      <x:c r="V95" s="115"/>
      <x:c r="W95" s="115"/>
      <x:c r="X95" s="115"/>
      <x:c r="Y95" s="115"/>
      <x:c r="Z95" s="115"/>
    </x:row>
    <x:row r="96" ht="15" hidden="0" customHeight="1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  <x:c r="S96" s="115"/>
      <x:c r="T96" s="115"/>
      <x:c r="U96" s="115"/>
      <x:c r="V96" s="115"/>
      <x:c r="W96" s="115"/>
      <x:c r="X96" s="115"/>
      <x:c r="Y96" s="115"/>
      <x:c r="Z96" s="115"/>
    </x:row>
    <x:row r="97" ht="15" hidden="0" customHeight="1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  <x:c r="S97" s="115"/>
      <x:c r="T97" s="115"/>
      <x:c r="U97" s="115"/>
      <x:c r="V97" s="115"/>
      <x:c r="W97" s="115"/>
      <x:c r="X97" s="115"/>
      <x:c r="Y97" s="115"/>
      <x:c r="Z97" s="115"/>
    </x:row>
    <x:row r="98" ht="15" hidden="0" customHeight="1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  <x:c r="S98" s="115"/>
      <x:c r="T98" s="115"/>
      <x:c r="U98" s="115"/>
      <x:c r="V98" s="115"/>
      <x:c r="W98" s="115"/>
      <x:c r="X98" s="115"/>
      <x:c r="Y98" s="115"/>
      <x:c r="Z98" s="115"/>
    </x:row>
    <x:row r="99" ht="15" hidden="0" customHeight="1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  <x:c r="S99" s="115"/>
      <x:c r="T99" s="115"/>
      <x:c r="U99" s="115"/>
      <x:c r="V99" s="115"/>
      <x:c r="W99" s="115"/>
      <x:c r="X99" s="115"/>
      <x:c r="Y99" s="115"/>
      <x:c r="Z99" s="115"/>
    </x:row>
    <x:row r="100" ht="15" hidden="0" customHeight="1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  <x:c r="S100" s="115"/>
      <x:c r="T100" s="115"/>
      <x:c r="U100" s="115"/>
      <x:c r="V100" s="115"/>
      <x:c r="W100" s="115"/>
      <x:c r="X100" s="115"/>
      <x:c r="Y100" s="115"/>
      <x:c r="Z100" s="115"/>
    </x:row>
    <x:row r="101" ht="15" hidden="0" customHeight="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  <x:c r="S101" s="115"/>
      <x:c r="T101" s="115"/>
      <x:c r="U101" s="115"/>
      <x:c r="V101" s="115"/>
      <x:c r="W101" s="115"/>
      <x:c r="X101" s="115"/>
      <x:c r="Y101" s="115"/>
      <x:c r="Z101" s="115"/>
    </x:row>
    <x:row r="102" ht="15" hidden="0" customHeight="1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  <x:c r="S102" s="115"/>
      <x:c r="T102" s="115"/>
      <x:c r="U102" s="115"/>
      <x:c r="V102" s="115"/>
      <x:c r="W102" s="115"/>
      <x:c r="X102" s="115"/>
      <x:c r="Y102" s="115"/>
      <x:c r="Z102" s="115"/>
    </x:row>
    <x:row r="103" ht="15" hidden="0" customHeight="1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  <x:c r="S103" s="115"/>
      <x:c r="T103" s="115"/>
      <x:c r="U103" s="115"/>
      <x:c r="V103" s="115"/>
      <x:c r="W103" s="115"/>
      <x:c r="X103" s="115"/>
      <x:c r="Y103" s="115"/>
      <x:c r="Z103" s="115"/>
    </x:row>
    <x:row r="104" ht="15" hidden="0" customHeight="1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  <x:c r="S104" s="115"/>
      <x:c r="T104" s="115"/>
      <x:c r="U104" s="115"/>
      <x:c r="V104" s="115"/>
      <x:c r="W104" s="115"/>
      <x:c r="X104" s="115"/>
      <x:c r="Y104" s="115"/>
      <x:c r="Z104" s="115"/>
    </x:row>
    <x:row r="105" ht="15" hidden="0" customHeight="1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  <x:c r="S105" s="115"/>
      <x:c r="T105" s="115"/>
      <x:c r="U105" s="115"/>
      <x:c r="V105" s="115"/>
      <x:c r="W105" s="115"/>
      <x:c r="X105" s="115"/>
      <x:c r="Y105" s="115"/>
      <x:c r="Z105" s="115"/>
    </x:row>
    <x:row r="106" ht="15" hidden="0" customHeight="1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  <x:c r="S106" s="115"/>
      <x:c r="T106" s="115"/>
      <x:c r="U106" s="115"/>
      <x:c r="V106" s="115"/>
      <x:c r="W106" s="115"/>
      <x:c r="X106" s="115"/>
      <x:c r="Y106" s="115"/>
      <x:c r="Z106" s="115"/>
    </x:row>
    <x:row r="107" ht="15" hidden="0" customHeight="1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  <x:c r="S107" s="115"/>
      <x:c r="T107" s="115"/>
      <x:c r="U107" s="115"/>
      <x:c r="V107" s="115"/>
      <x:c r="W107" s="115"/>
      <x:c r="X107" s="115"/>
      <x:c r="Y107" s="115"/>
      <x:c r="Z107" s="115"/>
    </x:row>
    <x:row r="108" ht="15" hidden="0" customHeight="1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  <x:c r="S108" s="115"/>
      <x:c r="T108" s="115"/>
      <x:c r="U108" s="115"/>
      <x:c r="V108" s="115"/>
      <x:c r="W108" s="115"/>
      <x:c r="X108" s="115"/>
      <x:c r="Y108" s="115"/>
      <x:c r="Z108" s="115"/>
    </x:row>
    <x:row r="109" ht="15" hidden="0" customHeight="1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  <x:c r="S109" s="115"/>
      <x:c r="T109" s="115"/>
      <x:c r="U109" s="115"/>
      <x:c r="V109" s="115"/>
      <x:c r="W109" s="115"/>
      <x:c r="X109" s="115"/>
      <x:c r="Y109" s="115"/>
      <x:c r="Z109" s="115"/>
    </x:row>
    <x:row r="110" ht="15" hidden="0" customHeight="1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  <x:c r="S110" s="115"/>
      <x:c r="T110" s="115"/>
      <x:c r="U110" s="115"/>
      <x:c r="V110" s="115"/>
      <x:c r="W110" s="115"/>
      <x:c r="X110" s="115"/>
      <x:c r="Y110" s="115"/>
      <x:c r="Z110" s="115"/>
    </x:row>
    <x:row r="111" ht="15" hidden="0" customHeight="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  <x:c r="S111" s="115"/>
      <x:c r="T111" s="115"/>
      <x:c r="U111" s="115"/>
      <x:c r="V111" s="115"/>
      <x:c r="W111" s="115"/>
      <x:c r="X111" s="115"/>
      <x:c r="Y111" s="115"/>
      <x:c r="Z111" s="115"/>
    </x:row>
    <x:row r="112" ht="15" hidden="0" customHeight="1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  <x:c r="S112" s="115"/>
      <x:c r="T112" s="115"/>
      <x:c r="U112" s="115"/>
      <x:c r="V112" s="115"/>
      <x:c r="W112" s="115"/>
      <x:c r="X112" s="115"/>
      <x:c r="Y112" s="115"/>
      <x:c r="Z112" s="115"/>
    </x:row>
    <x:row r="113" ht="15" hidden="0" customHeight="1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  <x:c r="S113" s="115"/>
      <x:c r="T113" s="115"/>
      <x:c r="U113" s="115"/>
      <x:c r="V113" s="115"/>
      <x:c r="W113" s="115"/>
      <x:c r="X113" s="115"/>
      <x:c r="Y113" s="115"/>
      <x:c r="Z113" s="115"/>
    </x:row>
    <x:row r="114" ht="15" hidden="0" customHeight="1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  <x:c r="S114" s="115"/>
      <x:c r="T114" s="115"/>
      <x:c r="U114" s="115"/>
      <x:c r="V114" s="115"/>
      <x:c r="W114" s="115"/>
      <x:c r="X114" s="115"/>
      <x:c r="Y114" s="115"/>
      <x:c r="Z114" s="115"/>
    </x:row>
    <x:row r="115" ht="15" hidden="0" customHeight="1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  <x:c r="S115" s="115"/>
      <x:c r="T115" s="115"/>
      <x:c r="U115" s="115"/>
      <x:c r="V115" s="115"/>
      <x:c r="W115" s="115"/>
      <x:c r="X115" s="115"/>
      <x:c r="Y115" s="115"/>
      <x:c r="Z115" s="115"/>
    </x:row>
    <x:row r="116" ht="15" hidden="0" customHeight="1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  <x:c r="S116" s="115"/>
      <x:c r="T116" s="115"/>
      <x:c r="U116" s="115"/>
      <x:c r="V116" s="115"/>
      <x:c r="W116" s="115"/>
      <x:c r="X116" s="115"/>
      <x:c r="Y116" s="115"/>
      <x:c r="Z116" s="115"/>
    </x:row>
    <x:row r="117" ht="15" hidden="0" customHeight="1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  <x:c r="S117" s="115"/>
      <x:c r="T117" s="115"/>
      <x:c r="U117" s="115"/>
      <x:c r="V117" s="115"/>
      <x:c r="W117" s="115"/>
      <x:c r="X117" s="115"/>
      <x:c r="Y117" s="115"/>
      <x:c r="Z117" s="115"/>
    </x:row>
    <x:row r="118" ht="15" hidden="0" customHeight="1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  <x:c r="S118" s="115"/>
      <x:c r="T118" s="115"/>
      <x:c r="U118" s="115"/>
      <x:c r="V118" s="115"/>
      <x:c r="W118" s="115"/>
      <x:c r="X118" s="115"/>
      <x:c r="Y118" s="115"/>
      <x:c r="Z118" s="115"/>
    </x:row>
    <x:row r="119" ht="15" hidden="0" customHeight="1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  <x:c r="S119" s="115"/>
      <x:c r="T119" s="115"/>
      <x:c r="U119" s="115"/>
      <x:c r="V119" s="115"/>
      <x:c r="W119" s="115"/>
      <x:c r="X119" s="115"/>
      <x:c r="Y119" s="115"/>
      <x:c r="Z119" s="115"/>
    </x:row>
    <x:row r="120" ht="15" hidden="0" customHeight="1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  <x:c r="S120" s="115"/>
      <x:c r="T120" s="115"/>
      <x:c r="U120" s="115"/>
      <x:c r="V120" s="115"/>
      <x:c r="W120" s="115"/>
      <x:c r="X120" s="115"/>
      <x:c r="Y120" s="115"/>
      <x:c r="Z120" s="115"/>
    </x:row>
    <x:row r="121" ht="15" hidden="0" customHeight="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  <x:c r="S121" s="115"/>
      <x:c r="T121" s="115"/>
      <x:c r="U121" s="115"/>
      <x:c r="V121" s="115"/>
      <x:c r="W121" s="115"/>
      <x:c r="X121" s="115"/>
      <x:c r="Y121" s="115"/>
      <x:c r="Z121" s="115"/>
    </x:row>
    <x:row r="122" ht="15" hidden="0" customHeight="1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  <x:c r="S122" s="115"/>
      <x:c r="T122" s="115"/>
      <x:c r="U122" s="115"/>
      <x:c r="V122" s="115"/>
      <x:c r="W122" s="115"/>
      <x:c r="X122" s="115"/>
      <x:c r="Y122" s="115"/>
      <x:c r="Z122" s="115"/>
    </x:row>
    <x:row r="123" ht="15" hidden="0" customHeight="1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  <x:c r="S123" s="115"/>
      <x:c r="T123" s="115"/>
      <x:c r="U123" s="115"/>
      <x:c r="V123" s="115"/>
      <x:c r="W123" s="115"/>
      <x:c r="X123" s="115"/>
      <x:c r="Y123" s="115"/>
      <x:c r="Z123" s="115"/>
    </x:row>
    <x:row r="124" ht="15" hidden="0" customHeight="1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  <x:c r="S124" s="115"/>
      <x:c r="T124" s="115"/>
      <x:c r="U124" s="115"/>
      <x:c r="V124" s="115"/>
      <x:c r="W124" s="115"/>
      <x:c r="X124" s="115"/>
      <x:c r="Y124" s="115"/>
      <x:c r="Z124" s="115"/>
    </x:row>
    <x:row r="125" ht="15" hidden="0" customHeight="1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  <x:c r="S125" s="115"/>
      <x:c r="T125" s="115"/>
      <x:c r="U125" s="115"/>
      <x:c r="V125" s="115"/>
      <x:c r="W125" s="115"/>
      <x:c r="X125" s="115"/>
      <x:c r="Y125" s="115"/>
      <x:c r="Z125" s="115"/>
    </x:row>
    <x:row r="126" ht="15" hidden="0" customHeight="1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  <x:c r="S126" s="115"/>
      <x:c r="T126" s="115"/>
      <x:c r="U126" s="115"/>
      <x:c r="V126" s="115"/>
      <x:c r="W126" s="115"/>
      <x:c r="X126" s="115"/>
      <x:c r="Y126" s="115"/>
      <x:c r="Z126" s="115"/>
    </x:row>
    <x:row r="127" ht="15" hidden="0" customHeight="1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  <x:c r="S127" s="115"/>
      <x:c r="T127" s="115"/>
      <x:c r="U127" s="115"/>
      <x:c r="V127" s="115"/>
      <x:c r="W127" s="115"/>
      <x:c r="X127" s="115"/>
      <x:c r="Y127" s="115"/>
      <x:c r="Z127" s="115"/>
    </x:row>
    <x:row r="128" ht="15" hidden="0" customHeight="1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  <x:c r="S128" s="115"/>
      <x:c r="T128" s="115"/>
      <x:c r="U128" s="115"/>
      <x:c r="V128" s="115"/>
      <x:c r="W128" s="115"/>
      <x:c r="X128" s="115"/>
      <x:c r="Y128" s="115"/>
      <x:c r="Z128" s="115"/>
    </x:row>
    <x:row r="129" ht="15" hidden="0" customHeight="1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  <x:c r="S129" s="115"/>
      <x:c r="T129" s="115"/>
      <x:c r="U129" s="115"/>
      <x:c r="V129" s="115"/>
      <x:c r="W129" s="115"/>
      <x:c r="X129" s="115"/>
      <x:c r="Y129" s="115"/>
      <x:c r="Z129" s="115"/>
    </x:row>
    <x:row r="130" ht="15" hidden="0" customHeight="1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  <x:c r="S130" s="115"/>
      <x:c r="T130" s="115"/>
      <x:c r="U130" s="115"/>
      <x:c r="V130" s="115"/>
      <x:c r="W130" s="115"/>
      <x:c r="X130" s="115"/>
      <x:c r="Y130" s="115"/>
      <x:c r="Z130" s="115"/>
    </x:row>
    <x:row r="131" ht="15" hidden="0" customHeight="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  <x:c r="S131" s="115"/>
      <x:c r="T131" s="115"/>
      <x:c r="U131" s="115"/>
      <x:c r="V131" s="115"/>
      <x:c r="W131" s="115"/>
      <x:c r="X131" s="115"/>
      <x:c r="Y131" s="115"/>
      <x:c r="Z131" s="115"/>
    </x:row>
    <x:row r="132" ht="15" hidden="0" customHeight="1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  <x:c r="S132" s="115"/>
      <x:c r="T132" s="115"/>
      <x:c r="U132" s="115"/>
      <x:c r="V132" s="115"/>
      <x:c r="W132" s="115"/>
      <x:c r="X132" s="115"/>
      <x:c r="Y132" s="115"/>
      <x:c r="Z132" s="115"/>
    </x:row>
    <x:row r="133" ht="15" hidden="0" customHeight="1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  <x:c r="S133" s="115"/>
      <x:c r="T133" s="115"/>
      <x:c r="U133" s="115"/>
      <x:c r="V133" s="115"/>
      <x:c r="W133" s="115"/>
      <x:c r="X133" s="115"/>
      <x:c r="Y133" s="115"/>
      <x:c r="Z133" s="115"/>
    </x:row>
    <x:row r="134" ht="15" hidden="0" customHeight="1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  <x:c r="S134" s="115"/>
      <x:c r="T134" s="115"/>
      <x:c r="U134" s="115"/>
      <x:c r="V134" s="115"/>
      <x:c r="W134" s="115"/>
      <x:c r="X134" s="115"/>
      <x:c r="Y134" s="115"/>
      <x:c r="Z134" s="115"/>
    </x:row>
    <x:row r="135" ht="15" hidden="0" customHeight="1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  <x:c r="S135" s="115"/>
      <x:c r="T135" s="115"/>
      <x:c r="U135" s="115"/>
      <x:c r="V135" s="115"/>
      <x:c r="W135" s="115"/>
      <x:c r="X135" s="115"/>
      <x:c r="Y135" s="115"/>
      <x:c r="Z135" s="115"/>
    </x:row>
    <x:row r="136" ht="15" hidden="0" customHeight="1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  <x:c r="S136" s="115"/>
      <x:c r="T136" s="115"/>
      <x:c r="U136" s="115"/>
      <x:c r="V136" s="115"/>
      <x:c r="W136" s="115"/>
      <x:c r="X136" s="115"/>
      <x:c r="Y136" s="115"/>
      <x:c r="Z136" s="115"/>
    </x:row>
    <x:row r="137" ht="15" hidden="0" customHeight="1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  <x:c r="S137" s="115"/>
      <x:c r="T137" s="115"/>
      <x:c r="U137" s="115"/>
      <x:c r="V137" s="115"/>
      <x:c r="W137" s="115"/>
      <x:c r="X137" s="115"/>
      <x:c r="Y137" s="115"/>
      <x:c r="Z137" s="115"/>
    </x:row>
    <x:row r="138" ht="15" hidden="0" customHeight="1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5"/>
      <x:c r="T138" s="115"/>
      <x:c r="U138" s="115"/>
      <x:c r="V138" s="115"/>
      <x:c r="W138" s="115"/>
      <x:c r="X138" s="115"/>
      <x:c r="Y138" s="115"/>
      <x:c r="Z138" s="115"/>
    </x:row>
    <x:row r="139" ht="15" hidden="0" customHeight="1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  <x:c r="S139" s="115"/>
      <x:c r="T139" s="115"/>
      <x:c r="U139" s="115"/>
      <x:c r="V139" s="115"/>
      <x:c r="W139" s="115"/>
      <x:c r="X139" s="115"/>
      <x:c r="Y139" s="115"/>
      <x:c r="Z139" s="115"/>
    </x:row>
    <x:row r="140" ht="15" hidden="0" customHeight="1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  <x:c r="S140" s="115"/>
      <x:c r="T140" s="115"/>
      <x:c r="U140" s="115"/>
      <x:c r="V140" s="115"/>
      <x:c r="W140" s="115"/>
      <x:c r="X140" s="115"/>
      <x:c r="Y140" s="115"/>
      <x:c r="Z140" s="115"/>
    </x:row>
    <x:row r="141" ht="15" hidden="0" customHeight="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  <x:c r="S141" s="115"/>
      <x:c r="T141" s="115"/>
      <x:c r="U141" s="115"/>
      <x:c r="V141" s="115"/>
      <x:c r="W141" s="115"/>
      <x:c r="X141" s="115"/>
      <x:c r="Y141" s="115"/>
      <x:c r="Z141" s="115"/>
    </x:row>
    <x:row r="142" ht="15" hidden="0" customHeight="1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  <x:c r="S142" s="115"/>
      <x:c r="T142" s="115"/>
      <x:c r="U142" s="115"/>
      <x:c r="V142" s="115"/>
      <x:c r="W142" s="115"/>
      <x:c r="X142" s="115"/>
      <x:c r="Y142" s="115"/>
      <x:c r="Z142" s="115"/>
    </x:row>
    <x:row r="143" ht="15" hidden="0" customHeight="1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  <x:c r="S143" s="115"/>
      <x:c r="T143" s="115"/>
      <x:c r="U143" s="115"/>
      <x:c r="V143" s="115"/>
      <x:c r="W143" s="115"/>
      <x:c r="X143" s="115"/>
      <x:c r="Y143" s="115"/>
      <x:c r="Z143" s="115"/>
    </x:row>
    <x:row r="144" ht="15" hidden="0" customHeight="1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  <x:c r="S144" s="115"/>
      <x:c r="T144" s="115"/>
      <x:c r="U144" s="115"/>
      <x:c r="V144" s="115"/>
      <x:c r="W144" s="115"/>
      <x:c r="X144" s="115"/>
      <x:c r="Y144" s="115"/>
      <x:c r="Z144" s="115"/>
    </x:row>
    <x:row r="145" ht="15" hidden="0" customHeight="1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  <x:c r="S145" s="115"/>
      <x:c r="T145" s="115"/>
      <x:c r="U145" s="115"/>
      <x:c r="V145" s="115"/>
      <x:c r="W145" s="115"/>
      <x:c r="X145" s="115"/>
      <x:c r="Y145" s="115"/>
      <x:c r="Z145" s="115"/>
    </x:row>
    <x:row r="146" ht="15" hidden="0" customHeight="1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  <x:c r="S146" s="115"/>
      <x:c r="T146" s="115"/>
      <x:c r="U146" s="115"/>
      <x:c r="V146" s="115"/>
      <x:c r="W146" s="115"/>
      <x:c r="X146" s="115"/>
      <x:c r="Y146" s="115"/>
      <x:c r="Z146" s="115"/>
    </x:row>
    <x:row r="147" ht="15" hidden="0" customHeight="1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  <x:c r="S147" s="115"/>
      <x:c r="T147" s="115"/>
      <x:c r="U147" s="115"/>
      <x:c r="V147" s="115"/>
      <x:c r="W147" s="115"/>
      <x:c r="X147" s="115"/>
      <x:c r="Y147" s="115"/>
      <x:c r="Z147" s="115"/>
    </x:row>
    <x:row r="148" ht="15" hidden="0" customHeight="1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  <x:c r="S148" s="115"/>
      <x:c r="T148" s="115"/>
      <x:c r="U148" s="115"/>
      <x:c r="V148" s="115"/>
      <x:c r="W148" s="115"/>
      <x:c r="X148" s="115"/>
      <x:c r="Y148" s="115"/>
      <x:c r="Z148" s="115"/>
    </x:row>
    <x:row r="149" ht="15" hidden="0" customHeight="1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  <x:c r="S149" s="115"/>
      <x:c r="T149" s="115"/>
      <x:c r="U149" s="115"/>
      <x:c r="V149" s="115"/>
      <x:c r="W149" s="115"/>
      <x:c r="X149" s="115"/>
      <x:c r="Y149" s="115"/>
      <x:c r="Z149" s="115"/>
    </x:row>
    <x:row r="150" ht="15" hidden="0" customHeight="1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  <x:c r="S150" s="115"/>
      <x:c r="T150" s="115"/>
      <x:c r="U150" s="115"/>
      <x:c r="V150" s="115"/>
      <x:c r="W150" s="115"/>
      <x:c r="X150" s="115"/>
      <x:c r="Y150" s="115"/>
      <x:c r="Z150" s="115"/>
    </x:row>
    <x:row r="151" ht="15" hidden="0" customHeight="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  <x:c r="S151" s="115"/>
      <x:c r="T151" s="115"/>
      <x:c r="U151" s="115"/>
      <x:c r="V151" s="115"/>
      <x:c r="W151" s="115"/>
      <x:c r="X151" s="115"/>
      <x:c r="Y151" s="115"/>
      <x:c r="Z151" s="115"/>
    </x:row>
    <x:row r="152" ht="15" hidden="0" customHeight="1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  <x:c r="S152" s="115"/>
      <x:c r="T152" s="115"/>
      <x:c r="U152" s="115"/>
      <x:c r="V152" s="115"/>
      <x:c r="W152" s="115"/>
      <x:c r="X152" s="115"/>
      <x:c r="Y152" s="115"/>
      <x:c r="Z152" s="115"/>
    </x:row>
    <x:row r="153" ht="15" hidden="0" customHeight="1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  <x:c r="S153" s="115"/>
      <x:c r="T153" s="115"/>
      <x:c r="U153" s="115"/>
      <x:c r="V153" s="115"/>
      <x:c r="W153" s="115"/>
      <x:c r="X153" s="115"/>
      <x:c r="Y153" s="115"/>
      <x:c r="Z153" s="115"/>
    </x:row>
    <x:row r="154" ht="15" hidden="0" customHeight="1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  <x:c r="S154" s="115"/>
      <x:c r="T154" s="115"/>
      <x:c r="U154" s="115"/>
      <x:c r="V154" s="115"/>
      <x:c r="W154" s="115"/>
      <x:c r="X154" s="115"/>
      <x:c r="Y154" s="115"/>
      <x:c r="Z154" s="115"/>
    </x:row>
    <x:row r="155" ht="15" hidden="0" customHeight="1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  <x:c r="S155" s="115"/>
      <x:c r="T155" s="115"/>
      <x:c r="U155" s="115"/>
      <x:c r="V155" s="115"/>
      <x:c r="W155" s="115"/>
      <x:c r="X155" s="115"/>
      <x:c r="Y155" s="115"/>
      <x:c r="Z155" s="115"/>
    </x:row>
    <x:row r="156" ht="15" hidden="0" customHeight="1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  <x:c r="S156" s="115"/>
      <x:c r="T156" s="115"/>
      <x:c r="U156" s="115"/>
      <x:c r="V156" s="115"/>
      <x:c r="W156" s="115"/>
      <x:c r="X156" s="115"/>
      <x:c r="Y156" s="115"/>
      <x:c r="Z156" s="115"/>
    </x:row>
    <x:row r="157" ht="15" hidden="0" customHeight="1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  <x:c r="S157" s="115"/>
      <x:c r="T157" s="115"/>
      <x:c r="U157" s="115"/>
      <x:c r="V157" s="115"/>
      <x:c r="W157" s="115"/>
      <x:c r="X157" s="115"/>
      <x:c r="Y157" s="115"/>
      <x:c r="Z157" s="115"/>
    </x:row>
    <x:row r="158" ht="15" hidden="0" customHeight="1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  <x:c r="S158" s="115"/>
      <x:c r="T158" s="115"/>
      <x:c r="U158" s="115"/>
      <x:c r="V158" s="115"/>
      <x:c r="W158" s="115"/>
      <x:c r="X158" s="115"/>
      <x:c r="Y158" s="115"/>
      <x:c r="Z158" s="115"/>
    </x:row>
    <x:row r="159" ht="15" hidden="0" customHeight="1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  <x:c r="S159" s="115"/>
      <x:c r="T159" s="115"/>
      <x:c r="U159" s="115"/>
      <x:c r="V159" s="115"/>
      <x:c r="W159" s="115"/>
      <x:c r="X159" s="115"/>
      <x:c r="Y159" s="115"/>
      <x:c r="Z159" s="115"/>
    </x:row>
    <x:row r="160" ht="15" hidden="0" customHeight="1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  <x:c r="S160" s="115"/>
      <x:c r="T160" s="115"/>
      <x:c r="U160" s="115"/>
      <x:c r="V160" s="115"/>
      <x:c r="W160" s="115"/>
      <x:c r="X160" s="115"/>
      <x:c r="Y160" s="115"/>
      <x:c r="Z160" s="115"/>
    </x:row>
    <x:row r="161" ht="15" hidden="0" customHeight="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  <x:c r="S161" s="115"/>
      <x:c r="T161" s="115"/>
      <x:c r="U161" s="115"/>
      <x:c r="V161" s="115"/>
      <x:c r="W161" s="115"/>
      <x:c r="X161" s="115"/>
      <x:c r="Y161" s="115"/>
      <x:c r="Z161" s="115"/>
    </x:row>
    <x:row r="162" ht="15" hidden="0" customHeight="1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  <x:c r="S162" s="115"/>
      <x:c r="T162" s="115"/>
      <x:c r="U162" s="115"/>
      <x:c r="V162" s="115"/>
      <x:c r="W162" s="115"/>
      <x:c r="X162" s="115"/>
      <x:c r="Y162" s="115"/>
      <x:c r="Z162" s="115"/>
    </x:row>
    <x:row r="163" ht="15" hidden="0" customHeight="1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  <x:c r="S163" s="115"/>
      <x:c r="T163" s="115"/>
      <x:c r="U163" s="115"/>
      <x:c r="V163" s="115"/>
      <x:c r="W163" s="115"/>
      <x:c r="X163" s="115"/>
      <x:c r="Y163" s="115"/>
      <x:c r="Z163" s="115"/>
    </x:row>
    <x:row r="164" ht="15" hidden="0" customHeight="1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  <x:c r="S164" s="115"/>
      <x:c r="T164" s="115"/>
      <x:c r="U164" s="115"/>
      <x:c r="V164" s="115"/>
      <x:c r="W164" s="115"/>
      <x:c r="X164" s="115"/>
      <x:c r="Y164" s="115"/>
      <x:c r="Z164" s="115"/>
    </x:row>
    <x:row r="165" ht="15" hidden="0" customHeight="1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  <x:c r="S165" s="115"/>
      <x:c r="T165" s="115"/>
      <x:c r="U165" s="115"/>
      <x:c r="V165" s="115"/>
      <x:c r="W165" s="115"/>
      <x:c r="X165" s="115"/>
      <x:c r="Y165" s="115"/>
      <x:c r="Z165" s="115"/>
    </x:row>
    <x:row r="166" ht="15" hidden="0" customHeight="1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  <x:c r="S166" s="115"/>
      <x:c r="T166" s="115"/>
      <x:c r="U166" s="115"/>
      <x:c r="V166" s="115"/>
      <x:c r="W166" s="115"/>
      <x:c r="X166" s="115"/>
      <x:c r="Y166" s="115"/>
      <x:c r="Z166" s="115"/>
    </x:row>
    <x:row r="167" ht="15" hidden="0" customHeight="1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  <x:c r="S167" s="115"/>
      <x:c r="T167" s="115"/>
      <x:c r="U167" s="115"/>
      <x:c r="V167" s="115"/>
      <x:c r="W167" s="115"/>
      <x:c r="X167" s="115"/>
      <x:c r="Y167" s="115"/>
      <x:c r="Z167" s="115"/>
    </x:row>
    <x:row r="168" ht="15" hidden="0" customHeight="1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  <x:c r="S168" s="115"/>
      <x:c r="T168" s="115"/>
      <x:c r="U168" s="115"/>
      <x:c r="V168" s="115"/>
      <x:c r="W168" s="115"/>
      <x:c r="X168" s="115"/>
      <x:c r="Y168" s="115"/>
      <x:c r="Z168" s="115"/>
    </x:row>
    <x:row r="169" ht="15" hidden="0" customHeight="1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  <x:c r="S169" s="115"/>
      <x:c r="T169" s="115"/>
      <x:c r="U169" s="115"/>
      <x:c r="V169" s="115"/>
      <x:c r="W169" s="115"/>
      <x:c r="X169" s="115"/>
      <x:c r="Y169" s="115"/>
      <x:c r="Z169" s="115"/>
    </x:row>
    <x:row r="170" ht="15" hidden="0" customHeight="1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  <x:c r="S170" s="115"/>
      <x:c r="T170" s="115"/>
      <x:c r="U170" s="115"/>
      <x:c r="V170" s="115"/>
      <x:c r="W170" s="115"/>
      <x:c r="X170" s="115"/>
      <x:c r="Y170" s="115"/>
      <x:c r="Z170" s="115"/>
    </x:row>
    <x:row r="171" ht="15" hidden="0" customHeight="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  <x:c r="S171" s="115"/>
      <x:c r="T171" s="115"/>
      <x:c r="U171" s="115"/>
      <x:c r="V171" s="115"/>
      <x:c r="W171" s="115"/>
      <x:c r="X171" s="115"/>
      <x:c r="Y171" s="115"/>
      <x:c r="Z171" s="115"/>
    </x:row>
    <x:row r="172" ht="15" hidden="0" customHeight="1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  <x:c r="S172" s="115"/>
      <x:c r="T172" s="115"/>
      <x:c r="U172" s="115"/>
      <x:c r="V172" s="115"/>
      <x:c r="W172" s="115"/>
      <x:c r="X172" s="115"/>
      <x:c r="Y172" s="115"/>
      <x:c r="Z172" s="115"/>
    </x:row>
    <x:row r="173" ht="15" hidden="0" customHeight="1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  <x:c r="S173" s="115"/>
      <x:c r="T173" s="115"/>
      <x:c r="U173" s="115"/>
      <x:c r="V173" s="115"/>
      <x:c r="W173" s="115"/>
      <x:c r="X173" s="115"/>
      <x:c r="Y173" s="115"/>
      <x:c r="Z173" s="115"/>
    </x:row>
    <x:row r="174" ht="15" hidden="0" customHeight="1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  <x:c r="S174" s="115"/>
      <x:c r="T174" s="115"/>
      <x:c r="U174" s="115"/>
      <x:c r="V174" s="115"/>
      <x:c r="W174" s="115"/>
      <x:c r="X174" s="115"/>
      <x:c r="Y174" s="115"/>
      <x:c r="Z174" s="115"/>
    </x:row>
    <x:row r="175" ht="15" hidden="0" customHeight="1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  <x:c r="S175" s="115"/>
      <x:c r="T175" s="115"/>
      <x:c r="U175" s="115"/>
      <x:c r="V175" s="115"/>
      <x:c r="W175" s="115"/>
      <x:c r="X175" s="115"/>
      <x:c r="Y175" s="115"/>
      <x:c r="Z175" s="115"/>
    </x:row>
    <x:row r="176" ht="15" hidden="0" customHeight="1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  <x:c r="S176" s="115"/>
      <x:c r="T176" s="115"/>
      <x:c r="U176" s="115"/>
      <x:c r="V176" s="115"/>
      <x:c r="W176" s="115"/>
      <x:c r="X176" s="115"/>
      <x:c r="Y176" s="115"/>
      <x:c r="Z176" s="115"/>
    </x:row>
    <x:row r="177" ht="15" hidden="0" customHeight="1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  <x:c r="S177" s="115"/>
      <x:c r="T177" s="115"/>
      <x:c r="U177" s="115"/>
      <x:c r="V177" s="115"/>
      <x:c r="W177" s="115"/>
      <x:c r="X177" s="115"/>
      <x:c r="Y177" s="115"/>
      <x:c r="Z177" s="115"/>
    </x:row>
    <x:row r="178" ht="15" hidden="0" customHeight="1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  <x:c r="S178" s="115"/>
      <x:c r="T178" s="115"/>
      <x:c r="U178" s="115"/>
      <x:c r="V178" s="115"/>
      <x:c r="W178" s="115"/>
      <x:c r="X178" s="115"/>
      <x:c r="Y178" s="115"/>
      <x:c r="Z178" s="115"/>
    </x:row>
    <x:row r="179" ht="15" hidden="0" customHeight="1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  <x:c r="S179" s="115"/>
      <x:c r="T179" s="115"/>
      <x:c r="U179" s="115"/>
      <x:c r="V179" s="115"/>
      <x:c r="W179" s="115"/>
      <x:c r="X179" s="115"/>
      <x:c r="Y179" s="115"/>
      <x:c r="Z179" s="115"/>
    </x:row>
    <x:row r="180" ht="15" hidden="0" customHeight="1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  <x:c r="S180" s="115"/>
      <x:c r="T180" s="115"/>
      <x:c r="U180" s="115"/>
      <x:c r="V180" s="115"/>
      <x:c r="W180" s="115"/>
      <x:c r="X180" s="115"/>
      <x:c r="Y180" s="115"/>
      <x:c r="Z180" s="115"/>
    </x:row>
    <x:row r="181" ht="15" hidden="0" customHeight="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  <x:c r="S181" s="115"/>
      <x:c r="T181" s="115"/>
      <x:c r="U181" s="115"/>
      <x:c r="V181" s="115"/>
      <x:c r="W181" s="115"/>
      <x:c r="X181" s="115"/>
      <x:c r="Y181" s="115"/>
      <x:c r="Z181" s="115"/>
    </x:row>
    <x:row r="182" ht="15" hidden="0" customHeight="1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  <x:c r="S182" s="115"/>
      <x:c r="T182" s="115"/>
      <x:c r="U182" s="115"/>
      <x:c r="V182" s="115"/>
      <x:c r="W182" s="115"/>
      <x:c r="X182" s="115"/>
      <x:c r="Y182" s="115"/>
      <x:c r="Z182" s="115"/>
    </x:row>
    <x:row r="183" ht="15" hidden="0" customHeight="1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5"/>
      <x:c r="U183" s="115"/>
      <x:c r="V183" s="115"/>
      <x:c r="W183" s="115"/>
      <x:c r="X183" s="115"/>
      <x:c r="Y183" s="115"/>
      <x:c r="Z183" s="115"/>
    </x:row>
    <x:row r="184" ht="15" hidden="0" customHeight="1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  <x:c r="S184" s="115"/>
      <x:c r="T184" s="115"/>
      <x:c r="U184" s="115"/>
      <x:c r="V184" s="115"/>
      <x:c r="W184" s="115"/>
      <x:c r="X184" s="115"/>
      <x:c r="Y184" s="115"/>
      <x:c r="Z184" s="115"/>
    </x:row>
    <x:row r="185" ht="15" hidden="0" customHeight="1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  <x:c r="S185" s="115"/>
      <x:c r="T185" s="115"/>
      <x:c r="U185" s="115"/>
      <x:c r="V185" s="115"/>
      <x:c r="W185" s="115"/>
      <x:c r="X185" s="115"/>
      <x:c r="Y185" s="115"/>
      <x:c r="Z185" s="115"/>
    </x:row>
    <x:row r="186" ht="15" hidden="0" customHeight="1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  <x:c r="S186" s="115"/>
      <x:c r="T186" s="115"/>
      <x:c r="U186" s="115"/>
      <x:c r="V186" s="115"/>
      <x:c r="W186" s="115"/>
      <x:c r="X186" s="115"/>
      <x:c r="Y186" s="115"/>
      <x:c r="Z186" s="115"/>
    </x:row>
    <x:row r="187" ht="15" hidden="0" customHeight="1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  <x:c r="S187" s="115"/>
      <x:c r="T187" s="115"/>
      <x:c r="U187" s="115"/>
      <x:c r="V187" s="115"/>
      <x:c r="W187" s="115"/>
      <x:c r="X187" s="115"/>
      <x:c r="Y187" s="115"/>
      <x:c r="Z187" s="115"/>
    </x:row>
    <x:row r="188" ht="15" hidden="0" customHeight="1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  <x:c r="S188" s="115"/>
      <x:c r="T188" s="115"/>
      <x:c r="U188" s="115"/>
      <x:c r="V188" s="115"/>
      <x:c r="W188" s="115"/>
      <x:c r="X188" s="115"/>
      <x:c r="Y188" s="115"/>
      <x:c r="Z188" s="115"/>
    </x:row>
    <x:row r="189" ht="15" hidden="0" customHeight="1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  <x:c r="S189" s="115"/>
      <x:c r="T189" s="115"/>
      <x:c r="U189" s="115"/>
      <x:c r="V189" s="115"/>
      <x:c r="W189" s="115"/>
      <x:c r="X189" s="115"/>
      <x:c r="Y189" s="115"/>
      <x:c r="Z189" s="115"/>
    </x:row>
    <x:row r="190" ht="15" hidden="0" customHeight="1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  <x:c r="S190" s="115"/>
      <x:c r="T190" s="115"/>
      <x:c r="U190" s="115"/>
      <x:c r="V190" s="115"/>
      <x:c r="W190" s="115"/>
      <x:c r="X190" s="115"/>
      <x:c r="Y190" s="115"/>
      <x:c r="Z190" s="115"/>
    </x:row>
    <x:row r="191" ht="15" hidden="0" customHeight="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  <x:c r="S191" s="115"/>
      <x:c r="T191" s="115"/>
      <x:c r="U191" s="115"/>
      <x:c r="V191" s="115"/>
      <x:c r="W191" s="115"/>
      <x:c r="X191" s="115"/>
      <x:c r="Y191" s="115"/>
      <x:c r="Z191" s="115"/>
    </x:row>
    <x:row r="192" ht="15" hidden="0" customHeight="1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  <x:c r="S192" s="115"/>
      <x:c r="T192" s="115"/>
      <x:c r="U192" s="115"/>
      <x:c r="V192" s="115"/>
      <x:c r="W192" s="115"/>
      <x:c r="X192" s="115"/>
      <x:c r="Y192" s="115"/>
      <x:c r="Z192" s="115"/>
    </x:row>
    <x:row r="193" ht="15" hidden="0" customHeight="1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  <x:c r="S193" s="115"/>
      <x:c r="T193" s="115"/>
      <x:c r="U193" s="115"/>
      <x:c r="V193" s="115"/>
      <x:c r="W193" s="115"/>
      <x:c r="X193" s="115"/>
      <x:c r="Y193" s="115"/>
      <x:c r="Z193" s="115"/>
    </x:row>
    <x:row r="194" ht="15" hidden="0" customHeight="1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  <x:c r="S194" s="115"/>
      <x:c r="T194" s="115"/>
      <x:c r="U194" s="115"/>
      <x:c r="V194" s="115"/>
      <x:c r="W194" s="115"/>
      <x:c r="X194" s="115"/>
      <x:c r="Y194" s="115"/>
      <x:c r="Z194" s="115"/>
    </x:row>
    <x:row r="195" ht="15" hidden="0" customHeight="1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  <x:c r="S195" s="115"/>
      <x:c r="T195" s="115"/>
      <x:c r="U195" s="115"/>
      <x:c r="V195" s="115"/>
      <x:c r="W195" s="115"/>
      <x:c r="X195" s="115"/>
      <x:c r="Y195" s="115"/>
      <x:c r="Z195" s="115"/>
    </x:row>
    <x:row r="196" ht="15" hidden="0" customHeight="1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  <x:c r="S196" s="115"/>
      <x:c r="T196" s="115"/>
      <x:c r="U196" s="115"/>
      <x:c r="V196" s="115"/>
      <x:c r="W196" s="115"/>
      <x:c r="X196" s="115"/>
      <x:c r="Y196" s="115"/>
      <x:c r="Z196" s="115"/>
    </x:row>
    <x:row r="197" ht="15" hidden="0" customHeight="1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  <x:c r="S197" s="115"/>
      <x:c r="T197" s="115"/>
      <x:c r="U197" s="115"/>
      <x:c r="V197" s="115"/>
      <x:c r="W197" s="115"/>
      <x:c r="X197" s="115"/>
      <x:c r="Y197" s="115"/>
      <x:c r="Z197" s="115"/>
    </x:row>
    <x:row r="198" ht="15" hidden="0" customHeight="1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  <x:c r="S198" s="115"/>
      <x:c r="T198" s="115"/>
      <x:c r="U198" s="115"/>
      <x:c r="V198" s="115"/>
      <x:c r="W198" s="115"/>
      <x:c r="X198" s="115"/>
      <x:c r="Y198" s="115"/>
      <x:c r="Z198" s="115"/>
    </x:row>
    <x:row r="199" ht="15" hidden="0" customHeight="1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  <x:c r="S199" s="115"/>
      <x:c r="T199" s="115"/>
      <x:c r="U199" s="115"/>
      <x:c r="V199" s="115"/>
      <x:c r="W199" s="115"/>
      <x:c r="X199" s="115"/>
      <x:c r="Y199" s="115"/>
      <x:c r="Z199" s="115"/>
    </x:row>
    <x:row r="200" ht="15" hidden="0" customHeight="1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  <x:c r="S200" s="115"/>
      <x:c r="T200" s="115"/>
      <x:c r="U200" s="115"/>
      <x:c r="V200" s="115"/>
      <x:c r="W200" s="115"/>
      <x:c r="X200" s="115"/>
      <x:c r="Y200" s="115"/>
      <x:c r="Z200" s="115"/>
    </x:row>
  </x:sheetData>
  <x:mergeCells>
    <x:mergeCell ref="A1:K1"/>
  </x:mergeCells>
  <x:conditionalFormatting sqref="K4:K12">
    <x:cfRule type="expression" dxfId="3" priority="1">
      <x:formula>$K4="Behind"</x:formula>
    </x:cfRule>
    <x:cfRule type="expression" dxfId="4" priority="2">
      <x:formula>$K4="On Track"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21.600000381469727" hidden="0" customHeight="1">
      <x:c r="A1" s="188" t="str">
        <x:v>EBITDA Bridge — Standalone to Post-Synergy Run-Rate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  <x:c r="S1" s="115"/>
      <x:c r="T1" s="115"/>
      <x:c r="U1" s="115"/>
      <x:c r="V1" s="115"/>
      <x:c r="W1" s="115"/>
      <x:c r="X1" s="115"/>
      <x:c r="Y1" s="115"/>
      <x:c r="Z1" s="115"/>
    </x:row>
    <x:row r="2" ht="15" hidden="0" customHeight="1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  <x:c r="Q2" s="115"/>
      <x:c r="R2" s="115"/>
      <x:c r="S2" s="115"/>
      <x:c r="T2" s="115"/>
      <x:c r="U2" s="115"/>
      <x:c r="V2" s="115"/>
      <x:c r="W2" s="115"/>
      <x:c r="X2" s="115"/>
      <x:c r="Y2" s="115"/>
      <x:c r="Z2" s="115"/>
    </x:row>
    <x:row r="3" ht="15" hidden="0" customHeight="1">
      <x:c r="A3" s="121" t="str">
        <x:v>Bridge Summary</x:v>
      </x:c>
      <x:c r="B3" s="115"/>
      <x:c r="C3" s="115"/>
      <x:c r="D3" s="115"/>
      <x:c r="E3" s="115"/>
      <x:c r="F3" s="115"/>
      <x:c r="G3" s="115"/>
      <x:c r="H3" s="115"/>
      <x:c r="I3" s="115"/>
      <x:c r="J3" s="115"/>
      <x:c r="K3" s="115"/>
      <x:c r="L3" s="115"/>
      <x:c r="M3" s="115"/>
      <x:c r="N3" s="115"/>
      <x:c r="O3" s="115"/>
      <x:c r="P3" s="115"/>
      <x:c r="Q3" s="115"/>
      <x:c r="R3" s="115"/>
      <x:c r="S3" s="115"/>
      <x:c r="T3" s="115"/>
      <x:c r="U3" s="115"/>
      <x:c r="V3" s="115"/>
      <x:c r="W3" s="115"/>
      <x:c r="X3" s="115"/>
      <x:c r="Y3" s="115"/>
      <x:c r="Z3" s="115"/>
    </x:row>
    <x:row r="4" ht="15" hidden="0" customHeight="1">
      <x:c r="A4" s="122" t="str">
        <x:v>Bridge Item</x:v>
      </x:c>
      <x:c r="B4" s="122" t="str">
        <x:v>Amount ($)</x:v>
      </x:c>
      <x:c r="C4" s="122" t="str">
        <x:v>Notes</x:v>
      </x:c>
      <x:c r="D4" s="115"/>
      <x:c r="E4" s="115"/>
      <x:c r="F4" s="115"/>
      <x:c r="G4" s="115"/>
      <x:c r="H4" s="115"/>
      <x:c r="I4" s="115"/>
      <x:c r="J4" s="115"/>
      <x:c r="K4" s="115"/>
      <x:c r="L4" s="115"/>
      <x:c r="M4" s="115"/>
      <x:c r="N4" s="115"/>
      <x:c r="O4" s="115"/>
      <x:c r="P4" s="115"/>
      <x:c r="Q4" s="115"/>
      <x:c r="R4" s="115"/>
      <x:c r="S4" s="115"/>
      <x:c r="T4" s="115"/>
      <x:c r="U4" s="115"/>
      <x:c r="V4" s="115"/>
      <x:c r="W4" s="115"/>
      <x:c r="X4" s="115"/>
      <x:c r="Y4" s="115"/>
      <x:c r="Z4" s="115"/>
    </x:row>
    <x:row r="5" ht="15" hidden="0" customHeight="1">
      <x:c r="A5" s="115" t="str">
        <x:v>Platform Standalone EBITDA</x:v>
      </x:c>
      <x:c r="B5" s="123" t="n">
        <x:f>Inputs!B6</x:f>
        <x:v>37500000</x:v>
      </x:c>
      <x:c r="C5" s="115" t="str">
        <x:v>From Inputs</x:v>
      </x:c>
      <x:c r="D5" s="115"/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  <x:c r="S5" s="115"/>
      <x:c r="T5" s="115"/>
      <x:c r="U5" s="115"/>
      <x:c r="V5" s="115"/>
      <x:c r="W5" s="115"/>
      <x:c r="X5" s="115"/>
      <x:c r="Y5" s="115"/>
      <x:c r="Z5" s="115"/>
    </x:row>
    <x:row r="6" ht="15" hidden="0" customHeight="1">
      <x:c r="A6" s="115" t="str">
        <x:v>Target Standalone EBITDA</x:v>
      </x:c>
      <x:c r="B6" s="123" t="n">
        <x:f>Inputs!B8</x:f>
        <x:v>6500000</x:v>
      </x:c>
      <x:c r="C6" s="115" t="str">
        <x:v>From Inputs</x:v>
      </x:c>
      <x:c r="D6" s="115"/>
      <x:c r="E6" s="115"/>
      <x:c r="F6" s="115"/>
      <x:c r="G6" s="115"/>
      <x:c r="H6" s="115"/>
      <x:c r="I6" s="115"/>
      <x:c r="J6" s="115"/>
      <x:c r="K6" s="115"/>
      <x:c r="L6" s="115"/>
      <x:c r="M6" s="115"/>
      <x:c r="N6" s="115"/>
      <x:c r="O6" s="115"/>
      <x:c r="P6" s="115"/>
      <x:c r="Q6" s="115"/>
      <x:c r="R6" s="115"/>
      <x:c r="S6" s="115"/>
      <x:c r="T6" s="115"/>
      <x:c r="U6" s="115"/>
      <x:c r="V6" s="115"/>
      <x:c r="W6" s="115"/>
      <x:c r="X6" s="115"/>
      <x:c r="Y6" s="115"/>
      <x:c r="Z6" s="115"/>
    </x:row>
    <x:row r="7" ht="15" hidden="0" customHeight="1">
      <x:c r="A7" s="115" t="str">
        <x:v>Combined Pre-Synergy EBITDA</x:v>
      </x:c>
      <x:c r="B7" s="123" t="n">
        <x:f>B5+B6</x:f>
        <x:v>44000000</x:v>
      </x:c>
      <x:c r="C7" s="115" t="str">
        <x:v>Platform + target</x:v>
      </x:c>
      <x:c r="D7" s="115"/>
      <x:c r="E7" s="115"/>
      <x:c r="F7" s="115"/>
      <x:c r="G7" s="115"/>
      <x:c r="H7" s="115"/>
      <x:c r="I7" s="115"/>
      <x:c r="J7" s="115"/>
      <x:c r="K7" s="115"/>
      <x:c r="L7" s="115"/>
      <x:c r="M7" s="115"/>
      <x:c r="N7" s="115"/>
      <x:c r="O7" s="115"/>
      <x:c r="P7" s="115"/>
      <x:c r="Q7" s="115"/>
      <x:c r="R7" s="115"/>
      <x:c r="S7" s="115"/>
      <x:c r="T7" s="115"/>
      <x:c r="U7" s="115"/>
      <x:c r="V7" s="115"/>
      <x:c r="W7" s="115"/>
      <x:c r="X7" s="115"/>
      <x:c r="Y7" s="115"/>
      <x:c r="Z7" s="115"/>
    </x:row>
    <x:row r="8" ht="15" hidden="0" customHeight="1">
      <x:c r="A8" s="115" t="str">
        <x:v>Validated Cost Synergies</x:v>
      </x:c>
      <x:c r="B8" s="123" t="n">
        <x:f>SUMIFS(Synergy_Tracker!$R$4:$R$23,Synergy_Tracker!$B$4:$B$23,"&lt;&gt;Revenue / Cross-sell")</x:f>
        <x:v>2775100</x:v>
      </x:c>
      <x:c r="C8" s="115" t="str">
        <x:v>Validated non-revenue synergies</x:v>
      </x:c>
      <x:c r="D8" s="115"/>
      <x:c r="E8" s="115"/>
      <x:c r="F8" s="115"/>
      <x:c r="G8" s="115"/>
      <x:c r="H8" s="115"/>
      <x:c r="I8" s="115"/>
      <x:c r="J8" s="115"/>
      <x:c r="K8" s="115"/>
      <x:c r="L8" s="115"/>
      <x:c r="M8" s="115"/>
      <x:c r="N8" s="115"/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</x:row>
    <x:row r="9" ht="15" hidden="0" customHeight="1">
      <x:c r="A9" s="115" t="str">
        <x:v>Validated Revenue Synergy Contribution</x:v>
      </x:c>
      <x:c r="B9" s="123" t="n">
        <x:f>SUMIFS(Synergy_Tracker!$R$4:$R$23,Synergy_Tracker!$B$4:$B$23,"Revenue / Cross-sell")</x:f>
        <x:v>51555</x:v>
      </x:c>
      <x:c r="C9" s="115" t="str">
        <x:v>Revenue synergy contribution margin equivalent</x:v>
      </x:c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5"/>
      <x:c r="S9" s="115"/>
      <x:c r="T9" s="115"/>
      <x:c r="U9" s="115"/>
      <x:c r="V9" s="115"/>
      <x:c r="W9" s="115"/>
      <x:c r="X9" s="115"/>
      <x:c r="Y9" s="115"/>
      <x:c r="Z9" s="115"/>
    </x:row>
    <x:row r="10" ht="15" hidden="0" customHeight="1">
      <x:c r="A10" s="115" t="str">
        <x:v>Post-Synergy Run-Rate EBITDA</x:v>
      </x:c>
      <x:c r="B10" s="123" t="n">
        <x:f>B7+B8+B9</x:f>
        <x:v>46826655</x:v>
      </x:c>
      <x:c r="C10" s="115" t="str">
        <x:v>Current validated run-rate</x:v>
      </x:c>
      <x:c r="D10" s="115"/>
      <x:c r="E10" s="115"/>
      <x:c r="F10" s="115"/>
      <x:c r="G10" s="115"/>
      <x:c r="H10" s="115"/>
      <x:c r="I10" s="115"/>
      <x:c r="J10" s="115"/>
      <x:c r="K10" s="115"/>
      <x:c r="L10" s="115"/>
      <x:c r="M10" s="115"/>
      <x:c r="N10" s="115"/>
      <x:c r="O10" s="115"/>
      <x:c r="P10" s="115"/>
      <x:c r="Q10" s="115"/>
      <x:c r="R10" s="115"/>
      <x:c r="S10" s="115"/>
      <x:c r="T10" s="115"/>
      <x:c r="U10" s="115"/>
      <x:c r="V10" s="115"/>
      <x:c r="W10" s="115"/>
      <x:c r="X10" s="115"/>
      <x:c r="Y10" s="115"/>
      <x:c r="Z10" s="115"/>
    </x:row>
    <x:row r="11" ht="15" hidden="0" customHeight="1">
      <x:c r="A11" s="115" t="str">
        <x:v>Incremental EBITDA vs. Pre-Synergy</x:v>
      </x:c>
      <x:c r="B11" s="123" t="n">
        <x:f>B10-B7</x:f>
        <x:v>2826655</x:v>
      </x:c>
      <x:c r="C11" s="115" t="str">
        <x:v>Value capture</x:v>
      </x:c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5"/>
      <x:c r="R11" s="115"/>
      <x:c r="S11" s="115"/>
      <x:c r="T11" s="115"/>
      <x:c r="U11" s="115"/>
      <x:c r="V11" s="115"/>
      <x:c r="W11" s="115"/>
      <x:c r="X11" s="115"/>
      <x:c r="Y11" s="115"/>
      <x:c r="Z11" s="115"/>
    </x:row>
    <x:row r="12" ht="15" hidden="0" customHeight="1">
      <x:c r="A12" s="115" t="str">
        <x:v>One-Time Integration Costs</x:v>
      </x:c>
      <x:c r="B12" s="123" t="n">
        <x:f>SUM(Synergy_Tracker!$L$4:$L$23)</x:f>
        <x:v>4390000</x:v>
      </x:c>
      <x:c r="C12" s="115" t="str">
        <x:v>Estimated one-time cost</x:v>
      </x:c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5"/>
      <x:c r="P12" s="115"/>
      <x:c r="Q12" s="115"/>
      <x:c r="R12" s="115"/>
      <x:c r="S12" s="115"/>
      <x:c r="T12" s="115"/>
      <x:c r="U12" s="115"/>
      <x:c r="V12" s="115"/>
      <x:c r="W12" s="115"/>
      <x:c r="X12" s="115"/>
      <x:c r="Y12" s="115"/>
      <x:c r="Z12" s="115"/>
    </x:row>
    <x:row r="13" ht="15" hidden="0" customHeight="1">
      <x:c r="A13" s="115" t="str">
        <x:v>Enterprise Value Uplift</x:v>
      </x:c>
      <x:c r="B13" s="123" t="n">
        <x:f>B11*Inputs!B9</x:f>
        <x:v>32506532.5</x:v>
      </x:c>
      <x:c r="C13" s="115" t="str">
        <x:v>Incremental EBITDA x exit multiple</x:v>
      </x:c>
      <x:c r="D13" s="115"/>
      <x:c r="E13" s="115"/>
      <x:c r="F13" s="115"/>
      <x:c r="G13" s="115"/>
      <x:c r="H13" s="115"/>
      <x:c r="I13" s="115"/>
      <x:c r="J13" s="115"/>
      <x:c r="K13" s="115"/>
      <x:c r="L13" s="115"/>
      <x:c r="M13" s="115"/>
      <x:c r="N13" s="115"/>
      <x:c r="O13" s="115"/>
      <x:c r="P13" s="115"/>
      <x:c r="Q13" s="115"/>
      <x:c r="R13" s="115"/>
      <x:c r="S13" s="115"/>
      <x:c r="T13" s="115"/>
      <x:c r="U13" s="115"/>
      <x:c r="V13" s="115"/>
      <x:c r="W13" s="115"/>
      <x:c r="X13" s="115"/>
      <x:c r="Y13" s="115"/>
      <x:c r="Z13" s="115"/>
    </x:row>
    <x:row r="14" ht="15" hidden="0" customHeight="1">
      <x:c r="A14" s="115" t="str">
        <x:v>Net Value After One-Time Costs</x:v>
      </x:c>
      <x:c r="B14" s="123" t="n">
        <x:f>B13-B12</x:f>
        <x:v>28116532.5</x:v>
      </x:c>
      <x:c r="C14" s="115" t="str">
        <x:v>EV uplift less one-time integration costs</x:v>
      </x:c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O14" s="115"/>
      <x:c r="P14" s="115"/>
      <x:c r="Q14" s="115"/>
      <x:c r="R14" s="115"/>
      <x:c r="S14" s="115"/>
      <x:c r="T14" s="115"/>
      <x:c r="U14" s="115"/>
      <x:c r="V14" s="115"/>
      <x:c r="W14" s="115"/>
      <x:c r="X14" s="115"/>
      <x:c r="Y14" s="115"/>
      <x:c r="Z14" s="115"/>
    </x:row>
    <x:row r="15" ht="15" hidden="0" customHeight="1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115"/>
      <x:c r="P15" s="115"/>
      <x:c r="Q15" s="115"/>
      <x:c r="R15" s="115"/>
      <x:c r="S15" s="115"/>
      <x:c r="T15" s="115"/>
      <x:c r="U15" s="115"/>
      <x:c r="V15" s="115"/>
      <x:c r="W15" s="115"/>
      <x:c r="X15" s="115"/>
      <x:c r="Y15" s="115"/>
      <x:c r="Z15" s="115"/>
    </x:row>
    <x:row r="16" ht="15" hidden="0" customHeight="1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  <x:c r="O16" s="115"/>
      <x:c r="P16" s="115"/>
      <x:c r="Q16" s="115"/>
      <x:c r="R16" s="115"/>
      <x:c r="S16" s="115"/>
      <x:c r="T16" s="115"/>
      <x:c r="U16" s="115"/>
      <x:c r="V16" s="115"/>
      <x:c r="W16" s="115"/>
      <x:c r="X16" s="115"/>
      <x:c r="Y16" s="115"/>
      <x:c r="Z16" s="115"/>
    </x:row>
    <x:row r="17" ht="15" hidden="0" customHeight="1">
      <x:c r="A17" s="121" t="str">
        <x:v>Value Capture by Workstream</x:v>
      </x:c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  <x:c r="O17" s="115"/>
      <x:c r="P17" s="115"/>
      <x:c r="Q17" s="115"/>
      <x:c r="R17" s="115"/>
      <x:c r="S17" s="115"/>
      <x:c r="T17" s="115"/>
      <x:c r="U17" s="115"/>
      <x:c r="V17" s="115"/>
      <x:c r="W17" s="115"/>
      <x:c r="X17" s="115"/>
      <x:c r="Y17" s="115"/>
      <x:c r="Z17" s="115"/>
    </x:row>
    <x:row r="18" ht="15" hidden="0" customHeight="1">
      <x:c r="A18" s="122" t="str">
        <x:v>Workstream</x:v>
      </x:c>
      <x:c r="B18" s="122" t="str">
        <x:v>Net Target ($)</x:v>
      </x:c>
      <x:c r="C18" s="122" t="str">
        <x:v>Validated EBITDA ($)</x:v>
      </x:c>
      <x:c r="D18" s="122" t="str">
        <x:v>Gap to Target ($)</x:v>
      </x:c>
      <x:c r="E18" s="122" t="str">
        <x:v>Validation %</x:v>
      </x:c>
      <x:c r="F18" s="122" t="str">
        <x:v>Exit Value ($)</x:v>
      </x:c>
      <x:c r="G18" s="115"/>
      <x:c r="H18" s="115"/>
      <x:c r="I18" s="115"/>
      <x:c r="J18" s="115"/>
      <x:c r="K18" s="115"/>
      <x:c r="L18" s="115"/>
      <x:c r="M18" s="115"/>
      <x:c r="N18" s="115"/>
      <x:c r="O18" s="115"/>
      <x:c r="P18" s="115"/>
      <x:c r="Q18" s="115"/>
      <x:c r="R18" s="115"/>
      <x:c r="S18" s="115"/>
      <x:c r="T18" s="115"/>
      <x:c r="U18" s="115"/>
      <x:c r="V18" s="115"/>
      <x:c r="W18" s="115"/>
      <x:c r="X18" s="115"/>
      <x:c r="Y18" s="115"/>
      <x:c r="Z18" s="115"/>
    </x:row>
    <x:row r="19" ht="15" hidden="0" customHeight="1">
      <x:c r="A19" s="115" t="str">
        <x:v>Procurement</x:v>
      </x:c>
      <x:c r="B19" s="123" t="n">
        <x:f>Workstream_Detail!F4</x:f>
        <x:v>2198000</x:v>
      </x:c>
      <x:c r="C19" s="123" t="n">
        <x:f>Workstream_Detail!H4</x:f>
        <x:v>371862.5</x:v>
      </x:c>
      <x:c r="D19" s="123" t="n">
        <x:f>B19-C19</x:f>
        <x:v>1826137.5</x:v>
      </x:c>
      <x:c r="E19" s="124" t="n">
        <x:f>IF(B19=0,0,C19/B19)</x:f>
        <x:v>0.1691822111010009</x:v>
      </x:c>
      <x:c r="F19" s="123" t="n">
        <x:f>C19*Inputs!$B$9</x:f>
        <x:v>4276418.75</x:v>
      </x:c>
      <x:c r="G19" s="115"/>
      <x:c r="H19" s="115"/>
      <x:c r="I19" s="115"/>
      <x:c r="J19" s="115"/>
      <x:c r="K19" s="115"/>
      <x:c r="L19" s="115"/>
      <x:c r="M19" s="115"/>
      <x:c r="N19" s="115"/>
      <x:c r="O19" s="115"/>
      <x:c r="P19" s="115"/>
      <x:c r="Q19" s="115"/>
      <x:c r="R19" s="115"/>
      <x:c r="S19" s="115"/>
      <x:c r="T19" s="115"/>
      <x:c r="U19" s="115"/>
      <x:c r="V19" s="115"/>
      <x:c r="W19" s="115"/>
      <x:c r="X19" s="115"/>
      <x:c r="Y19" s="115"/>
      <x:c r="Z19" s="115"/>
    </x:row>
    <x:row r="20" ht="15" hidden="0" customHeight="1">
      <x:c r="A20" s="115" t="str">
        <x:v>Supply Chain / Logistics</x:v>
      </x:c>
      <x:c r="B20" s="123" t="n">
        <x:f>Workstream_Detail!F5</x:f>
        <x:v>1102800</x:v>
      </x:c>
      <x:c r="C20" s="123" t="n">
        <x:f>Workstream_Detail!H5</x:f>
        <x:v>416470</x:v>
      </x:c>
      <x:c r="D20" s="123" t="n">
        <x:f>B20-C20</x:f>
        <x:v>686330</x:v>
      </x:c>
      <x:c r="E20" s="124" t="n">
        <x:f>IF(B20=0,0,C20/B20)</x:f>
        <x:v>0.37764780558578165</x:v>
      </x:c>
      <x:c r="F20" s="123" t="n">
        <x:f>C20*Inputs!$B$9</x:f>
        <x:v>4789405</x:v>
      </x:c>
      <x:c r="G20" s="115"/>
      <x:c r="H20" s="115"/>
      <x:c r="I20" s="115"/>
      <x:c r="J20" s="115"/>
      <x:c r="K20" s="115"/>
      <x:c r="L20" s="115"/>
      <x:c r="M20" s="115"/>
      <x:c r="N20" s="115"/>
      <x:c r="O20" s="115"/>
      <x:c r="P20" s="115"/>
      <x:c r="Q20" s="115"/>
      <x:c r="R20" s="115"/>
      <x:c r="S20" s="115"/>
      <x:c r="T20" s="115"/>
      <x:c r="U20" s="115"/>
      <x:c r="V20" s="115"/>
      <x:c r="W20" s="115"/>
      <x:c r="X20" s="115"/>
      <x:c r="Y20" s="115"/>
      <x:c r="Z20" s="115"/>
    </x:row>
    <x:row r="21" ht="15" hidden="0" customHeight="1">
      <x:c r="A21" s="115" t="str">
        <x:v>G&amp;A / SG&amp;A</x:v>
      </x:c>
      <x:c r="B21" s="123" t="n">
        <x:f>Workstream_Detail!F6</x:f>
        <x:v>1724000</x:v>
      </x:c>
      <x:c r="C21" s="123" t="n">
        <x:f>Workstream_Detail!H6</x:f>
        <x:v>940050</x:v>
      </x:c>
      <x:c r="D21" s="123" t="n">
        <x:f>B21-C21</x:f>
        <x:v>783950</x:v>
      </x:c>
      <x:c r="E21" s="124" t="n">
        <x:f>IF(B21=0,0,C21/B21)</x:f>
        <x:v>0.5452726218097448</x:v>
      </x:c>
      <x:c r="F21" s="123" t="n">
        <x:f>C21*Inputs!$B$9</x:f>
        <x:v>10810575</x:v>
      </x:c>
      <x:c r="G21" s="115"/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  <x:c r="S21" s="115"/>
      <x:c r="T21" s="115"/>
      <x:c r="U21" s="115"/>
      <x:c r="V21" s="115"/>
      <x:c r="W21" s="115"/>
      <x:c r="X21" s="115"/>
      <x:c r="Y21" s="115"/>
      <x:c r="Z21" s="115"/>
    </x:row>
    <x:row r="22" ht="15" hidden="0" customHeight="1">
      <x:c r="A22" s="115" t="str">
        <x:v>Systems / IT</x:v>
      </x:c>
      <x:c r="B22" s="123" t="n">
        <x:f>Workstream_Detail!F7</x:f>
        <x:v>982500</x:v>
      </x:c>
      <x:c r="C22" s="123" t="n">
        <x:f>Workstream_Detail!H7</x:f>
        <x:v>285192.5</x:v>
      </x:c>
      <x:c r="D22" s="123" t="n">
        <x:f>B22-C22</x:f>
        <x:v>697307.5</x:v>
      </x:c>
      <x:c r="E22" s="124" t="n">
        <x:f>IF(B22=0,0,C22/B22)</x:f>
        <x:v>0.2902722646310433</x:v>
      </x:c>
      <x:c r="F22" s="123" t="n">
        <x:f>C22*Inputs!$B$9</x:f>
        <x:v>3279713.75</x:v>
      </x:c>
      <x:c r="G22" s="115"/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  <x:c r="S22" s="115"/>
      <x:c r="T22" s="115"/>
      <x:c r="U22" s="115"/>
      <x:c r="V22" s="115"/>
      <x:c r="W22" s="115"/>
      <x:c r="X22" s="115"/>
      <x:c r="Y22" s="115"/>
      <x:c r="Z22" s="115"/>
    </x:row>
    <x:row r="23" ht="15" hidden="0" customHeight="1">
      <x:c r="A23" s="115" t="str">
        <x:v>Facilities / Footprint</x:v>
      </x:c>
      <x:c r="B23" s="123" t="n">
        <x:f>Workstream_Detail!F8</x:f>
        <x:v>746000</x:v>
      </x:c>
      <x:c r="C23" s="123" t="n">
        <x:f>Workstream_Detail!H8</x:f>
        <x:v>7279.999999999999</x:v>
      </x:c>
      <x:c r="D23" s="123" t="n">
        <x:f>B23-C23</x:f>
        <x:v>738720</x:v>
      </x:c>
      <x:c r="E23" s="124" t="n">
        <x:f>IF(B23=0,0,C23/B23)</x:f>
        <x:v>0.009758713136729222</x:v>
      </x:c>
      <x:c r="F23" s="123" t="n">
        <x:f>C23*Inputs!$B$9</x:f>
        <x:v>83719.99999999999</x:v>
      </x:c>
      <x:c r="G23" s="115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  <x:c r="S23" s="115"/>
      <x:c r="T23" s="115"/>
      <x:c r="U23" s="115"/>
      <x:c r="V23" s="115"/>
      <x:c r="W23" s="115"/>
      <x:c r="X23" s="115"/>
      <x:c r="Y23" s="115"/>
      <x:c r="Z23" s="115"/>
    </x:row>
    <x:row r="24" ht="15" hidden="0" customHeight="1">
      <x:c r="A24" s="115" t="str">
        <x:v>Finance / Back Office</x:v>
      </x:c>
      <x:c r="B24" s="123" t="n">
        <x:f>Workstream_Detail!F9</x:f>
        <x:v>691400</x:v>
      </x:c>
      <x:c r="C24" s="123" t="n">
        <x:f>Workstream_Detail!H9</x:f>
        <x:v>155760</x:v>
      </x:c>
      <x:c r="D24" s="123" t="n">
        <x:f>B24-C24</x:f>
        <x:v>535640</x:v>
      </x:c>
      <x:c r="E24" s="124" t="n">
        <x:f>IF(B24=0,0,C24/B24)</x:f>
        <x:v>0.2252820364477871</x:v>
      </x:c>
      <x:c r="F24" s="123" t="n">
        <x:f>C24*Inputs!$B$9</x:f>
        <x:v>1791240</x:v>
      </x:c>
      <x:c r="G24" s="115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  <x:c r="S24" s="115"/>
      <x:c r="T24" s="115"/>
      <x:c r="U24" s="115"/>
      <x:c r="V24" s="115"/>
      <x:c r="W24" s="115"/>
      <x:c r="X24" s="115"/>
      <x:c r="Y24" s="115"/>
      <x:c r="Z24" s="115"/>
    </x:row>
    <x:row r="25" ht="15" hidden="0" customHeight="1">
      <x:c r="A25" s="115" t="str">
        <x:v>Revenue / Cross-sell</x:v>
      </x:c>
      <x:c r="B25" s="123" t="n">
        <x:f>Workstream_Detail!F10</x:f>
        <x:v>1677500</x:v>
      </x:c>
      <x:c r="C25" s="123" t="n">
        <x:f>Workstream_Detail!H10</x:f>
        <x:v>51555</x:v>
      </x:c>
      <x:c r="D25" s="123" t="n">
        <x:f>B25-C25</x:f>
        <x:v>1625945</x:v>
      </x:c>
      <x:c r="E25" s="124" t="n">
        <x:f>IF(B25=0,0,C25/B25)</x:f>
        <x:v>0.03073323397913562</x:v>
      </x:c>
      <x:c r="F25" s="123" t="n">
        <x:f>C25*Inputs!$B$9</x:f>
        <x:v>592882.5</x:v>
      </x:c>
      <x:c r="G25" s="115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  <x:c r="S25" s="115"/>
      <x:c r="T25" s="115"/>
      <x:c r="U25" s="115"/>
      <x:c r="V25" s="115"/>
      <x:c r="W25" s="115"/>
      <x:c r="X25" s="115"/>
      <x:c r="Y25" s="115"/>
      <x:c r="Z25" s="115"/>
    </x:row>
    <x:row r="26" ht="15" hidden="0" customHeight="1">
      <x:c r="A26" s="115" t="str">
        <x:v>Revenue Leakage</x:v>
      </x:c>
      <x:c r="B26" s="123" t="n">
        <x:f>Workstream_Detail!F11</x:f>
        <x:v>1036600</x:v>
      </x:c>
      <x:c r="C26" s="123" t="n">
        <x:f>Workstream_Detail!H11</x:f>
        <x:v>598485</x:v>
      </x:c>
      <x:c r="D26" s="123" t="n">
        <x:f>B26-C26</x:f>
        <x:v>438115</x:v>
      </x:c>
      <x:c r="E26" s="124" t="n">
        <x:f>IF(B26=0,0,C26/B26)</x:f>
        <x:v>0.5773538491221301</x:v>
      </x:c>
      <x:c r="F26" s="123" t="n">
        <x:f>C26*Inputs!$B$9</x:f>
        <x:v>6882577.5</x:v>
      </x:c>
      <x:c r="G26" s="115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  <x:c r="S26" s="115"/>
      <x:c r="T26" s="115"/>
      <x:c r="U26" s="115"/>
      <x:c r="V26" s="115"/>
      <x:c r="W26" s="115"/>
      <x:c r="X26" s="115"/>
      <x:c r="Y26" s="115"/>
      <x:c r="Z26" s="115"/>
    </x:row>
    <x:row r="27" ht="15" hidden="0" customHeight="1">
      <x:c r="A27" s="182" t="str">
        <x:v>Total</x:v>
      </x:c>
      <x:c r="B27" s="183" t="n">
        <x:f>SUM(B19:B26)</x:f>
        <x:v>10158800</x:v>
      </x:c>
      <x:c r="C27" s="183" t="n">
        <x:f>SUM(C19:C26)</x:f>
        <x:v>2826655</x:v>
      </x:c>
      <x:c r="D27" s="183" t="n">
        <x:f>SUM(D19:D26)</x:f>
        <x:v>7332145</x:v>
      </x:c>
      <x:c r="E27" s="184" t="n">
        <x:f>IF(B27=0,0,C27/B27)</x:f>
        <x:v>0.27824693861479705</x:v>
      </x:c>
      <x:c r="F27" s="183" t="n">
        <x:f>SUM(F19:F26)</x:f>
        <x:v>32506532.5</x:v>
      </x:c>
      <x:c r="G27" s="115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  <x:c r="S27" s="115"/>
      <x:c r="T27" s="115"/>
      <x:c r="U27" s="115"/>
      <x:c r="V27" s="115"/>
      <x:c r="W27" s="115"/>
      <x:c r="X27" s="115"/>
      <x:c r="Y27" s="115"/>
      <x:c r="Z27" s="115"/>
    </x:row>
    <x:row r="28" ht="15" hidden="0" customHeight="1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  <x:c r="S28" s="115"/>
      <x:c r="T28" s="115"/>
      <x:c r="U28" s="115"/>
      <x:c r="V28" s="115"/>
      <x:c r="W28" s="115"/>
      <x:c r="X28" s="115"/>
      <x:c r="Y28" s="115"/>
      <x:c r="Z28" s="115"/>
    </x:row>
    <x:row r="29" ht="15" hidden="0" customHeight="1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  <x:c r="S29" s="115"/>
      <x:c r="T29" s="115"/>
      <x:c r="U29" s="115"/>
      <x:c r="V29" s="115"/>
      <x:c r="W29" s="115"/>
      <x:c r="X29" s="115"/>
      <x:c r="Y29" s="115"/>
      <x:c r="Z29" s="115"/>
    </x:row>
    <x:row r="30" ht="15" hidden="0" customHeight="1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  <x:c r="S30" s="115"/>
      <x:c r="T30" s="115"/>
      <x:c r="U30" s="115"/>
      <x:c r="V30" s="115"/>
      <x:c r="W30" s="115"/>
      <x:c r="X30" s="115"/>
      <x:c r="Y30" s="115"/>
      <x:c r="Z30" s="115"/>
    </x:row>
    <x:row r="31" ht="15" hidden="0" customHeight="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  <x:c r="S31" s="115"/>
      <x:c r="T31" s="115"/>
      <x:c r="U31" s="115"/>
      <x:c r="V31" s="115"/>
      <x:c r="W31" s="115"/>
      <x:c r="X31" s="115"/>
      <x:c r="Y31" s="115"/>
      <x:c r="Z31" s="115"/>
    </x:row>
    <x:row r="32" ht="15" hidden="0" customHeight="1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  <x:c r="S32" s="115"/>
      <x:c r="T32" s="115"/>
      <x:c r="U32" s="115"/>
      <x:c r="V32" s="115"/>
      <x:c r="W32" s="115"/>
      <x:c r="X32" s="115"/>
      <x:c r="Y32" s="115"/>
      <x:c r="Z32" s="115"/>
    </x:row>
    <x:row r="33" ht="15" hidden="0" customHeight="1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  <x:c r="S33" s="115"/>
      <x:c r="T33" s="115"/>
      <x:c r="U33" s="115"/>
      <x:c r="V33" s="115"/>
      <x:c r="W33" s="115"/>
      <x:c r="X33" s="115"/>
      <x:c r="Y33" s="115"/>
      <x:c r="Z33" s="115"/>
    </x:row>
    <x:row r="34" ht="15" hidden="0" customHeight="1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  <x:c r="S34" s="115"/>
      <x:c r="T34" s="115"/>
      <x:c r="U34" s="115"/>
      <x:c r="V34" s="115"/>
      <x:c r="W34" s="115"/>
      <x:c r="X34" s="115"/>
      <x:c r="Y34" s="115"/>
      <x:c r="Z34" s="115"/>
    </x:row>
    <x:row r="35" ht="15" hidden="0" customHeight="1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  <x:c r="S35" s="115"/>
      <x:c r="T35" s="115"/>
      <x:c r="U35" s="115"/>
      <x:c r="V35" s="115"/>
      <x:c r="W35" s="115"/>
      <x:c r="X35" s="115"/>
      <x:c r="Y35" s="115"/>
      <x:c r="Z35" s="115"/>
    </x:row>
    <x:row r="36" ht="15" hidden="0" customHeight="1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  <x:c r="S36" s="115"/>
      <x:c r="T36" s="115"/>
      <x:c r="U36" s="115"/>
      <x:c r="V36" s="115"/>
      <x:c r="W36" s="115"/>
      <x:c r="X36" s="115"/>
      <x:c r="Y36" s="115"/>
      <x:c r="Z36" s="115"/>
    </x:row>
    <x:row r="37" ht="15" hidden="0" customHeight="1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  <x:c r="S37" s="115"/>
      <x:c r="T37" s="115"/>
      <x:c r="U37" s="115"/>
      <x:c r="V37" s="115"/>
      <x:c r="W37" s="115"/>
      <x:c r="X37" s="115"/>
      <x:c r="Y37" s="115"/>
      <x:c r="Z37" s="115"/>
    </x:row>
    <x:row r="38" ht="15" hidden="0" customHeight="1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  <x:c r="S38" s="115"/>
      <x:c r="T38" s="115"/>
      <x:c r="U38" s="115"/>
      <x:c r="V38" s="115"/>
      <x:c r="W38" s="115"/>
      <x:c r="X38" s="115"/>
      <x:c r="Y38" s="115"/>
      <x:c r="Z38" s="115"/>
    </x:row>
    <x:row r="39" ht="15" hidden="0" customHeight="1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  <x:c r="S39" s="115"/>
      <x:c r="T39" s="115"/>
      <x:c r="U39" s="115"/>
      <x:c r="V39" s="115"/>
      <x:c r="W39" s="115"/>
      <x:c r="X39" s="115"/>
      <x:c r="Y39" s="115"/>
      <x:c r="Z39" s="115"/>
    </x:row>
    <x:row r="40" ht="15" hidden="0" customHeight="1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  <x:c r="S40" s="115"/>
      <x:c r="T40" s="115"/>
      <x:c r="U40" s="115"/>
      <x:c r="V40" s="115"/>
      <x:c r="W40" s="115"/>
      <x:c r="X40" s="115"/>
      <x:c r="Y40" s="115"/>
      <x:c r="Z40" s="115"/>
    </x:row>
    <x:row r="41" ht="15" hidden="0" customHeight="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  <x:c r="S41" s="115"/>
      <x:c r="T41" s="115"/>
      <x:c r="U41" s="115"/>
      <x:c r="V41" s="115"/>
      <x:c r="W41" s="115"/>
      <x:c r="X41" s="115"/>
      <x:c r="Y41" s="115"/>
      <x:c r="Z41" s="115"/>
    </x:row>
    <x:row r="42" ht="15" hidden="0" customHeight="1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5"/>
      <x:c r="U42" s="115"/>
      <x:c r="V42" s="115"/>
      <x:c r="W42" s="115"/>
      <x:c r="X42" s="115"/>
      <x:c r="Y42" s="115"/>
      <x:c r="Z42" s="115"/>
    </x:row>
    <x:row r="43" ht="15" hidden="0" customHeight="1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  <x:c r="S43" s="115"/>
      <x:c r="T43" s="115"/>
      <x:c r="U43" s="115"/>
      <x:c r="V43" s="115"/>
      <x:c r="W43" s="115"/>
      <x:c r="X43" s="115"/>
      <x:c r="Y43" s="115"/>
      <x:c r="Z43" s="115"/>
    </x:row>
    <x:row r="44" ht="15" hidden="0" customHeight="1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  <x:c r="S44" s="115"/>
      <x:c r="T44" s="115"/>
      <x:c r="U44" s="115"/>
      <x:c r="V44" s="115"/>
      <x:c r="W44" s="115"/>
      <x:c r="X44" s="115"/>
      <x:c r="Y44" s="115"/>
      <x:c r="Z44" s="115"/>
    </x:row>
    <x:row r="45" ht="15" hidden="0" customHeight="1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  <x:c r="S45" s="115"/>
      <x:c r="T45" s="115"/>
      <x:c r="U45" s="115"/>
      <x:c r="V45" s="115"/>
      <x:c r="W45" s="115"/>
      <x:c r="X45" s="115"/>
      <x:c r="Y45" s="115"/>
      <x:c r="Z45" s="115"/>
    </x:row>
    <x:row r="46" ht="15" hidden="0" customHeight="1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  <x:c r="S46" s="115"/>
      <x:c r="T46" s="115"/>
      <x:c r="U46" s="115"/>
      <x:c r="V46" s="115"/>
      <x:c r="W46" s="115"/>
      <x:c r="X46" s="115"/>
      <x:c r="Y46" s="115"/>
      <x:c r="Z46" s="115"/>
    </x:row>
    <x:row r="47" ht="15" hidden="0" customHeight="1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  <x:c r="S47" s="115"/>
      <x:c r="T47" s="115"/>
      <x:c r="U47" s="115"/>
      <x:c r="V47" s="115"/>
      <x:c r="W47" s="115"/>
      <x:c r="X47" s="115"/>
      <x:c r="Y47" s="115"/>
      <x:c r="Z47" s="115"/>
    </x:row>
    <x:row r="48" ht="15" hidden="0" customHeight="1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  <x:c r="S48" s="115"/>
      <x:c r="T48" s="115"/>
      <x:c r="U48" s="115"/>
      <x:c r="V48" s="115"/>
      <x:c r="W48" s="115"/>
      <x:c r="X48" s="115"/>
      <x:c r="Y48" s="115"/>
      <x:c r="Z48" s="115"/>
    </x:row>
    <x:row r="49" ht="15" hidden="0" customHeight="1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  <x:c r="S49" s="115"/>
      <x:c r="T49" s="115"/>
      <x:c r="U49" s="115"/>
      <x:c r="V49" s="115"/>
      <x:c r="W49" s="115"/>
      <x:c r="X49" s="115"/>
      <x:c r="Y49" s="115"/>
      <x:c r="Z49" s="115"/>
    </x:row>
    <x:row r="50" ht="15" hidden="0" customHeight="1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  <x:c r="S50" s="115"/>
      <x:c r="T50" s="115"/>
      <x:c r="U50" s="115"/>
      <x:c r="V50" s="115"/>
      <x:c r="W50" s="115"/>
      <x:c r="X50" s="115"/>
      <x:c r="Y50" s="115"/>
      <x:c r="Z50" s="115"/>
    </x:row>
    <x:row r="51" ht="15" hidden="0" customHeight="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  <x:c r="S51" s="115"/>
      <x:c r="T51" s="115"/>
      <x:c r="U51" s="115"/>
      <x:c r="V51" s="115"/>
      <x:c r="W51" s="115"/>
      <x:c r="X51" s="115"/>
      <x:c r="Y51" s="115"/>
      <x:c r="Z51" s="115"/>
    </x:row>
    <x:row r="52" ht="15" hidden="0" customHeight="1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  <x:c r="S52" s="115"/>
      <x:c r="T52" s="115"/>
      <x:c r="U52" s="115"/>
      <x:c r="V52" s="115"/>
      <x:c r="W52" s="115"/>
      <x:c r="X52" s="115"/>
      <x:c r="Y52" s="115"/>
      <x:c r="Z52" s="115"/>
    </x:row>
    <x:row r="53" ht="15" hidden="0" customHeight="1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  <x:c r="S53" s="115"/>
      <x:c r="T53" s="115"/>
      <x:c r="U53" s="115"/>
      <x:c r="V53" s="115"/>
      <x:c r="W53" s="115"/>
      <x:c r="X53" s="115"/>
      <x:c r="Y53" s="115"/>
      <x:c r="Z53" s="115"/>
    </x:row>
    <x:row r="54" ht="15" hidden="0" customHeight="1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  <x:c r="S54" s="115"/>
      <x:c r="T54" s="115"/>
      <x:c r="U54" s="115"/>
      <x:c r="V54" s="115"/>
      <x:c r="W54" s="115"/>
      <x:c r="X54" s="115"/>
      <x:c r="Y54" s="115"/>
      <x:c r="Z54" s="115"/>
    </x:row>
    <x:row r="55" ht="15" hidden="0" customHeight="1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  <x:c r="S55" s="115"/>
      <x:c r="T55" s="115"/>
      <x:c r="U55" s="115"/>
      <x:c r="V55" s="115"/>
      <x:c r="W55" s="115"/>
      <x:c r="X55" s="115"/>
      <x:c r="Y55" s="115"/>
      <x:c r="Z55" s="115"/>
    </x:row>
    <x:row r="56" ht="15" hidden="0" customHeight="1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  <x:c r="S56" s="115"/>
      <x:c r="T56" s="115"/>
      <x:c r="U56" s="115"/>
      <x:c r="V56" s="115"/>
      <x:c r="W56" s="115"/>
      <x:c r="X56" s="115"/>
      <x:c r="Y56" s="115"/>
      <x:c r="Z56" s="115"/>
    </x:row>
    <x:row r="57" ht="15" hidden="0" customHeight="1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  <x:c r="S57" s="115"/>
      <x:c r="T57" s="115"/>
      <x:c r="U57" s="115"/>
      <x:c r="V57" s="115"/>
      <x:c r="W57" s="115"/>
      <x:c r="X57" s="115"/>
      <x:c r="Y57" s="115"/>
      <x:c r="Z57" s="115"/>
    </x:row>
    <x:row r="58" ht="15" hidden="0" customHeight="1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  <x:c r="S58" s="115"/>
      <x:c r="T58" s="115"/>
      <x:c r="U58" s="115"/>
      <x:c r="V58" s="115"/>
      <x:c r="W58" s="115"/>
      <x:c r="X58" s="115"/>
      <x:c r="Y58" s="115"/>
      <x:c r="Z58" s="115"/>
    </x:row>
    <x:row r="59" ht="15" hidden="0" customHeight="1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15"/>
      <x:c r="T59" s="115"/>
      <x:c r="U59" s="115"/>
      <x:c r="V59" s="115"/>
      <x:c r="W59" s="115"/>
      <x:c r="X59" s="115"/>
      <x:c r="Y59" s="115"/>
      <x:c r="Z59" s="115"/>
    </x:row>
    <x:row r="60" ht="15" hidden="0" customHeight="1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15"/>
      <x:c r="T60" s="115"/>
      <x:c r="U60" s="115"/>
      <x:c r="V60" s="115"/>
      <x:c r="W60" s="115"/>
      <x:c r="X60" s="115"/>
      <x:c r="Y60" s="115"/>
      <x:c r="Z60" s="115"/>
    </x:row>
    <x:row r="61" ht="15" hidden="0" customHeight="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  <x:c r="S61" s="115"/>
      <x:c r="T61" s="115"/>
      <x:c r="U61" s="115"/>
      <x:c r="V61" s="115"/>
      <x:c r="W61" s="115"/>
      <x:c r="X61" s="115"/>
      <x:c r="Y61" s="115"/>
      <x:c r="Z61" s="115"/>
    </x:row>
    <x:row r="62" ht="15" hidden="0" customHeight="1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  <x:c r="S62" s="115"/>
      <x:c r="T62" s="115"/>
      <x:c r="U62" s="115"/>
      <x:c r="V62" s="115"/>
      <x:c r="W62" s="115"/>
      <x:c r="X62" s="115"/>
      <x:c r="Y62" s="115"/>
      <x:c r="Z62" s="115"/>
    </x:row>
    <x:row r="63" ht="15" hidden="0" customHeight="1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5"/>
      <x:c r="T63" s="115"/>
      <x:c r="U63" s="115"/>
      <x:c r="V63" s="115"/>
      <x:c r="W63" s="115"/>
      <x:c r="X63" s="115"/>
      <x:c r="Y63" s="115"/>
      <x:c r="Z63" s="115"/>
    </x:row>
    <x:row r="64" ht="15" hidden="0" customHeight="1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  <x:c r="S64" s="115"/>
      <x:c r="T64" s="115"/>
      <x:c r="U64" s="115"/>
      <x:c r="V64" s="115"/>
      <x:c r="W64" s="115"/>
      <x:c r="X64" s="115"/>
      <x:c r="Y64" s="115"/>
      <x:c r="Z64" s="115"/>
    </x:row>
    <x:row r="65" ht="15" hidden="0" customHeight="1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  <x:c r="S65" s="115"/>
      <x:c r="T65" s="115"/>
      <x:c r="U65" s="115"/>
      <x:c r="V65" s="115"/>
      <x:c r="W65" s="115"/>
      <x:c r="X65" s="115"/>
      <x:c r="Y65" s="115"/>
      <x:c r="Z65" s="115"/>
    </x:row>
    <x:row r="66" ht="15" hidden="0" customHeight="1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  <x:c r="S66" s="115"/>
      <x:c r="T66" s="115"/>
      <x:c r="U66" s="115"/>
      <x:c r="V66" s="115"/>
      <x:c r="W66" s="115"/>
      <x:c r="X66" s="115"/>
      <x:c r="Y66" s="115"/>
      <x:c r="Z66" s="115"/>
    </x:row>
    <x:row r="67" ht="15" hidden="0" customHeight="1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  <x:c r="S67" s="115"/>
      <x:c r="T67" s="115"/>
      <x:c r="U67" s="115"/>
      <x:c r="V67" s="115"/>
      <x:c r="W67" s="115"/>
      <x:c r="X67" s="115"/>
      <x:c r="Y67" s="115"/>
      <x:c r="Z67" s="115"/>
    </x:row>
    <x:row r="68" ht="15" hidden="0" customHeight="1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  <x:c r="S68" s="115"/>
      <x:c r="T68" s="115"/>
      <x:c r="U68" s="115"/>
      <x:c r="V68" s="115"/>
      <x:c r="W68" s="115"/>
      <x:c r="X68" s="115"/>
      <x:c r="Y68" s="115"/>
      <x:c r="Z68" s="115"/>
    </x:row>
    <x:row r="69" ht="15" hidden="0" customHeight="1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  <x:c r="S69" s="115"/>
      <x:c r="T69" s="115"/>
      <x:c r="U69" s="115"/>
      <x:c r="V69" s="115"/>
      <x:c r="W69" s="115"/>
      <x:c r="X69" s="115"/>
      <x:c r="Y69" s="115"/>
      <x:c r="Z69" s="115"/>
    </x:row>
    <x:row r="70" ht="15" hidden="0" customHeight="1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  <x:c r="S70" s="115"/>
      <x:c r="T70" s="115"/>
      <x:c r="U70" s="115"/>
      <x:c r="V70" s="115"/>
      <x:c r="W70" s="115"/>
      <x:c r="X70" s="115"/>
      <x:c r="Y70" s="115"/>
      <x:c r="Z70" s="115"/>
    </x:row>
    <x:row r="71" ht="15" hidden="0" customHeight="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  <x:c r="S71" s="115"/>
      <x:c r="T71" s="115"/>
      <x:c r="U71" s="115"/>
      <x:c r="V71" s="115"/>
      <x:c r="W71" s="115"/>
      <x:c r="X71" s="115"/>
      <x:c r="Y71" s="115"/>
      <x:c r="Z71" s="115"/>
    </x:row>
    <x:row r="72" ht="15" hidden="0" customHeight="1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  <x:c r="S72" s="115"/>
      <x:c r="T72" s="115"/>
      <x:c r="U72" s="115"/>
      <x:c r="V72" s="115"/>
      <x:c r="W72" s="115"/>
      <x:c r="X72" s="115"/>
      <x:c r="Y72" s="115"/>
      <x:c r="Z72" s="115"/>
    </x:row>
    <x:row r="73" ht="15" hidden="0" customHeight="1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  <x:c r="S73" s="115"/>
      <x:c r="T73" s="115"/>
      <x:c r="U73" s="115"/>
      <x:c r="V73" s="115"/>
      <x:c r="W73" s="115"/>
      <x:c r="X73" s="115"/>
      <x:c r="Y73" s="115"/>
      <x:c r="Z73" s="115"/>
    </x:row>
    <x:row r="74" ht="15" hidden="0" customHeight="1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  <x:c r="S74" s="115"/>
      <x:c r="T74" s="115"/>
      <x:c r="U74" s="115"/>
      <x:c r="V74" s="115"/>
      <x:c r="W74" s="115"/>
      <x:c r="X74" s="115"/>
      <x:c r="Y74" s="115"/>
      <x:c r="Z74" s="115"/>
    </x:row>
    <x:row r="75" ht="15" hidden="0" customHeight="1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  <x:c r="S75" s="115"/>
      <x:c r="T75" s="115"/>
      <x:c r="U75" s="115"/>
      <x:c r="V75" s="115"/>
      <x:c r="W75" s="115"/>
      <x:c r="X75" s="115"/>
      <x:c r="Y75" s="115"/>
      <x:c r="Z75" s="115"/>
    </x:row>
    <x:row r="76" ht="15" hidden="0" customHeight="1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  <x:c r="S76" s="115"/>
      <x:c r="T76" s="115"/>
      <x:c r="U76" s="115"/>
      <x:c r="V76" s="115"/>
      <x:c r="W76" s="115"/>
      <x:c r="X76" s="115"/>
      <x:c r="Y76" s="115"/>
      <x:c r="Z76" s="115"/>
    </x:row>
    <x:row r="77" ht="15" hidden="0" customHeight="1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  <x:c r="S77" s="115"/>
      <x:c r="T77" s="115"/>
      <x:c r="U77" s="115"/>
      <x:c r="V77" s="115"/>
      <x:c r="W77" s="115"/>
      <x:c r="X77" s="115"/>
      <x:c r="Y77" s="115"/>
      <x:c r="Z77" s="115"/>
    </x:row>
    <x:row r="78" ht="15" hidden="0" customHeight="1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5"/>
      <x:c r="T78" s="115"/>
      <x:c r="U78" s="115"/>
      <x:c r="V78" s="115"/>
      <x:c r="W78" s="115"/>
      <x:c r="X78" s="115"/>
      <x:c r="Y78" s="115"/>
      <x:c r="Z78" s="115"/>
    </x:row>
    <x:row r="79" ht="15" hidden="0" customHeight="1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  <x:c r="S79" s="115"/>
      <x:c r="T79" s="115"/>
      <x:c r="U79" s="115"/>
      <x:c r="V79" s="115"/>
      <x:c r="W79" s="115"/>
      <x:c r="X79" s="115"/>
      <x:c r="Y79" s="115"/>
      <x:c r="Z79" s="115"/>
    </x:row>
    <x:row r="80" ht="15" hidden="0" customHeight="1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  <x:c r="S80" s="115"/>
      <x:c r="T80" s="115"/>
      <x:c r="U80" s="115"/>
      <x:c r="V80" s="115"/>
      <x:c r="W80" s="115"/>
      <x:c r="X80" s="115"/>
      <x:c r="Y80" s="115"/>
      <x:c r="Z80" s="115"/>
    </x:row>
    <x:row r="81" ht="15" hidden="0" customHeight="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  <x:c r="S81" s="115"/>
      <x:c r="T81" s="115"/>
      <x:c r="U81" s="115"/>
      <x:c r="V81" s="115"/>
      <x:c r="W81" s="115"/>
      <x:c r="X81" s="115"/>
      <x:c r="Y81" s="115"/>
      <x:c r="Z81" s="115"/>
    </x:row>
    <x:row r="82" ht="15" hidden="0" customHeight="1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  <x:c r="S82" s="115"/>
      <x:c r="T82" s="115"/>
      <x:c r="U82" s="115"/>
      <x:c r="V82" s="115"/>
      <x:c r="W82" s="115"/>
      <x:c r="X82" s="115"/>
      <x:c r="Y82" s="115"/>
      <x:c r="Z82" s="115"/>
    </x:row>
    <x:row r="83" ht="15" hidden="0" customHeight="1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  <x:c r="S83" s="115"/>
      <x:c r="T83" s="115"/>
      <x:c r="U83" s="115"/>
      <x:c r="V83" s="115"/>
      <x:c r="W83" s="115"/>
      <x:c r="X83" s="115"/>
      <x:c r="Y83" s="115"/>
      <x:c r="Z83" s="115"/>
    </x:row>
    <x:row r="84" ht="15" hidden="0" customHeight="1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  <x:c r="S84" s="115"/>
      <x:c r="T84" s="115"/>
      <x:c r="U84" s="115"/>
      <x:c r="V84" s="115"/>
      <x:c r="W84" s="115"/>
      <x:c r="X84" s="115"/>
      <x:c r="Y84" s="115"/>
      <x:c r="Z84" s="115"/>
    </x:row>
    <x:row r="85" ht="15" hidden="0" customHeight="1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  <x:c r="S85" s="115"/>
      <x:c r="T85" s="115"/>
      <x:c r="U85" s="115"/>
      <x:c r="V85" s="115"/>
      <x:c r="W85" s="115"/>
      <x:c r="X85" s="115"/>
      <x:c r="Y85" s="115"/>
      <x:c r="Z85" s="115"/>
    </x:row>
    <x:row r="86" ht="15" hidden="0" customHeight="1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  <x:c r="S86" s="115"/>
      <x:c r="T86" s="115"/>
      <x:c r="U86" s="115"/>
      <x:c r="V86" s="115"/>
      <x:c r="W86" s="115"/>
      <x:c r="X86" s="115"/>
      <x:c r="Y86" s="115"/>
      <x:c r="Z86" s="115"/>
    </x:row>
    <x:row r="87" ht="15" hidden="0" customHeight="1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  <x:c r="S87" s="115"/>
      <x:c r="T87" s="115"/>
      <x:c r="U87" s="115"/>
      <x:c r="V87" s="115"/>
      <x:c r="W87" s="115"/>
      <x:c r="X87" s="115"/>
      <x:c r="Y87" s="115"/>
      <x:c r="Z87" s="115"/>
    </x:row>
    <x:row r="88" ht="15" hidden="0" customHeight="1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  <x:c r="S88" s="115"/>
      <x:c r="T88" s="115"/>
      <x:c r="U88" s="115"/>
      <x:c r="V88" s="115"/>
      <x:c r="W88" s="115"/>
      <x:c r="X88" s="115"/>
      <x:c r="Y88" s="115"/>
      <x:c r="Z88" s="115"/>
    </x:row>
    <x:row r="89" ht="15" hidden="0" customHeight="1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  <x:c r="S89" s="115"/>
      <x:c r="T89" s="115"/>
      <x:c r="U89" s="115"/>
      <x:c r="V89" s="115"/>
      <x:c r="W89" s="115"/>
      <x:c r="X89" s="115"/>
      <x:c r="Y89" s="115"/>
      <x:c r="Z89" s="115"/>
    </x:row>
    <x:row r="90" ht="15" hidden="0" customHeight="1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  <x:c r="S90" s="115"/>
      <x:c r="T90" s="115"/>
      <x:c r="U90" s="115"/>
      <x:c r="V90" s="115"/>
      <x:c r="W90" s="115"/>
      <x:c r="X90" s="115"/>
      <x:c r="Y90" s="115"/>
      <x:c r="Z90" s="115"/>
    </x:row>
    <x:row r="91" ht="15" hidden="0" customHeight="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  <x:c r="S91" s="115"/>
      <x:c r="T91" s="115"/>
      <x:c r="U91" s="115"/>
      <x:c r="V91" s="115"/>
      <x:c r="W91" s="115"/>
      <x:c r="X91" s="115"/>
      <x:c r="Y91" s="115"/>
      <x:c r="Z91" s="115"/>
    </x:row>
    <x:row r="92" ht="15" hidden="0" customHeight="1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  <x:c r="S92" s="115"/>
      <x:c r="T92" s="115"/>
      <x:c r="U92" s="115"/>
      <x:c r="V92" s="115"/>
      <x:c r="W92" s="115"/>
      <x:c r="X92" s="115"/>
      <x:c r="Y92" s="115"/>
      <x:c r="Z92" s="115"/>
    </x:row>
    <x:row r="93" ht="15" hidden="0" customHeight="1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  <x:c r="S93" s="115"/>
      <x:c r="T93" s="115"/>
      <x:c r="U93" s="115"/>
      <x:c r="V93" s="115"/>
      <x:c r="W93" s="115"/>
      <x:c r="X93" s="115"/>
      <x:c r="Y93" s="115"/>
      <x:c r="Z93" s="115"/>
    </x:row>
    <x:row r="94" ht="15" hidden="0" customHeight="1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  <x:c r="S94" s="115"/>
      <x:c r="T94" s="115"/>
      <x:c r="U94" s="115"/>
      <x:c r="V94" s="115"/>
      <x:c r="W94" s="115"/>
      <x:c r="X94" s="115"/>
      <x:c r="Y94" s="115"/>
      <x:c r="Z94" s="115"/>
    </x:row>
    <x:row r="95" ht="15" hidden="0" customHeight="1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  <x:c r="S95" s="115"/>
      <x:c r="T95" s="115"/>
      <x:c r="U95" s="115"/>
      <x:c r="V95" s="115"/>
      <x:c r="W95" s="115"/>
      <x:c r="X95" s="115"/>
      <x:c r="Y95" s="115"/>
      <x:c r="Z95" s="115"/>
    </x:row>
    <x:row r="96" ht="15" hidden="0" customHeight="1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  <x:c r="S96" s="115"/>
      <x:c r="T96" s="115"/>
      <x:c r="U96" s="115"/>
      <x:c r="V96" s="115"/>
      <x:c r="W96" s="115"/>
      <x:c r="X96" s="115"/>
      <x:c r="Y96" s="115"/>
      <x:c r="Z96" s="115"/>
    </x:row>
    <x:row r="97" ht="15" hidden="0" customHeight="1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  <x:c r="S97" s="115"/>
      <x:c r="T97" s="115"/>
      <x:c r="U97" s="115"/>
      <x:c r="V97" s="115"/>
      <x:c r="W97" s="115"/>
      <x:c r="X97" s="115"/>
      <x:c r="Y97" s="115"/>
      <x:c r="Z97" s="115"/>
    </x:row>
    <x:row r="98" ht="15" hidden="0" customHeight="1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  <x:c r="S98" s="115"/>
      <x:c r="T98" s="115"/>
      <x:c r="U98" s="115"/>
      <x:c r="V98" s="115"/>
      <x:c r="W98" s="115"/>
      <x:c r="X98" s="115"/>
      <x:c r="Y98" s="115"/>
      <x:c r="Z98" s="115"/>
    </x:row>
    <x:row r="99" ht="15" hidden="0" customHeight="1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  <x:c r="S99" s="115"/>
      <x:c r="T99" s="115"/>
      <x:c r="U99" s="115"/>
      <x:c r="V99" s="115"/>
      <x:c r="W99" s="115"/>
      <x:c r="X99" s="115"/>
      <x:c r="Y99" s="115"/>
      <x:c r="Z99" s="115"/>
    </x:row>
    <x:row r="100" ht="15" hidden="0" customHeight="1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  <x:c r="S100" s="115"/>
      <x:c r="T100" s="115"/>
      <x:c r="U100" s="115"/>
      <x:c r="V100" s="115"/>
      <x:c r="W100" s="115"/>
      <x:c r="X100" s="115"/>
      <x:c r="Y100" s="115"/>
      <x:c r="Z100" s="115"/>
    </x:row>
    <x:row r="101" ht="15" hidden="0" customHeight="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  <x:c r="S101" s="115"/>
      <x:c r="T101" s="115"/>
      <x:c r="U101" s="115"/>
      <x:c r="V101" s="115"/>
      <x:c r="W101" s="115"/>
      <x:c r="X101" s="115"/>
      <x:c r="Y101" s="115"/>
      <x:c r="Z101" s="115"/>
    </x:row>
    <x:row r="102" ht="15" hidden="0" customHeight="1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  <x:c r="S102" s="115"/>
      <x:c r="T102" s="115"/>
      <x:c r="U102" s="115"/>
      <x:c r="V102" s="115"/>
      <x:c r="W102" s="115"/>
      <x:c r="X102" s="115"/>
      <x:c r="Y102" s="115"/>
      <x:c r="Z102" s="115"/>
    </x:row>
    <x:row r="103" ht="15" hidden="0" customHeight="1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  <x:c r="S103" s="115"/>
      <x:c r="T103" s="115"/>
      <x:c r="U103" s="115"/>
      <x:c r="V103" s="115"/>
      <x:c r="W103" s="115"/>
      <x:c r="X103" s="115"/>
      <x:c r="Y103" s="115"/>
      <x:c r="Z103" s="115"/>
    </x:row>
    <x:row r="104" ht="15" hidden="0" customHeight="1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  <x:c r="S104" s="115"/>
      <x:c r="T104" s="115"/>
      <x:c r="U104" s="115"/>
      <x:c r="V104" s="115"/>
      <x:c r="W104" s="115"/>
      <x:c r="X104" s="115"/>
      <x:c r="Y104" s="115"/>
      <x:c r="Z104" s="115"/>
    </x:row>
    <x:row r="105" ht="15" hidden="0" customHeight="1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  <x:c r="S105" s="115"/>
      <x:c r="T105" s="115"/>
      <x:c r="U105" s="115"/>
      <x:c r="V105" s="115"/>
      <x:c r="W105" s="115"/>
      <x:c r="X105" s="115"/>
      <x:c r="Y105" s="115"/>
      <x:c r="Z105" s="115"/>
    </x:row>
    <x:row r="106" ht="15" hidden="0" customHeight="1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  <x:c r="S106" s="115"/>
      <x:c r="T106" s="115"/>
      <x:c r="U106" s="115"/>
      <x:c r="V106" s="115"/>
      <x:c r="W106" s="115"/>
      <x:c r="X106" s="115"/>
      <x:c r="Y106" s="115"/>
      <x:c r="Z106" s="115"/>
    </x:row>
    <x:row r="107" ht="15" hidden="0" customHeight="1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  <x:c r="S107" s="115"/>
      <x:c r="T107" s="115"/>
      <x:c r="U107" s="115"/>
      <x:c r="V107" s="115"/>
      <x:c r="W107" s="115"/>
      <x:c r="X107" s="115"/>
      <x:c r="Y107" s="115"/>
      <x:c r="Z107" s="115"/>
    </x:row>
    <x:row r="108" ht="15" hidden="0" customHeight="1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  <x:c r="S108" s="115"/>
      <x:c r="T108" s="115"/>
      <x:c r="U108" s="115"/>
      <x:c r="V108" s="115"/>
      <x:c r="W108" s="115"/>
      <x:c r="X108" s="115"/>
      <x:c r="Y108" s="115"/>
      <x:c r="Z108" s="115"/>
    </x:row>
    <x:row r="109" ht="15" hidden="0" customHeight="1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  <x:c r="S109" s="115"/>
      <x:c r="T109" s="115"/>
      <x:c r="U109" s="115"/>
      <x:c r="V109" s="115"/>
      <x:c r="W109" s="115"/>
      <x:c r="X109" s="115"/>
      <x:c r="Y109" s="115"/>
      <x:c r="Z109" s="115"/>
    </x:row>
    <x:row r="110" ht="15" hidden="0" customHeight="1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  <x:c r="S110" s="115"/>
      <x:c r="T110" s="115"/>
      <x:c r="U110" s="115"/>
      <x:c r="V110" s="115"/>
      <x:c r="W110" s="115"/>
      <x:c r="X110" s="115"/>
      <x:c r="Y110" s="115"/>
      <x:c r="Z110" s="115"/>
    </x:row>
    <x:row r="111" ht="15" hidden="0" customHeight="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  <x:c r="S111" s="115"/>
      <x:c r="T111" s="115"/>
      <x:c r="U111" s="115"/>
      <x:c r="V111" s="115"/>
      <x:c r="W111" s="115"/>
      <x:c r="X111" s="115"/>
      <x:c r="Y111" s="115"/>
      <x:c r="Z111" s="115"/>
    </x:row>
    <x:row r="112" ht="15" hidden="0" customHeight="1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  <x:c r="S112" s="115"/>
      <x:c r="T112" s="115"/>
      <x:c r="U112" s="115"/>
      <x:c r="V112" s="115"/>
      <x:c r="W112" s="115"/>
      <x:c r="X112" s="115"/>
      <x:c r="Y112" s="115"/>
      <x:c r="Z112" s="115"/>
    </x:row>
    <x:row r="113" ht="15" hidden="0" customHeight="1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  <x:c r="S113" s="115"/>
      <x:c r="T113" s="115"/>
      <x:c r="U113" s="115"/>
      <x:c r="V113" s="115"/>
      <x:c r="W113" s="115"/>
      <x:c r="X113" s="115"/>
      <x:c r="Y113" s="115"/>
      <x:c r="Z113" s="115"/>
    </x:row>
    <x:row r="114" ht="15" hidden="0" customHeight="1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  <x:c r="S114" s="115"/>
      <x:c r="T114" s="115"/>
      <x:c r="U114" s="115"/>
      <x:c r="V114" s="115"/>
      <x:c r="W114" s="115"/>
      <x:c r="X114" s="115"/>
      <x:c r="Y114" s="115"/>
      <x:c r="Z114" s="115"/>
    </x:row>
    <x:row r="115" ht="15" hidden="0" customHeight="1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  <x:c r="S115" s="115"/>
      <x:c r="T115" s="115"/>
      <x:c r="U115" s="115"/>
      <x:c r="V115" s="115"/>
      <x:c r="W115" s="115"/>
      <x:c r="X115" s="115"/>
      <x:c r="Y115" s="115"/>
      <x:c r="Z115" s="115"/>
    </x:row>
    <x:row r="116" ht="15" hidden="0" customHeight="1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  <x:c r="S116" s="115"/>
      <x:c r="T116" s="115"/>
      <x:c r="U116" s="115"/>
      <x:c r="V116" s="115"/>
      <x:c r="W116" s="115"/>
      <x:c r="X116" s="115"/>
      <x:c r="Y116" s="115"/>
      <x:c r="Z116" s="115"/>
    </x:row>
    <x:row r="117" ht="15" hidden="0" customHeight="1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  <x:c r="S117" s="115"/>
      <x:c r="T117" s="115"/>
      <x:c r="U117" s="115"/>
      <x:c r="V117" s="115"/>
      <x:c r="W117" s="115"/>
      <x:c r="X117" s="115"/>
      <x:c r="Y117" s="115"/>
      <x:c r="Z117" s="115"/>
    </x:row>
    <x:row r="118" ht="15" hidden="0" customHeight="1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  <x:c r="S118" s="115"/>
      <x:c r="T118" s="115"/>
      <x:c r="U118" s="115"/>
      <x:c r="V118" s="115"/>
      <x:c r="W118" s="115"/>
      <x:c r="X118" s="115"/>
      <x:c r="Y118" s="115"/>
      <x:c r="Z118" s="115"/>
    </x:row>
    <x:row r="119" ht="15" hidden="0" customHeight="1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  <x:c r="S119" s="115"/>
      <x:c r="T119" s="115"/>
      <x:c r="U119" s="115"/>
      <x:c r="V119" s="115"/>
      <x:c r="W119" s="115"/>
      <x:c r="X119" s="115"/>
      <x:c r="Y119" s="115"/>
      <x:c r="Z119" s="115"/>
    </x:row>
    <x:row r="120" ht="15" hidden="0" customHeight="1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  <x:c r="S120" s="115"/>
      <x:c r="T120" s="115"/>
      <x:c r="U120" s="115"/>
      <x:c r="V120" s="115"/>
      <x:c r="W120" s="115"/>
      <x:c r="X120" s="115"/>
      <x:c r="Y120" s="115"/>
      <x:c r="Z120" s="115"/>
    </x:row>
    <x:row r="121" ht="15" hidden="0" customHeight="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  <x:c r="S121" s="115"/>
      <x:c r="T121" s="115"/>
      <x:c r="U121" s="115"/>
      <x:c r="V121" s="115"/>
      <x:c r="W121" s="115"/>
      <x:c r="X121" s="115"/>
      <x:c r="Y121" s="115"/>
      <x:c r="Z121" s="115"/>
    </x:row>
    <x:row r="122" ht="15" hidden="0" customHeight="1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  <x:c r="S122" s="115"/>
      <x:c r="T122" s="115"/>
      <x:c r="U122" s="115"/>
      <x:c r="V122" s="115"/>
      <x:c r="W122" s="115"/>
      <x:c r="X122" s="115"/>
      <x:c r="Y122" s="115"/>
      <x:c r="Z122" s="115"/>
    </x:row>
    <x:row r="123" ht="15" hidden="0" customHeight="1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  <x:c r="S123" s="115"/>
      <x:c r="T123" s="115"/>
      <x:c r="U123" s="115"/>
      <x:c r="V123" s="115"/>
      <x:c r="W123" s="115"/>
      <x:c r="X123" s="115"/>
      <x:c r="Y123" s="115"/>
      <x:c r="Z123" s="115"/>
    </x:row>
    <x:row r="124" ht="15" hidden="0" customHeight="1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  <x:c r="S124" s="115"/>
      <x:c r="T124" s="115"/>
      <x:c r="U124" s="115"/>
      <x:c r="V124" s="115"/>
      <x:c r="W124" s="115"/>
      <x:c r="X124" s="115"/>
      <x:c r="Y124" s="115"/>
      <x:c r="Z124" s="115"/>
    </x:row>
    <x:row r="125" ht="15" hidden="0" customHeight="1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  <x:c r="S125" s="115"/>
      <x:c r="T125" s="115"/>
      <x:c r="U125" s="115"/>
      <x:c r="V125" s="115"/>
      <x:c r="W125" s="115"/>
      <x:c r="X125" s="115"/>
      <x:c r="Y125" s="115"/>
      <x:c r="Z125" s="115"/>
    </x:row>
    <x:row r="126" ht="15" hidden="0" customHeight="1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  <x:c r="S126" s="115"/>
      <x:c r="T126" s="115"/>
      <x:c r="U126" s="115"/>
      <x:c r="V126" s="115"/>
      <x:c r="W126" s="115"/>
      <x:c r="X126" s="115"/>
      <x:c r="Y126" s="115"/>
      <x:c r="Z126" s="115"/>
    </x:row>
    <x:row r="127" ht="15" hidden="0" customHeight="1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  <x:c r="S127" s="115"/>
      <x:c r="T127" s="115"/>
      <x:c r="U127" s="115"/>
      <x:c r="V127" s="115"/>
      <x:c r="W127" s="115"/>
      <x:c r="X127" s="115"/>
      <x:c r="Y127" s="115"/>
      <x:c r="Z127" s="115"/>
    </x:row>
    <x:row r="128" ht="15" hidden="0" customHeight="1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  <x:c r="S128" s="115"/>
      <x:c r="T128" s="115"/>
      <x:c r="U128" s="115"/>
      <x:c r="V128" s="115"/>
      <x:c r="W128" s="115"/>
      <x:c r="X128" s="115"/>
      <x:c r="Y128" s="115"/>
      <x:c r="Z128" s="115"/>
    </x:row>
    <x:row r="129" ht="15" hidden="0" customHeight="1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  <x:c r="S129" s="115"/>
      <x:c r="T129" s="115"/>
      <x:c r="U129" s="115"/>
      <x:c r="V129" s="115"/>
      <x:c r="W129" s="115"/>
      <x:c r="X129" s="115"/>
      <x:c r="Y129" s="115"/>
      <x:c r="Z129" s="115"/>
    </x:row>
    <x:row r="130" ht="15" hidden="0" customHeight="1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  <x:c r="S130" s="115"/>
      <x:c r="T130" s="115"/>
      <x:c r="U130" s="115"/>
      <x:c r="V130" s="115"/>
      <x:c r="W130" s="115"/>
      <x:c r="X130" s="115"/>
      <x:c r="Y130" s="115"/>
      <x:c r="Z130" s="115"/>
    </x:row>
    <x:row r="131" ht="15" hidden="0" customHeight="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  <x:c r="S131" s="115"/>
      <x:c r="T131" s="115"/>
      <x:c r="U131" s="115"/>
      <x:c r="V131" s="115"/>
      <x:c r="W131" s="115"/>
      <x:c r="X131" s="115"/>
      <x:c r="Y131" s="115"/>
      <x:c r="Z131" s="115"/>
    </x:row>
    <x:row r="132" ht="15" hidden="0" customHeight="1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  <x:c r="S132" s="115"/>
      <x:c r="T132" s="115"/>
      <x:c r="U132" s="115"/>
      <x:c r="V132" s="115"/>
      <x:c r="W132" s="115"/>
      <x:c r="X132" s="115"/>
      <x:c r="Y132" s="115"/>
      <x:c r="Z132" s="115"/>
    </x:row>
    <x:row r="133" ht="15" hidden="0" customHeight="1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  <x:c r="S133" s="115"/>
      <x:c r="T133" s="115"/>
      <x:c r="U133" s="115"/>
      <x:c r="V133" s="115"/>
      <x:c r="W133" s="115"/>
      <x:c r="X133" s="115"/>
      <x:c r="Y133" s="115"/>
      <x:c r="Z133" s="115"/>
    </x:row>
    <x:row r="134" ht="15" hidden="0" customHeight="1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  <x:c r="S134" s="115"/>
      <x:c r="T134" s="115"/>
      <x:c r="U134" s="115"/>
      <x:c r="V134" s="115"/>
      <x:c r="W134" s="115"/>
      <x:c r="X134" s="115"/>
      <x:c r="Y134" s="115"/>
      <x:c r="Z134" s="115"/>
    </x:row>
    <x:row r="135" ht="15" hidden="0" customHeight="1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  <x:c r="S135" s="115"/>
      <x:c r="T135" s="115"/>
      <x:c r="U135" s="115"/>
      <x:c r="V135" s="115"/>
      <x:c r="W135" s="115"/>
      <x:c r="X135" s="115"/>
      <x:c r="Y135" s="115"/>
      <x:c r="Z135" s="115"/>
    </x:row>
    <x:row r="136" ht="15" hidden="0" customHeight="1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  <x:c r="S136" s="115"/>
      <x:c r="T136" s="115"/>
      <x:c r="U136" s="115"/>
      <x:c r="V136" s="115"/>
      <x:c r="W136" s="115"/>
      <x:c r="X136" s="115"/>
      <x:c r="Y136" s="115"/>
      <x:c r="Z136" s="115"/>
    </x:row>
    <x:row r="137" ht="15" hidden="0" customHeight="1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  <x:c r="S137" s="115"/>
      <x:c r="T137" s="115"/>
      <x:c r="U137" s="115"/>
      <x:c r="V137" s="115"/>
      <x:c r="W137" s="115"/>
      <x:c r="X137" s="115"/>
      <x:c r="Y137" s="115"/>
      <x:c r="Z137" s="115"/>
    </x:row>
    <x:row r="138" ht="15" hidden="0" customHeight="1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5"/>
      <x:c r="T138" s="115"/>
      <x:c r="U138" s="115"/>
      <x:c r="V138" s="115"/>
      <x:c r="W138" s="115"/>
      <x:c r="X138" s="115"/>
      <x:c r="Y138" s="115"/>
      <x:c r="Z138" s="115"/>
    </x:row>
    <x:row r="139" ht="15" hidden="0" customHeight="1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  <x:c r="S139" s="115"/>
      <x:c r="T139" s="115"/>
      <x:c r="U139" s="115"/>
      <x:c r="V139" s="115"/>
      <x:c r="W139" s="115"/>
      <x:c r="X139" s="115"/>
      <x:c r="Y139" s="115"/>
      <x:c r="Z139" s="115"/>
    </x:row>
    <x:row r="140" ht="15" hidden="0" customHeight="1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  <x:c r="S140" s="115"/>
      <x:c r="T140" s="115"/>
      <x:c r="U140" s="115"/>
      <x:c r="V140" s="115"/>
      <x:c r="W140" s="115"/>
      <x:c r="X140" s="115"/>
      <x:c r="Y140" s="115"/>
      <x:c r="Z140" s="115"/>
    </x:row>
    <x:row r="141" ht="15" hidden="0" customHeight="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  <x:c r="S141" s="115"/>
      <x:c r="T141" s="115"/>
      <x:c r="U141" s="115"/>
      <x:c r="V141" s="115"/>
      <x:c r="W141" s="115"/>
      <x:c r="X141" s="115"/>
      <x:c r="Y141" s="115"/>
      <x:c r="Z141" s="115"/>
    </x:row>
    <x:row r="142" ht="15" hidden="0" customHeight="1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  <x:c r="S142" s="115"/>
      <x:c r="T142" s="115"/>
      <x:c r="U142" s="115"/>
      <x:c r="V142" s="115"/>
      <x:c r="W142" s="115"/>
      <x:c r="X142" s="115"/>
      <x:c r="Y142" s="115"/>
      <x:c r="Z142" s="115"/>
    </x:row>
    <x:row r="143" ht="15" hidden="0" customHeight="1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  <x:c r="S143" s="115"/>
      <x:c r="T143" s="115"/>
      <x:c r="U143" s="115"/>
      <x:c r="V143" s="115"/>
      <x:c r="W143" s="115"/>
      <x:c r="X143" s="115"/>
      <x:c r="Y143" s="115"/>
      <x:c r="Z143" s="115"/>
    </x:row>
    <x:row r="144" ht="15" hidden="0" customHeight="1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  <x:c r="S144" s="115"/>
      <x:c r="T144" s="115"/>
      <x:c r="U144" s="115"/>
      <x:c r="V144" s="115"/>
      <x:c r="W144" s="115"/>
      <x:c r="X144" s="115"/>
      <x:c r="Y144" s="115"/>
      <x:c r="Z144" s="115"/>
    </x:row>
    <x:row r="145" ht="15" hidden="0" customHeight="1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  <x:c r="S145" s="115"/>
      <x:c r="T145" s="115"/>
      <x:c r="U145" s="115"/>
      <x:c r="V145" s="115"/>
      <x:c r="W145" s="115"/>
      <x:c r="X145" s="115"/>
      <x:c r="Y145" s="115"/>
      <x:c r="Z145" s="115"/>
    </x:row>
    <x:row r="146" ht="15" hidden="0" customHeight="1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  <x:c r="S146" s="115"/>
      <x:c r="T146" s="115"/>
      <x:c r="U146" s="115"/>
      <x:c r="V146" s="115"/>
      <x:c r="W146" s="115"/>
      <x:c r="X146" s="115"/>
      <x:c r="Y146" s="115"/>
      <x:c r="Z146" s="115"/>
    </x:row>
    <x:row r="147" ht="15" hidden="0" customHeight="1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  <x:c r="S147" s="115"/>
      <x:c r="T147" s="115"/>
      <x:c r="U147" s="115"/>
      <x:c r="V147" s="115"/>
      <x:c r="W147" s="115"/>
      <x:c r="X147" s="115"/>
      <x:c r="Y147" s="115"/>
      <x:c r="Z147" s="115"/>
    </x:row>
    <x:row r="148" ht="15" hidden="0" customHeight="1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  <x:c r="S148" s="115"/>
      <x:c r="T148" s="115"/>
      <x:c r="U148" s="115"/>
      <x:c r="V148" s="115"/>
      <x:c r="W148" s="115"/>
      <x:c r="X148" s="115"/>
      <x:c r="Y148" s="115"/>
      <x:c r="Z148" s="115"/>
    </x:row>
    <x:row r="149" ht="15" hidden="0" customHeight="1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  <x:c r="S149" s="115"/>
      <x:c r="T149" s="115"/>
      <x:c r="U149" s="115"/>
      <x:c r="V149" s="115"/>
      <x:c r="W149" s="115"/>
      <x:c r="X149" s="115"/>
      <x:c r="Y149" s="115"/>
      <x:c r="Z149" s="115"/>
    </x:row>
    <x:row r="150" ht="15" hidden="0" customHeight="1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  <x:c r="S150" s="115"/>
      <x:c r="T150" s="115"/>
      <x:c r="U150" s="115"/>
      <x:c r="V150" s="115"/>
      <x:c r="W150" s="115"/>
      <x:c r="X150" s="115"/>
      <x:c r="Y150" s="115"/>
      <x:c r="Z150" s="115"/>
    </x:row>
    <x:row r="151" ht="15" hidden="0" customHeight="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  <x:c r="S151" s="115"/>
      <x:c r="T151" s="115"/>
      <x:c r="U151" s="115"/>
      <x:c r="V151" s="115"/>
      <x:c r="W151" s="115"/>
      <x:c r="X151" s="115"/>
      <x:c r="Y151" s="115"/>
      <x:c r="Z151" s="115"/>
    </x:row>
    <x:row r="152" ht="15" hidden="0" customHeight="1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  <x:c r="S152" s="115"/>
      <x:c r="T152" s="115"/>
      <x:c r="U152" s="115"/>
      <x:c r="V152" s="115"/>
      <x:c r="W152" s="115"/>
      <x:c r="X152" s="115"/>
      <x:c r="Y152" s="115"/>
      <x:c r="Z152" s="115"/>
    </x:row>
    <x:row r="153" ht="15" hidden="0" customHeight="1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  <x:c r="S153" s="115"/>
      <x:c r="T153" s="115"/>
      <x:c r="U153" s="115"/>
      <x:c r="V153" s="115"/>
      <x:c r="W153" s="115"/>
      <x:c r="X153" s="115"/>
      <x:c r="Y153" s="115"/>
      <x:c r="Z153" s="115"/>
    </x:row>
    <x:row r="154" ht="15" hidden="0" customHeight="1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  <x:c r="S154" s="115"/>
      <x:c r="T154" s="115"/>
      <x:c r="U154" s="115"/>
      <x:c r="V154" s="115"/>
      <x:c r="W154" s="115"/>
      <x:c r="X154" s="115"/>
      <x:c r="Y154" s="115"/>
      <x:c r="Z154" s="115"/>
    </x:row>
    <x:row r="155" ht="15" hidden="0" customHeight="1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  <x:c r="S155" s="115"/>
      <x:c r="T155" s="115"/>
      <x:c r="U155" s="115"/>
      <x:c r="V155" s="115"/>
      <x:c r="W155" s="115"/>
      <x:c r="X155" s="115"/>
      <x:c r="Y155" s="115"/>
      <x:c r="Z155" s="115"/>
    </x:row>
    <x:row r="156" ht="15" hidden="0" customHeight="1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  <x:c r="S156" s="115"/>
      <x:c r="T156" s="115"/>
      <x:c r="U156" s="115"/>
      <x:c r="V156" s="115"/>
      <x:c r="W156" s="115"/>
      <x:c r="X156" s="115"/>
      <x:c r="Y156" s="115"/>
      <x:c r="Z156" s="115"/>
    </x:row>
    <x:row r="157" ht="15" hidden="0" customHeight="1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  <x:c r="S157" s="115"/>
      <x:c r="T157" s="115"/>
      <x:c r="U157" s="115"/>
      <x:c r="V157" s="115"/>
      <x:c r="W157" s="115"/>
      <x:c r="X157" s="115"/>
      <x:c r="Y157" s="115"/>
      <x:c r="Z157" s="115"/>
    </x:row>
    <x:row r="158" ht="15" hidden="0" customHeight="1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  <x:c r="S158" s="115"/>
      <x:c r="T158" s="115"/>
      <x:c r="U158" s="115"/>
      <x:c r="V158" s="115"/>
      <x:c r="W158" s="115"/>
      <x:c r="X158" s="115"/>
      <x:c r="Y158" s="115"/>
      <x:c r="Z158" s="115"/>
    </x:row>
    <x:row r="159" ht="15" hidden="0" customHeight="1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  <x:c r="S159" s="115"/>
      <x:c r="T159" s="115"/>
      <x:c r="U159" s="115"/>
      <x:c r="V159" s="115"/>
      <x:c r="W159" s="115"/>
      <x:c r="X159" s="115"/>
      <x:c r="Y159" s="115"/>
      <x:c r="Z159" s="115"/>
    </x:row>
    <x:row r="160" ht="15" hidden="0" customHeight="1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  <x:c r="S160" s="115"/>
      <x:c r="T160" s="115"/>
      <x:c r="U160" s="115"/>
      <x:c r="V160" s="115"/>
      <x:c r="W160" s="115"/>
      <x:c r="X160" s="115"/>
      <x:c r="Y160" s="115"/>
      <x:c r="Z160" s="115"/>
    </x:row>
    <x:row r="161" ht="15" hidden="0" customHeight="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  <x:c r="S161" s="115"/>
      <x:c r="T161" s="115"/>
      <x:c r="U161" s="115"/>
      <x:c r="V161" s="115"/>
      <x:c r="W161" s="115"/>
      <x:c r="X161" s="115"/>
      <x:c r="Y161" s="115"/>
      <x:c r="Z161" s="115"/>
    </x:row>
    <x:row r="162" ht="15" hidden="0" customHeight="1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  <x:c r="S162" s="115"/>
      <x:c r="T162" s="115"/>
      <x:c r="U162" s="115"/>
      <x:c r="V162" s="115"/>
      <x:c r="W162" s="115"/>
      <x:c r="X162" s="115"/>
      <x:c r="Y162" s="115"/>
      <x:c r="Z162" s="115"/>
    </x:row>
    <x:row r="163" ht="15" hidden="0" customHeight="1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  <x:c r="S163" s="115"/>
      <x:c r="T163" s="115"/>
      <x:c r="U163" s="115"/>
      <x:c r="V163" s="115"/>
      <x:c r="W163" s="115"/>
      <x:c r="X163" s="115"/>
      <x:c r="Y163" s="115"/>
      <x:c r="Z163" s="115"/>
    </x:row>
    <x:row r="164" ht="15" hidden="0" customHeight="1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  <x:c r="S164" s="115"/>
      <x:c r="T164" s="115"/>
      <x:c r="U164" s="115"/>
      <x:c r="V164" s="115"/>
      <x:c r="W164" s="115"/>
      <x:c r="X164" s="115"/>
      <x:c r="Y164" s="115"/>
      <x:c r="Z164" s="115"/>
    </x:row>
    <x:row r="165" ht="15" hidden="0" customHeight="1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  <x:c r="S165" s="115"/>
      <x:c r="T165" s="115"/>
      <x:c r="U165" s="115"/>
      <x:c r="V165" s="115"/>
      <x:c r="W165" s="115"/>
      <x:c r="X165" s="115"/>
      <x:c r="Y165" s="115"/>
      <x:c r="Z165" s="115"/>
    </x:row>
    <x:row r="166" ht="15" hidden="0" customHeight="1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  <x:c r="S166" s="115"/>
      <x:c r="T166" s="115"/>
      <x:c r="U166" s="115"/>
      <x:c r="V166" s="115"/>
      <x:c r="W166" s="115"/>
      <x:c r="X166" s="115"/>
      <x:c r="Y166" s="115"/>
      <x:c r="Z166" s="115"/>
    </x:row>
    <x:row r="167" ht="15" hidden="0" customHeight="1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  <x:c r="S167" s="115"/>
      <x:c r="T167" s="115"/>
      <x:c r="U167" s="115"/>
      <x:c r="V167" s="115"/>
      <x:c r="W167" s="115"/>
      <x:c r="X167" s="115"/>
      <x:c r="Y167" s="115"/>
      <x:c r="Z167" s="115"/>
    </x:row>
    <x:row r="168" ht="15" hidden="0" customHeight="1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  <x:c r="S168" s="115"/>
      <x:c r="T168" s="115"/>
      <x:c r="U168" s="115"/>
      <x:c r="V168" s="115"/>
      <x:c r="W168" s="115"/>
      <x:c r="X168" s="115"/>
      <x:c r="Y168" s="115"/>
      <x:c r="Z168" s="115"/>
    </x:row>
    <x:row r="169" ht="15" hidden="0" customHeight="1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  <x:c r="S169" s="115"/>
      <x:c r="T169" s="115"/>
      <x:c r="U169" s="115"/>
      <x:c r="V169" s="115"/>
      <x:c r="W169" s="115"/>
      <x:c r="X169" s="115"/>
      <x:c r="Y169" s="115"/>
      <x:c r="Z169" s="115"/>
    </x:row>
    <x:row r="170" ht="15" hidden="0" customHeight="1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  <x:c r="S170" s="115"/>
      <x:c r="T170" s="115"/>
      <x:c r="U170" s="115"/>
      <x:c r="V170" s="115"/>
      <x:c r="W170" s="115"/>
      <x:c r="X170" s="115"/>
      <x:c r="Y170" s="115"/>
      <x:c r="Z170" s="115"/>
    </x:row>
    <x:row r="171" ht="15" hidden="0" customHeight="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  <x:c r="S171" s="115"/>
      <x:c r="T171" s="115"/>
      <x:c r="U171" s="115"/>
      <x:c r="V171" s="115"/>
      <x:c r="W171" s="115"/>
      <x:c r="X171" s="115"/>
      <x:c r="Y171" s="115"/>
      <x:c r="Z171" s="115"/>
    </x:row>
    <x:row r="172" ht="15" hidden="0" customHeight="1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  <x:c r="S172" s="115"/>
      <x:c r="T172" s="115"/>
      <x:c r="U172" s="115"/>
      <x:c r="V172" s="115"/>
      <x:c r="W172" s="115"/>
      <x:c r="X172" s="115"/>
      <x:c r="Y172" s="115"/>
      <x:c r="Z172" s="115"/>
    </x:row>
    <x:row r="173" ht="15" hidden="0" customHeight="1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  <x:c r="S173" s="115"/>
      <x:c r="T173" s="115"/>
      <x:c r="U173" s="115"/>
      <x:c r="V173" s="115"/>
      <x:c r="W173" s="115"/>
      <x:c r="X173" s="115"/>
      <x:c r="Y173" s="115"/>
      <x:c r="Z173" s="115"/>
    </x:row>
    <x:row r="174" ht="15" hidden="0" customHeight="1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  <x:c r="S174" s="115"/>
      <x:c r="T174" s="115"/>
      <x:c r="U174" s="115"/>
      <x:c r="V174" s="115"/>
      <x:c r="W174" s="115"/>
      <x:c r="X174" s="115"/>
      <x:c r="Y174" s="115"/>
      <x:c r="Z174" s="115"/>
    </x:row>
    <x:row r="175" ht="15" hidden="0" customHeight="1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  <x:c r="S175" s="115"/>
      <x:c r="T175" s="115"/>
      <x:c r="U175" s="115"/>
      <x:c r="V175" s="115"/>
      <x:c r="W175" s="115"/>
      <x:c r="X175" s="115"/>
      <x:c r="Y175" s="115"/>
      <x:c r="Z175" s="115"/>
    </x:row>
    <x:row r="176" ht="15" hidden="0" customHeight="1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  <x:c r="S176" s="115"/>
      <x:c r="T176" s="115"/>
      <x:c r="U176" s="115"/>
      <x:c r="V176" s="115"/>
      <x:c r="W176" s="115"/>
      <x:c r="X176" s="115"/>
      <x:c r="Y176" s="115"/>
      <x:c r="Z176" s="115"/>
    </x:row>
    <x:row r="177" ht="15" hidden="0" customHeight="1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  <x:c r="S177" s="115"/>
      <x:c r="T177" s="115"/>
      <x:c r="U177" s="115"/>
      <x:c r="V177" s="115"/>
      <x:c r="W177" s="115"/>
      <x:c r="X177" s="115"/>
      <x:c r="Y177" s="115"/>
      <x:c r="Z177" s="115"/>
    </x:row>
    <x:row r="178" ht="15" hidden="0" customHeight="1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  <x:c r="S178" s="115"/>
      <x:c r="T178" s="115"/>
      <x:c r="U178" s="115"/>
      <x:c r="V178" s="115"/>
      <x:c r="W178" s="115"/>
      <x:c r="X178" s="115"/>
      <x:c r="Y178" s="115"/>
      <x:c r="Z178" s="115"/>
    </x:row>
    <x:row r="179" ht="15" hidden="0" customHeight="1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  <x:c r="S179" s="115"/>
      <x:c r="T179" s="115"/>
      <x:c r="U179" s="115"/>
      <x:c r="V179" s="115"/>
      <x:c r="W179" s="115"/>
      <x:c r="X179" s="115"/>
      <x:c r="Y179" s="115"/>
      <x:c r="Z179" s="115"/>
    </x:row>
    <x:row r="180" ht="15" hidden="0" customHeight="1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  <x:c r="S180" s="115"/>
      <x:c r="T180" s="115"/>
      <x:c r="U180" s="115"/>
      <x:c r="V180" s="115"/>
      <x:c r="W180" s="115"/>
      <x:c r="X180" s="115"/>
      <x:c r="Y180" s="115"/>
      <x:c r="Z180" s="115"/>
    </x:row>
    <x:row r="181" ht="15" hidden="0" customHeight="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  <x:c r="S181" s="115"/>
      <x:c r="T181" s="115"/>
      <x:c r="U181" s="115"/>
      <x:c r="V181" s="115"/>
      <x:c r="W181" s="115"/>
      <x:c r="X181" s="115"/>
      <x:c r="Y181" s="115"/>
      <x:c r="Z181" s="115"/>
    </x:row>
    <x:row r="182" ht="15" hidden="0" customHeight="1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  <x:c r="S182" s="115"/>
      <x:c r="T182" s="115"/>
      <x:c r="U182" s="115"/>
      <x:c r="V182" s="115"/>
      <x:c r="W182" s="115"/>
      <x:c r="X182" s="115"/>
      <x:c r="Y182" s="115"/>
      <x:c r="Z182" s="115"/>
    </x:row>
    <x:row r="183" ht="15" hidden="0" customHeight="1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5"/>
      <x:c r="U183" s="115"/>
      <x:c r="V183" s="115"/>
      <x:c r="W183" s="115"/>
      <x:c r="X183" s="115"/>
      <x:c r="Y183" s="115"/>
      <x:c r="Z183" s="115"/>
    </x:row>
    <x:row r="184" ht="15" hidden="0" customHeight="1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  <x:c r="S184" s="115"/>
      <x:c r="T184" s="115"/>
      <x:c r="U184" s="115"/>
      <x:c r="V184" s="115"/>
      <x:c r="W184" s="115"/>
      <x:c r="X184" s="115"/>
      <x:c r="Y184" s="115"/>
      <x:c r="Z184" s="115"/>
    </x:row>
    <x:row r="185" ht="15" hidden="0" customHeight="1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  <x:c r="S185" s="115"/>
      <x:c r="T185" s="115"/>
      <x:c r="U185" s="115"/>
      <x:c r="V185" s="115"/>
      <x:c r="W185" s="115"/>
      <x:c r="X185" s="115"/>
      <x:c r="Y185" s="115"/>
      <x:c r="Z185" s="115"/>
    </x:row>
    <x:row r="186" ht="15" hidden="0" customHeight="1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  <x:c r="S186" s="115"/>
      <x:c r="T186" s="115"/>
      <x:c r="U186" s="115"/>
      <x:c r="V186" s="115"/>
      <x:c r="W186" s="115"/>
      <x:c r="X186" s="115"/>
      <x:c r="Y186" s="115"/>
      <x:c r="Z186" s="115"/>
    </x:row>
    <x:row r="187" ht="15" hidden="0" customHeight="1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  <x:c r="S187" s="115"/>
      <x:c r="T187" s="115"/>
      <x:c r="U187" s="115"/>
      <x:c r="V187" s="115"/>
      <x:c r="W187" s="115"/>
      <x:c r="X187" s="115"/>
      <x:c r="Y187" s="115"/>
      <x:c r="Z187" s="115"/>
    </x:row>
    <x:row r="188" ht="15" hidden="0" customHeight="1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  <x:c r="S188" s="115"/>
      <x:c r="T188" s="115"/>
      <x:c r="U188" s="115"/>
      <x:c r="V188" s="115"/>
      <x:c r="W188" s="115"/>
      <x:c r="X188" s="115"/>
      <x:c r="Y188" s="115"/>
      <x:c r="Z188" s="115"/>
    </x:row>
    <x:row r="189" ht="15" hidden="0" customHeight="1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  <x:c r="S189" s="115"/>
      <x:c r="T189" s="115"/>
      <x:c r="U189" s="115"/>
      <x:c r="V189" s="115"/>
      <x:c r="W189" s="115"/>
      <x:c r="X189" s="115"/>
      <x:c r="Y189" s="115"/>
      <x:c r="Z189" s="115"/>
    </x:row>
    <x:row r="190" ht="15" hidden="0" customHeight="1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  <x:c r="S190" s="115"/>
      <x:c r="T190" s="115"/>
      <x:c r="U190" s="115"/>
      <x:c r="V190" s="115"/>
      <x:c r="W190" s="115"/>
      <x:c r="X190" s="115"/>
      <x:c r="Y190" s="115"/>
      <x:c r="Z190" s="115"/>
    </x:row>
    <x:row r="191" ht="15" hidden="0" customHeight="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  <x:c r="S191" s="115"/>
      <x:c r="T191" s="115"/>
      <x:c r="U191" s="115"/>
      <x:c r="V191" s="115"/>
      <x:c r="W191" s="115"/>
      <x:c r="X191" s="115"/>
      <x:c r="Y191" s="115"/>
      <x:c r="Z191" s="115"/>
    </x:row>
    <x:row r="192" ht="15" hidden="0" customHeight="1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  <x:c r="S192" s="115"/>
      <x:c r="T192" s="115"/>
      <x:c r="U192" s="115"/>
      <x:c r="V192" s="115"/>
      <x:c r="W192" s="115"/>
      <x:c r="X192" s="115"/>
      <x:c r="Y192" s="115"/>
      <x:c r="Z192" s="115"/>
    </x:row>
    <x:row r="193" ht="15" hidden="0" customHeight="1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  <x:c r="S193" s="115"/>
      <x:c r="T193" s="115"/>
      <x:c r="U193" s="115"/>
      <x:c r="V193" s="115"/>
      <x:c r="W193" s="115"/>
      <x:c r="X193" s="115"/>
      <x:c r="Y193" s="115"/>
      <x:c r="Z193" s="115"/>
    </x:row>
    <x:row r="194" ht="15" hidden="0" customHeight="1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  <x:c r="S194" s="115"/>
      <x:c r="T194" s="115"/>
      <x:c r="U194" s="115"/>
      <x:c r="V194" s="115"/>
      <x:c r="W194" s="115"/>
      <x:c r="X194" s="115"/>
      <x:c r="Y194" s="115"/>
      <x:c r="Z194" s="115"/>
    </x:row>
    <x:row r="195" ht="15" hidden="0" customHeight="1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  <x:c r="S195" s="115"/>
      <x:c r="T195" s="115"/>
      <x:c r="U195" s="115"/>
      <x:c r="V195" s="115"/>
      <x:c r="W195" s="115"/>
      <x:c r="X195" s="115"/>
      <x:c r="Y195" s="115"/>
      <x:c r="Z195" s="115"/>
    </x:row>
    <x:row r="196" ht="15" hidden="0" customHeight="1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  <x:c r="S196" s="115"/>
      <x:c r="T196" s="115"/>
      <x:c r="U196" s="115"/>
      <x:c r="V196" s="115"/>
      <x:c r="W196" s="115"/>
      <x:c r="X196" s="115"/>
      <x:c r="Y196" s="115"/>
      <x:c r="Z196" s="115"/>
    </x:row>
    <x:row r="197" ht="15" hidden="0" customHeight="1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  <x:c r="S197" s="115"/>
      <x:c r="T197" s="115"/>
      <x:c r="U197" s="115"/>
      <x:c r="V197" s="115"/>
      <x:c r="W197" s="115"/>
      <x:c r="X197" s="115"/>
      <x:c r="Y197" s="115"/>
      <x:c r="Z197" s="115"/>
    </x:row>
    <x:row r="198" ht="15" hidden="0" customHeight="1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  <x:c r="S198" s="115"/>
      <x:c r="T198" s="115"/>
      <x:c r="U198" s="115"/>
      <x:c r="V198" s="115"/>
      <x:c r="W198" s="115"/>
      <x:c r="X198" s="115"/>
      <x:c r="Y198" s="115"/>
      <x:c r="Z198" s="115"/>
    </x:row>
    <x:row r="199" ht="15" hidden="0" customHeight="1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  <x:c r="S199" s="115"/>
      <x:c r="T199" s="115"/>
      <x:c r="U199" s="115"/>
      <x:c r="V199" s="115"/>
      <x:c r="W199" s="115"/>
      <x:c r="X199" s="115"/>
      <x:c r="Y199" s="115"/>
      <x:c r="Z199" s="115"/>
    </x:row>
    <x:row r="200" ht="15" hidden="0" customHeight="1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  <x:c r="S200" s="115"/>
      <x:c r="T200" s="115"/>
      <x:c r="U200" s="115"/>
      <x:c r="V200" s="115"/>
      <x:c r="W200" s="115"/>
      <x:c r="X200" s="115"/>
      <x:c r="Y200" s="115"/>
      <x:c r="Z200" s="115"/>
    </x:row>
  </x:sheetData>
  <x:mergeCells>
    <x:mergeCell ref="A1:J1"/>
    <x:mergeCell ref="A3:J3"/>
    <x:mergeCell ref="A17:F17"/>
  </x:mergeCells>
  <x:pageMargins left="0.7" right="0.7" top="0.75" bottom="0.75" header="0.3" footer="0.3"/>
  <x:drawing xmlns:r="http://schemas.openxmlformats.org/officeDocument/2006/relationships" r:id="R2060e8f2198545c5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70" hidden="0" customWidth="1"/>
  </x:cols>
  <x:sheetData>
    <x:row r="1" ht="21.600000381469727" hidden="0" customHeight="1">
      <x:c r="A1" s="188" t="str">
        <x:v>Sources &amp; Assumption Notes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  <x:c r="S1" s="115"/>
      <x:c r="T1" s="115"/>
      <x:c r="U1" s="115"/>
      <x:c r="V1" s="115"/>
      <x:c r="W1" s="115"/>
      <x:c r="X1" s="115"/>
      <x:c r="Y1" s="115"/>
      <x:c r="Z1" s="115"/>
    </x:row>
    <x:row r="2" ht="15" hidden="0" customHeight="1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  <x:c r="O2" s="115"/>
      <x:c r="P2" s="115"/>
      <x:c r="Q2" s="115"/>
      <x:c r="R2" s="115"/>
      <x:c r="S2" s="115"/>
      <x:c r="T2" s="115"/>
      <x:c r="U2" s="115"/>
      <x:c r="V2" s="115"/>
      <x:c r="W2" s="115"/>
      <x:c r="X2" s="115"/>
      <x:c r="Y2" s="115"/>
      <x:c r="Z2" s="115"/>
    </x:row>
    <x:row r="3" ht="15" hidden="0" customHeight="1">
      <x:c r="A3" s="143" t="str">
        <x:v>Area</x:v>
      </x:c>
      <x:c r="B3" s="143" t="str">
        <x:v>Source / Basis</x:v>
      </x:c>
      <x:c r="C3" s="143" t="str">
        <x:v>URL / Reference</x:v>
      </x:c>
      <x:c r="D3" s="143" t="str">
        <x:v>Notes</x:v>
      </x:c>
      <x:c r="E3" s="115"/>
      <x:c r="F3" s="115"/>
      <x:c r="G3" s="115"/>
      <x:c r="H3" s="115"/>
      <x:c r="I3" s="115"/>
      <x:c r="J3" s="115"/>
      <x:c r="K3" s="115"/>
      <x:c r="L3" s="115"/>
      <x:c r="M3" s="115"/>
      <x:c r="N3" s="115"/>
      <x:c r="O3" s="115"/>
      <x:c r="P3" s="115"/>
      <x:c r="Q3" s="115"/>
      <x:c r="R3" s="115"/>
      <x:c r="S3" s="115"/>
      <x:c r="T3" s="115"/>
      <x:c r="U3" s="115"/>
      <x:c r="V3" s="115"/>
      <x:c r="W3" s="115"/>
      <x:c r="X3" s="115"/>
      <x:c r="Y3" s="115"/>
      <x:c r="Z3" s="115"/>
    </x:row>
    <x:row r="4" ht="26.399999618530273" hidden="0" customHeight="1">
      <x:c r="A4" s="144" t="str">
        <x:v>Brand system</x:v>
      </x:c>
      <x:c r="B4" s="144" t="str">
        <x:v>Ops2EBITDA brand guidelines</x:v>
      </x:c>
      <x:c r="C4" s="144" t="str">
        <x:v>Internal brand guidelines</x:v>
      </x:c>
      <x:c r="D4" s="144" t="str">
        <x:v>Colors: Ink #161413, Bone #F4EFE6, Paper #FBF8F2, Ochre #B8862F, Sienna #7A2E1F, Stone #928B7E</x:v>
      </x:c>
      <x:c r="E4" s="115"/>
      <x:c r="F4" s="115"/>
      <x:c r="G4" s="115"/>
      <x:c r="H4" s="115"/>
      <x:c r="I4" s="115"/>
      <x:c r="J4" s="115"/>
      <x:c r="K4" s="115"/>
      <x:c r="L4" s="115"/>
      <x:c r="M4" s="115"/>
      <x:c r="N4" s="115"/>
      <x:c r="O4" s="115"/>
      <x:c r="P4" s="115"/>
      <x:c r="Q4" s="115"/>
      <x:c r="R4" s="115"/>
      <x:c r="S4" s="115"/>
      <x:c r="T4" s="115"/>
      <x:c r="U4" s="115"/>
      <x:c r="V4" s="115"/>
      <x:c r="W4" s="115"/>
      <x:c r="X4" s="115"/>
      <x:c r="Y4" s="115"/>
      <x:c r="Z4" s="115"/>
    </x:row>
    <x:row r="5" ht="26.399999618530273" hidden="0" customHeight="1">
      <x:c r="A5" s="144" t="str">
        <x:v>Sample data</x:v>
      </x:c>
      <x:c r="B5" s="144" t="str">
        <x:v>Synthetic sample data</x:v>
      </x:c>
      <x:c r="C5" s="144" t="str">
        <x:v>N/A</x:v>
      </x:c>
      <x:c r="D5" s="144" t="str">
        <x:v>All transaction, synergy, and milestone data are illustrative and should be replaced with company-specific data.</x:v>
      </x:c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  <x:c r="S5" s="115"/>
      <x:c r="T5" s="115"/>
      <x:c r="U5" s="115"/>
      <x:c r="V5" s="115"/>
      <x:c r="W5" s="115"/>
      <x:c r="X5" s="115"/>
      <x:c r="Y5" s="115"/>
      <x:c r="Z5" s="115"/>
    </x:row>
    <x:row r="6" ht="26.399999618530273" hidden="0" customHeight="1">
      <x:c r="A6" s="144" t="str">
        <x:v>Model methodology</x:v>
      </x:c>
      <x:c r="B6" s="144" t="str">
        <x:v>Private equity add-on integration operating logic</x:v>
      </x:c>
      <x:c r="C6" s="144" t="str">
        <x:v>N/A</x:v>
      </x:c>
      <x:c r="D6" s="144" t="str">
        <x:v>Model is designed to track synergy target, risk haircut, run-rate capture, evidence quality, and EBITDA validation.</x:v>
      </x:c>
      <x:c r="E6" s="115"/>
      <x:c r="F6" s="115"/>
      <x:c r="G6" s="115"/>
      <x:c r="H6" s="115"/>
      <x:c r="I6" s="115"/>
      <x:c r="J6" s="115"/>
      <x:c r="K6" s="115"/>
      <x:c r="L6" s="115"/>
      <x:c r="M6" s="115"/>
      <x:c r="N6" s="115"/>
      <x:c r="O6" s="115"/>
      <x:c r="P6" s="115"/>
      <x:c r="Q6" s="115"/>
      <x:c r="R6" s="115"/>
      <x:c r="S6" s="115"/>
      <x:c r="T6" s="115"/>
      <x:c r="U6" s="115"/>
      <x:c r="V6" s="115"/>
      <x:c r="W6" s="115"/>
      <x:c r="X6" s="115"/>
      <x:c r="Y6" s="115"/>
      <x:c r="Z6" s="115"/>
    </x:row>
    <x:row r="7" ht="26.399999618530273" hidden="0" customHeight="1">
      <x:c r="A7" s="144" t="str">
        <x:v>Financial input convention</x:v>
      </x:c>
      <x:c r="B7" s="144" t="str">
        <x:v>User-editable assumptions on Inputs sheet</x:v>
      </x:c>
      <x:c r="C7" s="144" t="str">
        <x:v>N/A</x:v>
      </x:c>
      <x:c r="D7" s="144" t="str">
        <x:v>Blue font indicates hardcoded user input. Black font indicates formula. Green font indicates linked worksheet reference where applied.</x:v>
      </x:c>
      <x:c r="E7" s="115"/>
      <x:c r="F7" s="115"/>
      <x:c r="G7" s="115"/>
      <x:c r="H7" s="115"/>
      <x:c r="I7" s="115"/>
      <x:c r="J7" s="115"/>
      <x:c r="K7" s="115"/>
      <x:c r="L7" s="115"/>
      <x:c r="M7" s="115"/>
      <x:c r="N7" s="115"/>
      <x:c r="O7" s="115"/>
      <x:c r="P7" s="115"/>
      <x:c r="Q7" s="115"/>
      <x:c r="R7" s="115"/>
      <x:c r="S7" s="115"/>
      <x:c r="T7" s="115"/>
      <x:c r="U7" s="115"/>
      <x:c r="V7" s="115"/>
      <x:c r="W7" s="115"/>
      <x:c r="X7" s="115"/>
      <x:c r="Y7" s="115"/>
      <x:c r="Z7" s="115"/>
    </x:row>
    <x:row r="8" ht="26.399999618530273" hidden="0" customHeight="1">
      <x:c r="A8" s="144" t="str">
        <x:v>Validation logic</x:v>
      </x:c>
      <x:c r="B8" s="144" t="str">
        <x:v>Evidence-based savings validation</x:v>
      </x:c>
      <x:c r="C8" s="144" t="str">
        <x:v>N/A</x:v>
      </x:c>
      <x:c r="D8" s="144" t="str">
        <x:v>High evidence receives 100% of run-rate captured, medium receives 75%, low receives 35%. Edit formula if stricter validation is preferred.</x:v>
      </x:c>
      <x:c r="E8" s="115"/>
      <x:c r="F8" s="115"/>
      <x:c r="G8" s="115"/>
      <x:c r="H8" s="115"/>
      <x:c r="I8" s="115"/>
      <x:c r="J8" s="115"/>
      <x:c r="K8" s="115"/>
      <x:c r="L8" s="115"/>
      <x:c r="M8" s="115"/>
      <x:c r="N8" s="115"/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</x:row>
    <x:row r="9" ht="15" hidden="0" customHeight="1">
      <x:c r="A9" s="144" t="str">
        <x:v>Valuation logic</x:v>
      </x:c>
      <x:c r="B9" s="144" t="str">
        <x:v>Incremental EBITDA x exit multiple</x:v>
      </x:c>
      <x:c r="C9" s="144" t="str">
        <x:v>N/A</x:v>
      </x:c>
      <x:c r="D9" s="144" t="str">
        <x:v>Enterprise value uplift estimates are illustrative and not a formal valuation opinion.</x:v>
      </x:c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5"/>
      <x:c r="S9" s="115"/>
      <x:c r="T9" s="115"/>
      <x:c r="U9" s="115"/>
      <x:c r="V9" s="115"/>
      <x:c r="W9" s="115"/>
      <x:c r="X9" s="115"/>
      <x:c r="Y9" s="115"/>
      <x:c r="Z9" s="115"/>
    </x:row>
    <x:row r="10" ht="15" hidden="0" customHeight="1">
      <x:c r="A10" s="115"/>
      <x:c r="B10" s="115"/>
      <x:c r="C10" s="115"/>
      <x:c r="D10" s="115"/>
      <x:c r="E10" s="115"/>
      <x:c r="F10" s="115"/>
      <x:c r="G10" s="115"/>
      <x:c r="H10" s="115"/>
      <x:c r="I10" s="115"/>
      <x:c r="J10" s="115"/>
      <x:c r="K10" s="115"/>
      <x:c r="L10" s="115"/>
      <x:c r="M10" s="115"/>
      <x:c r="N10" s="115"/>
      <x:c r="O10" s="115"/>
      <x:c r="P10" s="115"/>
      <x:c r="Q10" s="115"/>
      <x:c r="R10" s="115"/>
      <x:c r="S10" s="115"/>
      <x:c r="T10" s="115"/>
      <x:c r="U10" s="115"/>
      <x:c r="V10" s="115"/>
      <x:c r="W10" s="115"/>
      <x:c r="X10" s="115"/>
      <x:c r="Y10" s="115"/>
      <x:c r="Z10" s="115"/>
    </x:row>
    <x:row r="11" ht="15" hidden="0" customHeight="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5"/>
      <x:c r="R11" s="115"/>
      <x:c r="S11" s="115"/>
      <x:c r="T11" s="115"/>
      <x:c r="U11" s="115"/>
      <x:c r="V11" s="115"/>
      <x:c r="W11" s="115"/>
      <x:c r="X11" s="115"/>
      <x:c r="Y11" s="115"/>
      <x:c r="Z11" s="115"/>
    </x:row>
    <x:row r="12" ht="15" hidden="0" customHeight="1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5"/>
      <x:c r="P12" s="115"/>
      <x:c r="Q12" s="115"/>
      <x:c r="R12" s="115"/>
      <x:c r="S12" s="115"/>
      <x:c r="T12" s="115"/>
      <x:c r="U12" s="115"/>
      <x:c r="V12" s="115"/>
      <x:c r="W12" s="115"/>
      <x:c r="X12" s="115"/>
      <x:c r="Y12" s="115"/>
      <x:c r="Z12" s="115"/>
    </x:row>
    <x:row r="13" ht="15" hidden="0" customHeight="1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  <x:c r="L13" s="115"/>
      <x:c r="M13" s="115"/>
      <x:c r="N13" s="115"/>
      <x:c r="O13" s="115"/>
      <x:c r="P13" s="115"/>
      <x:c r="Q13" s="115"/>
      <x:c r="R13" s="115"/>
      <x:c r="S13" s="115"/>
      <x:c r="T13" s="115"/>
      <x:c r="U13" s="115"/>
      <x:c r="V13" s="115"/>
      <x:c r="W13" s="115"/>
      <x:c r="X13" s="115"/>
      <x:c r="Y13" s="115"/>
      <x:c r="Z13" s="115"/>
    </x:row>
    <x:row r="14" ht="15" hidden="0" customHeight="1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O14" s="115"/>
      <x:c r="P14" s="115"/>
      <x:c r="Q14" s="115"/>
      <x:c r="R14" s="115"/>
      <x:c r="S14" s="115"/>
      <x:c r="T14" s="115"/>
      <x:c r="U14" s="115"/>
      <x:c r="V14" s="115"/>
      <x:c r="W14" s="115"/>
      <x:c r="X14" s="115"/>
      <x:c r="Y14" s="115"/>
      <x:c r="Z14" s="115"/>
    </x:row>
    <x:row r="15" ht="15" hidden="0" customHeight="1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115"/>
      <x:c r="P15" s="115"/>
      <x:c r="Q15" s="115"/>
      <x:c r="R15" s="115"/>
      <x:c r="S15" s="115"/>
      <x:c r="T15" s="115"/>
      <x:c r="U15" s="115"/>
      <x:c r="V15" s="115"/>
      <x:c r="W15" s="115"/>
      <x:c r="X15" s="115"/>
      <x:c r="Y15" s="115"/>
      <x:c r="Z15" s="115"/>
    </x:row>
    <x:row r="16" ht="15" hidden="0" customHeight="1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  <x:c r="O16" s="115"/>
      <x:c r="P16" s="115"/>
      <x:c r="Q16" s="115"/>
      <x:c r="R16" s="115"/>
      <x:c r="S16" s="115"/>
      <x:c r="T16" s="115"/>
      <x:c r="U16" s="115"/>
      <x:c r="V16" s="115"/>
      <x:c r="W16" s="115"/>
      <x:c r="X16" s="115"/>
      <x:c r="Y16" s="115"/>
      <x:c r="Z16" s="115"/>
    </x:row>
    <x:row r="17" ht="15" hidden="0" customHeight="1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  <x:c r="O17" s="115"/>
      <x:c r="P17" s="115"/>
      <x:c r="Q17" s="115"/>
      <x:c r="R17" s="115"/>
      <x:c r="S17" s="115"/>
      <x:c r="T17" s="115"/>
      <x:c r="U17" s="115"/>
      <x:c r="V17" s="115"/>
      <x:c r="W17" s="115"/>
      <x:c r="X17" s="115"/>
      <x:c r="Y17" s="115"/>
      <x:c r="Z17" s="115"/>
    </x:row>
    <x:row r="18" ht="15" hidden="0" customHeight="1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  <x:c r="M18" s="115"/>
      <x:c r="N18" s="115"/>
      <x:c r="O18" s="115"/>
      <x:c r="P18" s="115"/>
      <x:c r="Q18" s="115"/>
      <x:c r="R18" s="115"/>
      <x:c r="S18" s="115"/>
      <x:c r="T18" s="115"/>
      <x:c r="U18" s="115"/>
      <x:c r="V18" s="115"/>
      <x:c r="W18" s="115"/>
      <x:c r="X18" s="115"/>
      <x:c r="Y18" s="115"/>
      <x:c r="Z18" s="115"/>
    </x:row>
    <x:row r="19" ht="15" hidden="0" customHeight="1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  <x:c r="O19" s="115"/>
      <x:c r="P19" s="115"/>
      <x:c r="Q19" s="115"/>
      <x:c r="R19" s="115"/>
      <x:c r="S19" s="115"/>
      <x:c r="T19" s="115"/>
      <x:c r="U19" s="115"/>
      <x:c r="V19" s="115"/>
      <x:c r="W19" s="115"/>
      <x:c r="X19" s="115"/>
      <x:c r="Y19" s="115"/>
      <x:c r="Z19" s="115"/>
    </x:row>
    <x:row r="20" ht="15" hidden="0" customHeight="1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  <x:c r="O20" s="115"/>
      <x:c r="P20" s="115"/>
      <x:c r="Q20" s="115"/>
      <x:c r="R20" s="115"/>
      <x:c r="S20" s="115"/>
      <x:c r="T20" s="115"/>
      <x:c r="U20" s="115"/>
      <x:c r="V20" s="115"/>
      <x:c r="W20" s="115"/>
      <x:c r="X20" s="115"/>
      <x:c r="Y20" s="115"/>
      <x:c r="Z20" s="115"/>
    </x:row>
    <x:row r="21" ht="15" hidden="0" customHeight="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  <x:c r="S21" s="115"/>
      <x:c r="T21" s="115"/>
      <x:c r="U21" s="115"/>
      <x:c r="V21" s="115"/>
      <x:c r="W21" s="115"/>
      <x:c r="X21" s="115"/>
      <x:c r="Y21" s="115"/>
      <x:c r="Z21" s="115"/>
    </x:row>
    <x:row r="22" ht="15" hidden="0" customHeight="1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  <x:c r="S22" s="115"/>
      <x:c r="T22" s="115"/>
      <x:c r="U22" s="115"/>
      <x:c r="V22" s="115"/>
      <x:c r="W22" s="115"/>
      <x:c r="X22" s="115"/>
      <x:c r="Y22" s="115"/>
      <x:c r="Z22" s="115"/>
    </x:row>
    <x:row r="23" ht="15" hidden="0" customHeight="1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  <x:c r="S23" s="115"/>
      <x:c r="T23" s="115"/>
      <x:c r="U23" s="115"/>
      <x:c r="V23" s="115"/>
      <x:c r="W23" s="115"/>
      <x:c r="X23" s="115"/>
      <x:c r="Y23" s="115"/>
      <x:c r="Z23" s="115"/>
    </x:row>
    <x:row r="24" ht="15" hidden="0" customHeight="1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  <x:c r="S24" s="115"/>
      <x:c r="T24" s="115"/>
      <x:c r="U24" s="115"/>
      <x:c r="V24" s="115"/>
      <x:c r="W24" s="115"/>
      <x:c r="X24" s="115"/>
      <x:c r="Y24" s="115"/>
      <x:c r="Z24" s="115"/>
    </x:row>
    <x:row r="25" ht="15" hidden="0" customHeight="1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  <x:c r="S25" s="115"/>
      <x:c r="T25" s="115"/>
      <x:c r="U25" s="115"/>
      <x:c r="V25" s="115"/>
      <x:c r="W25" s="115"/>
      <x:c r="X25" s="115"/>
      <x:c r="Y25" s="115"/>
      <x:c r="Z25" s="115"/>
    </x:row>
    <x:row r="26" ht="15" hidden="0" customHeight="1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  <x:c r="S26" s="115"/>
      <x:c r="T26" s="115"/>
      <x:c r="U26" s="115"/>
      <x:c r="V26" s="115"/>
      <x:c r="W26" s="115"/>
      <x:c r="X26" s="115"/>
      <x:c r="Y26" s="115"/>
      <x:c r="Z26" s="115"/>
    </x:row>
    <x:row r="27" ht="15" hidden="0" customHeight="1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  <x:c r="S27" s="115"/>
      <x:c r="T27" s="115"/>
      <x:c r="U27" s="115"/>
      <x:c r="V27" s="115"/>
      <x:c r="W27" s="115"/>
      <x:c r="X27" s="115"/>
      <x:c r="Y27" s="115"/>
      <x:c r="Z27" s="115"/>
    </x:row>
    <x:row r="28" ht="15" hidden="0" customHeight="1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  <x:c r="S28" s="115"/>
      <x:c r="T28" s="115"/>
      <x:c r="U28" s="115"/>
      <x:c r="V28" s="115"/>
      <x:c r="W28" s="115"/>
      <x:c r="X28" s="115"/>
      <x:c r="Y28" s="115"/>
      <x:c r="Z28" s="115"/>
    </x:row>
    <x:row r="29" ht="15" hidden="0" customHeight="1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  <x:c r="S29" s="115"/>
      <x:c r="T29" s="115"/>
      <x:c r="U29" s="115"/>
      <x:c r="V29" s="115"/>
      <x:c r="W29" s="115"/>
      <x:c r="X29" s="115"/>
      <x:c r="Y29" s="115"/>
      <x:c r="Z29" s="115"/>
    </x:row>
    <x:row r="30" ht="15" hidden="0" customHeight="1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  <x:c r="S30" s="115"/>
      <x:c r="T30" s="115"/>
      <x:c r="U30" s="115"/>
      <x:c r="V30" s="115"/>
      <x:c r="W30" s="115"/>
      <x:c r="X30" s="115"/>
      <x:c r="Y30" s="115"/>
      <x:c r="Z30" s="115"/>
    </x:row>
    <x:row r="31" ht="15" hidden="0" customHeight="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  <x:c r="S31" s="115"/>
      <x:c r="T31" s="115"/>
      <x:c r="U31" s="115"/>
      <x:c r="V31" s="115"/>
      <x:c r="W31" s="115"/>
      <x:c r="X31" s="115"/>
      <x:c r="Y31" s="115"/>
      <x:c r="Z31" s="115"/>
    </x:row>
    <x:row r="32" ht="15" hidden="0" customHeight="1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  <x:c r="S32" s="115"/>
      <x:c r="T32" s="115"/>
      <x:c r="U32" s="115"/>
      <x:c r="V32" s="115"/>
      <x:c r="W32" s="115"/>
      <x:c r="X32" s="115"/>
      <x:c r="Y32" s="115"/>
      <x:c r="Z32" s="115"/>
    </x:row>
    <x:row r="33" ht="15" hidden="0" customHeight="1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  <x:c r="S33" s="115"/>
      <x:c r="T33" s="115"/>
      <x:c r="U33" s="115"/>
      <x:c r="V33" s="115"/>
      <x:c r="W33" s="115"/>
      <x:c r="X33" s="115"/>
      <x:c r="Y33" s="115"/>
      <x:c r="Z33" s="115"/>
    </x:row>
    <x:row r="34" ht="15" hidden="0" customHeight="1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  <x:c r="S34" s="115"/>
      <x:c r="T34" s="115"/>
      <x:c r="U34" s="115"/>
      <x:c r="V34" s="115"/>
      <x:c r="W34" s="115"/>
      <x:c r="X34" s="115"/>
      <x:c r="Y34" s="115"/>
      <x:c r="Z34" s="115"/>
    </x:row>
    <x:row r="35" ht="15" hidden="0" customHeight="1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  <x:c r="S35" s="115"/>
      <x:c r="T35" s="115"/>
      <x:c r="U35" s="115"/>
      <x:c r="V35" s="115"/>
      <x:c r="W35" s="115"/>
      <x:c r="X35" s="115"/>
      <x:c r="Y35" s="115"/>
      <x:c r="Z35" s="115"/>
    </x:row>
    <x:row r="36" ht="15" hidden="0" customHeight="1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  <x:c r="S36" s="115"/>
      <x:c r="T36" s="115"/>
      <x:c r="U36" s="115"/>
      <x:c r="V36" s="115"/>
      <x:c r="W36" s="115"/>
      <x:c r="X36" s="115"/>
      <x:c r="Y36" s="115"/>
      <x:c r="Z36" s="115"/>
    </x:row>
    <x:row r="37" ht="15" hidden="0" customHeight="1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  <x:c r="S37" s="115"/>
      <x:c r="T37" s="115"/>
      <x:c r="U37" s="115"/>
      <x:c r="V37" s="115"/>
      <x:c r="W37" s="115"/>
      <x:c r="X37" s="115"/>
      <x:c r="Y37" s="115"/>
      <x:c r="Z37" s="115"/>
    </x:row>
    <x:row r="38" ht="15" hidden="0" customHeight="1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  <x:c r="S38" s="115"/>
      <x:c r="T38" s="115"/>
      <x:c r="U38" s="115"/>
      <x:c r="V38" s="115"/>
      <x:c r="W38" s="115"/>
      <x:c r="X38" s="115"/>
      <x:c r="Y38" s="115"/>
      <x:c r="Z38" s="115"/>
    </x:row>
    <x:row r="39" ht="15" hidden="0" customHeight="1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  <x:c r="S39" s="115"/>
      <x:c r="T39" s="115"/>
      <x:c r="U39" s="115"/>
      <x:c r="V39" s="115"/>
      <x:c r="W39" s="115"/>
      <x:c r="X39" s="115"/>
      <x:c r="Y39" s="115"/>
      <x:c r="Z39" s="115"/>
    </x:row>
    <x:row r="40" ht="15" hidden="0" customHeight="1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  <x:c r="S40" s="115"/>
      <x:c r="T40" s="115"/>
      <x:c r="U40" s="115"/>
      <x:c r="V40" s="115"/>
      <x:c r="W40" s="115"/>
      <x:c r="X40" s="115"/>
      <x:c r="Y40" s="115"/>
      <x:c r="Z40" s="115"/>
    </x:row>
    <x:row r="41" ht="15" hidden="0" customHeight="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  <x:c r="S41" s="115"/>
      <x:c r="T41" s="115"/>
      <x:c r="U41" s="115"/>
      <x:c r="V41" s="115"/>
      <x:c r="W41" s="115"/>
      <x:c r="X41" s="115"/>
      <x:c r="Y41" s="115"/>
      <x:c r="Z41" s="115"/>
    </x:row>
    <x:row r="42" ht="15" hidden="0" customHeight="1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5"/>
      <x:c r="U42" s="115"/>
      <x:c r="V42" s="115"/>
      <x:c r="W42" s="115"/>
      <x:c r="X42" s="115"/>
      <x:c r="Y42" s="115"/>
      <x:c r="Z42" s="115"/>
    </x:row>
    <x:row r="43" ht="15" hidden="0" customHeight="1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  <x:c r="S43" s="115"/>
      <x:c r="T43" s="115"/>
      <x:c r="U43" s="115"/>
      <x:c r="V43" s="115"/>
      <x:c r="W43" s="115"/>
      <x:c r="X43" s="115"/>
      <x:c r="Y43" s="115"/>
      <x:c r="Z43" s="115"/>
    </x:row>
    <x:row r="44" ht="15" hidden="0" customHeight="1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  <x:c r="S44" s="115"/>
      <x:c r="T44" s="115"/>
      <x:c r="U44" s="115"/>
      <x:c r="V44" s="115"/>
      <x:c r="W44" s="115"/>
      <x:c r="X44" s="115"/>
      <x:c r="Y44" s="115"/>
      <x:c r="Z44" s="115"/>
    </x:row>
    <x:row r="45" ht="15" hidden="0" customHeight="1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  <x:c r="S45" s="115"/>
      <x:c r="T45" s="115"/>
      <x:c r="U45" s="115"/>
      <x:c r="V45" s="115"/>
      <x:c r="W45" s="115"/>
      <x:c r="X45" s="115"/>
      <x:c r="Y45" s="115"/>
      <x:c r="Z45" s="115"/>
    </x:row>
    <x:row r="46" ht="15" hidden="0" customHeight="1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  <x:c r="S46" s="115"/>
      <x:c r="T46" s="115"/>
      <x:c r="U46" s="115"/>
      <x:c r="V46" s="115"/>
      <x:c r="W46" s="115"/>
      <x:c r="X46" s="115"/>
      <x:c r="Y46" s="115"/>
      <x:c r="Z46" s="115"/>
    </x:row>
    <x:row r="47" ht="15" hidden="0" customHeight="1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  <x:c r="S47" s="115"/>
      <x:c r="T47" s="115"/>
      <x:c r="U47" s="115"/>
      <x:c r="V47" s="115"/>
      <x:c r="W47" s="115"/>
      <x:c r="X47" s="115"/>
      <x:c r="Y47" s="115"/>
      <x:c r="Z47" s="115"/>
    </x:row>
    <x:row r="48" ht="15" hidden="0" customHeight="1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  <x:c r="S48" s="115"/>
      <x:c r="T48" s="115"/>
      <x:c r="U48" s="115"/>
      <x:c r="V48" s="115"/>
      <x:c r="W48" s="115"/>
      <x:c r="X48" s="115"/>
      <x:c r="Y48" s="115"/>
      <x:c r="Z48" s="115"/>
    </x:row>
    <x:row r="49" ht="15" hidden="0" customHeight="1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  <x:c r="S49" s="115"/>
      <x:c r="T49" s="115"/>
      <x:c r="U49" s="115"/>
      <x:c r="V49" s="115"/>
      <x:c r="W49" s="115"/>
      <x:c r="X49" s="115"/>
      <x:c r="Y49" s="115"/>
      <x:c r="Z49" s="115"/>
    </x:row>
    <x:row r="50" ht="15" hidden="0" customHeight="1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  <x:c r="S50" s="115"/>
      <x:c r="T50" s="115"/>
      <x:c r="U50" s="115"/>
      <x:c r="V50" s="115"/>
      <x:c r="W50" s="115"/>
      <x:c r="X50" s="115"/>
      <x:c r="Y50" s="115"/>
      <x:c r="Z50" s="115"/>
    </x:row>
    <x:row r="51" ht="15" hidden="0" customHeight="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  <x:c r="S51" s="115"/>
      <x:c r="T51" s="115"/>
      <x:c r="U51" s="115"/>
      <x:c r="V51" s="115"/>
      <x:c r="W51" s="115"/>
      <x:c r="X51" s="115"/>
      <x:c r="Y51" s="115"/>
      <x:c r="Z51" s="115"/>
    </x:row>
    <x:row r="52" ht="15" hidden="0" customHeight="1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  <x:c r="S52" s="115"/>
      <x:c r="T52" s="115"/>
      <x:c r="U52" s="115"/>
      <x:c r="V52" s="115"/>
      <x:c r="W52" s="115"/>
      <x:c r="X52" s="115"/>
      <x:c r="Y52" s="115"/>
      <x:c r="Z52" s="115"/>
    </x:row>
    <x:row r="53" ht="15" hidden="0" customHeight="1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  <x:c r="S53" s="115"/>
      <x:c r="T53" s="115"/>
      <x:c r="U53" s="115"/>
      <x:c r="V53" s="115"/>
      <x:c r="W53" s="115"/>
      <x:c r="X53" s="115"/>
      <x:c r="Y53" s="115"/>
      <x:c r="Z53" s="115"/>
    </x:row>
    <x:row r="54" ht="15" hidden="0" customHeight="1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  <x:c r="S54" s="115"/>
      <x:c r="T54" s="115"/>
      <x:c r="U54" s="115"/>
      <x:c r="V54" s="115"/>
      <x:c r="W54" s="115"/>
      <x:c r="X54" s="115"/>
      <x:c r="Y54" s="115"/>
      <x:c r="Z54" s="115"/>
    </x:row>
    <x:row r="55" ht="15" hidden="0" customHeight="1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  <x:c r="S55" s="115"/>
      <x:c r="T55" s="115"/>
      <x:c r="U55" s="115"/>
      <x:c r="V55" s="115"/>
      <x:c r="W55" s="115"/>
      <x:c r="X55" s="115"/>
      <x:c r="Y55" s="115"/>
      <x:c r="Z55" s="115"/>
    </x:row>
    <x:row r="56" ht="15" hidden="0" customHeight="1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  <x:c r="S56" s="115"/>
      <x:c r="T56" s="115"/>
      <x:c r="U56" s="115"/>
      <x:c r="V56" s="115"/>
      <x:c r="W56" s="115"/>
      <x:c r="X56" s="115"/>
      <x:c r="Y56" s="115"/>
      <x:c r="Z56" s="115"/>
    </x:row>
    <x:row r="57" ht="15" hidden="0" customHeight="1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  <x:c r="S57" s="115"/>
      <x:c r="T57" s="115"/>
      <x:c r="U57" s="115"/>
      <x:c r="V57" s="115"/>
      <x:c r="W57" s="115"/>
      <x:c r="X57" s="115"/>
      <x:c r="Y57" s="115"/>
      <x:c r="Z57" s="115"/>
    </x:row>
    <x:row r="58" ht="15" hidden="0" customHeight="1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  <x:c r="S58" s="115"/>
      <x:c r="T58" s="115"/>
      <x:c r="U58" s="115"/>
      <x:c r="V58" s="115"/>
      <x:c r="W58" s="115"/>
      <x:c r="X58" s="115"/>
      <x:c r="Y58" s="115"/>
      <x:c r="Z58" s="115"/>
    </x:row>
    <x:row r="59" ht="15" hidden="0" customHeight="1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15"/>
      <x:c r="T59" s="115"/>
      <x:c r="U59" s="115"/>
      <x:c r="V59" s="115"/>
      <x:c r="W59" s="115"/>
      <x:c r="X59" s="115"/>
      <x:c r="Y59" s="115"/>
      <x:c r="Z59" s="115"/>
    </x:row>
    <x:row r="60" ht="15" hidden="0" customHeight="1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15"/>
      <x:c r="T60" s="115"/>
      <x:c r="U60" s="115"/>
      <x:c r="V60" s="115"/>
      <x:c r="W60" s="115"/>
      <x:c r="X60" s="115"/>
      <x:c r="Y60" s="115"/>
      <x:c r="Z60" s="115"/>
    </x:row>
    <x:row r="61" ht="15" hidden="0" customHeight="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  <x:c r="S61" s="115"/>
      <x:c r="T61" s="115"/>
      <x:c r="U61" s="115"/>
      <x:c r="V61" s="115"/>
      <x:c r="W61" s="115"/>
      <x:c r="X61" s="115"/>
      <x:c r="Y61" s="115"/>
      <x:c r="Z61" s="115"/>
    </x:row>
    <x:row r="62" ht="15" hidden="0" customHeight="1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  <x:c r="S62" s="115"/>
      <x:c r="T62" s="115"/>
      <x:c r="U62" s="115"/>
      <x:c r="V62" s="115"/>
      <x:c r="W62" s="115"/>
      <x:c r="X62" s="115"/>
      <x:c r="Y62" s="115"/>
      <x:c r="Z62" s="115"/>
    </x:row>
    <x:row r="63" ht="15" hidden="0" customHeight="1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5"/>
      <x:c r="T63" s="115"/>
      <x:c r="U63" s="115"/>
      <x:c r="V63" s="115"/>
      <x:c r="W63" s="115"/>
      <x:c r="X63" s="115"/>
      <x:c r="Y63" s="115"/>
      <x:c r="Z63" s="115"/>
    </x:row>
    <x:row r="64" ht="15" hidden="0" customHeight="1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  <x:c r="S64" s="115"/>
      <x:c r="T64" s="115"/>
      <x:c r="U64" s="115"/>
      <x:c r="V64" s="115"/>
      <x:c r="W64" s="115"/>
      <x:c r="X64" s="115"/>
      <x:c r="Y64" s="115"/>
      <x:c r="Z64" s="115"/>
    </x:row>
    <x:row r="65" ht="15" hidden="0" customHeight="1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  <x:c r="S65" s="115"/>
      <x:c r="T65" s="115"/>
      <x:c r="U65" s="115"/>
      <x:c r="V65" s="115"/>
      <x:c r="W65" s="115"/>
      <x:c r="X65" s="115"/>
      <x:c r="Y65" s="115"/>
      <x:c r="Z65" s="115"/>
    </x:row>
    <x:row r="66" ht="15" hidden="0" customHeight="1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  <x:c r="S66" s="115"/>
      <x:c r="T66" s="115"/>
      <x:c r="U66" s="115"/>
      <x:c r="V66" s="115"/>
      <x:c r="W66" s="115"/>
      <x:c r="X66" s="115"/>
      <x:c r="Y66" s="115"/>
      <x:c r="Z66" s="115"/>
    </x:row>
    <x:row r="67" ht="15" hidden="0" customHeight="1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  <x:c r="S67" s="115"/>
      <x:c r="T67" s="115"/>
      <x:c r="U67" s="115"/>
      <x:c r="V67" s="115"/>
      <x:c r="W67" s="115"/>
      <x:c r="X67" s="115"/>
      <x:c r="Y67" s="115"/>
      <x:c r="Z67" s="115"/>
    </x:row>
    <x:row r="68" ht="15" hidden="0" customHeight="1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  <x:c r="S68" s="115"/>
      <x:c r="T68" s="115"/>
      <x:c r="U68" s="115"/>
      <x:c r="V68" s="115"/>
      <x:c r="W68" s="115"/>
      <x:c r="X68" s="115"/>
      <x:c r="Y68" s="115"/>
      <x:c r="Z68" s="115"/>
    </x:row>
    <x:row r="69" ht="15" hidden="0" customHeight="1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  <x:c r="S69" s="115"/>
      <x:c r="T69" s="115"/>
      <x:c r="U69" s="115"/>
      <x:c r="V69" s="115"/>
      <x:c r="W69" s="115"/>
      <x:c r="X69" s="115"/>
      <x:c r="Y69" s="115"/>
      <x:c r="Z69" s="115"/>
    </x:row>
    <x:row r="70" ht="15" hidden="0" customHeight="1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  <x:c r="S70" s="115"/>
      <x:c r="T70" s="115"/>
      <x:c r="U70" s="115"/>
      <x:c r="V70" s="115"/>
      <x:c r="W70" s="115"/>
      <x:c r="X70" s="115"/>
      <x:c r="Y70" s="115"/>
      <x:c r="Z70" s="115"/>
    </x:row>
    <x:row r="71" ht="15" hidden="0" customHeight="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  <x:c r="S71" s="115"/>
      <x:c r="T71" s="115"/>
      <x:c r="U71" s="115"/>
      <x:c r="V71" s="115"/>
      <x:c r="W71" s="115"/>
      <x:c r="X71" s="115"/>
      <x:c r="Y71" s="115"/>
      <x:c r="Z71" s="115"/>
    </x:row>
    <x:row r="72" ht="15" hidden="0" customHeight="1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  <x:c r="S72" s="115"/>
      <x:c r="T72" s="115"/>
      <x:c r="U72" s="115"/>
      <x:c r="V72" s="115"/>
      <x:c r="W72" s="115"/>
      <x:c r="X72" s="115"/>
      <x:c r="Y72" s="115"/>
      <x:c r="Z72" s="115"/>
    </x:row>
    <x:row r="73" ht="15" hidden="0" customHeight="1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  <x:c r="S73" s="115"/>
      <x:c r="T73" s="115"/>
      <x:c r="U73" s="115"/>
      <x:c r="V73" s="115"/>
      <x:c r="W73" s="115"/>
      <x:c r="X73" s="115"/>
      <x:c r="Y73" s="115"/>
      <x:c r="Z73" s="115"/>
    </x:row>
    <x:row r="74" ht="15" hidden="0" customHeight="1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  <x:c r="S74" s="115"/>
      <x:c r="T74" s="115"/>
      <x:c r="U74" s="115"/>
      <x:c r="V74" s="115"/>
      <x:c r="W74" s="115"/>
      <x:c r="X74" s="115"/>
      <x:c r="Y74" s="115"/>
      <x:c r="Z74" s="115"/>
    </x:row>
    <x:row r="75" ht="15" hidden="0" customHeight="1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  <x:c r="S75" s="115"/>
      <x:c r="T75" s="115"/>
      <x:c r="U75" s="115"/>
      <x:c r="V75" s="115"/>
      <x:c r="W75" s="115"/>
      <x:c r="X75" s="115"/>
      <x:c r="Y75" s="115"/>
      <x:c r="Z75" s="115"/>
    </x:row>
    <x:row r="76" ht="15" hidden="0" customHeight="1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  <x:c r="S76" s="115"/>
      <x:c r="T76" s="115"/>
      <x:c r="U76" s="115"/>
      <x:c r="V76" s="115"/>
      <x:c r="W76" s="115"/>
      <x:c r="X76" s="115"/>
      <x:c r="Y76" s="115"/>
      <x:c r="Z76" s="115"/>
    </x:row>
    <x:row r="77" ht="15" hidden="0" customHeight="1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  <x:c r="S77" s="115"/>
      <x:c r="T77" s="115"/>
      <x:c r="U77" s="115"/>
      <x:c r="V77" s="115"/>
      <x:c r="W77" s="115"/>
      <x:c r="X77" s="115"/>
      <x:c r="Y77" s="115"/>
      <x:c r="Z77" s="115"/>
    </x:row>
    <x:row r="78" ht="15" hidden="0" customHeight="1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5"/>
      <x:c r="T78" s="115"/>
      <x:c r="U78" s="115"/>
      <x:c r="V78" s="115"/>
      <x:c r="W78" s="115"/>
      <x:c r="X78" s="115"/>
      <x:c r="Y78" s="115"/>
      <x:c r="Z78" s="115"/>
    </x:row>
    <x:row r="79" ht="15" hidden="0" customHeight="1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  <x:c r="S79" s="115"/>
      <x:c r="T79" s="115"/>
      <x:c r="U79" s="115"/>
      <x:c r="V79" s="115"/>
      <x:c r="W79" s="115"/>
      <x:c r="X79" s="115"/>
      <x:c r="Y79" s="115"/>
      <x:c r="Z79" s="115"/>
    </x:row>
    <x:row r="80" ht="15" hidden="0" customHeight="1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  <x:c r="S80" s="115"/>
      <x:c r="T80" s="115"/>
      <x:c r="U80" s="115"/>
      <x:c r="V80" s="115"/>
      <x:c r="W80" s="115"/>
      <x:c r="X80" s="115"/>
      <x:c r="Y80" s="115"/>
      <x:c r="Z80" s="115"/>
    </x:row>
    <x:row r="81" ht="15" hidden="0" customHeight="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  <x:c r="S81" s="115"/>
      <x:c r="T81" s="115"/>
      <x:c r="U81" s="115"/>
      <x:c r="V81" s="115"/>
      <x:c r="W81" s="115"/>
      <x:c r="X81" s="115"/>
      <x:c r="Y81" s="115"/>
      <x:c r="Z81" s="115"/>
    </x:row>
    <x:row r="82" ht="15" hidden="0" customHeight="1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  <x:c r="S82" s="115"/>
      <x:c r="T82" s="115"/>
      <x:c r="U82" s="115"/>
      <x:c r="V82" s="115"/>
      <x:c r="W82" s="115"/>
      <x:c r="X82" s="115"/>
      <x:c r="Y82" s="115"/>
      <x:c r="Z82" s="115"/>
    </x:row>
    <x:row r="83" ht="15" hidden="0" customHeight="1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  <x:c r="S83" s="115"/>
      <x:c r="T83" s="115"/>
      <x:c r="U83" s="115"/>
      <x:c r="V83" s="115"/>
      <x:c r="W83" s="115"/>
      <x:c r="X83" s="115"/>
      <x:c r="Y83" s="115"/>
      <x:c r="Z83" s="115"/>
    </x:row>
    <x:row r="84" ht="15" hidden="0" customHeight="1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  <x:c r="S84" s="115"/>
      <x:c r="T84" s="115"/>
      <x:c r="U84" s="115"/>
      <x:c r="V84" s="115"/>
      <x:c r="W84" s="115"/>
      <x:c r="X84" s="115"/>
      <x:c r="Y84" s="115"/>
      <x:c r="Z84" s="115"/>
    </x:row>
    <x:row r="85" ht="15" hidden="0" customHeight="1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  <x:c r="S85" s="115"/>
      <x:c r="T85" s="115"/>
      <x:c r="U85" s="115"/>
      <x:c r="V85" s="115"/>
      <x:c r="W85" s="115"/>
      <x:c r="X85" s="115"/>
      <x:c r="Y85" s="115"/>
      <x:c r="Z85" s="115"/>
    </x:row>
    <x:row r="86" ht="15" hidden="0" customHeight="1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  <x:c r="S86" s="115"/>
      <x:c r="T86" s="115"/>
      <x:c r="U86" s="115"/>
      <x:c r="V86" s="115"/>
      <x:c r="W86" s="115"/>
      <x:c r="X86" s="115"/>
      <x:c r="Y86" s="115"/>
      <x:c r="Z86" s="115"/>
    </x:row>
    <x:row r="87" ht="15" hidden="0" customHeight="1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  <x:c r="S87" s="115"/>
      <x:c r="T87" s="115"/>
      <x:c r="U87" s="115"/>
      <x:c r="V87" s="115"/>
      <x:c r="W87" s="115"/>
      <x:c r="X87" s="115"/>
      <x:c r="Y87" s="115"/>
      <x:c r="Z87" s="115"/>
    </x:row>
    <x:row r="88" ht="15" hidden="0" customHeight="1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  <x:c r="S88" s="115"/>
      <x:c r="T88" s="115"/>
      <x:c r="U88" s="115"/>
      <x:c r="V88" s="115"/>
      <x:c r="W88" s="115"/>
      <x:c r="X88" s="115"/>
      <x:c r="Y88" s="115"/>
      <x:c r="Z88" s="115"/>
    </x:row>
    <x:row r="89" ht="15" hidden="0" customHeight="1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  <x:c r="S89" s="115"/>
      <x:c r="T89" s="115"/>
      <x:c r="U89" s="115"/>
      <x:c r="V89" s="115"/>
      <x:c r="W89" s="115"/>
      <x:c r="X89" s="115"/>
      <x:c r="Y89" s="115"/>
      <x:c r="Z89" s="115"/>
    </x:row>
    <x:row r="90" ht="15" hidden="0" customHeight="1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  <x:c r="S90" s="115"/>
      <x:c r="T90" s="115"/>
      <x:c r="U90" s="115"/>
      <x:c r="V90" s="115"/>
      <x:c r="W90" s="115"/>
      <x:c r="X90" s="115"/>
      <x:c r="Y90" s="115"/>
      <x:c r="Z90" s="115"/>
    </x:row>
    <x:row r="91" ht="15" hidden="0" customHeight="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  <x:c r="S91" s="115"/>
      <x:c r="T91" s="115"/>
      <x:c r="U91" s="115"/>
      <x:c r="V91" s="115"/>
      <x:c r="W91" s="115"/>
      <x:c r="X91" s="115"/>
      <x:c r="Y91" s="115"/>
      <x:c r="Z91" s="115"/>
    </x:row>
    <x:row r="92" ht="15" hidden="0" customHeight="1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  <x:c r="S92" s="115"/>
      <x:c r="T92" s="115"/>
      <x:c r="U92" s="115"/>
      <x:c r="V92" s="115"/>
      <x:c r="W92" s="115"/>
      <x:c r="X92" s="115"/>
      <x:c r="Y92" s="115"/>
      <x:c r="Z92" s="115"/>
    </x:row>
    <x:row r="93" ht="15" hidden="0" customHeight="1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  <x:c r="S93" s="115"/>
      <x:c r="T93" s="115"/>
      <x:c r="U93" s="115"/>
      <x:c r="V93" s="115"/>
      <x:c r="W93" s="115"/>
      <x:c r="X93" s="115"/>
      <x:c r="Y93" s="115"/>
      <x:c r="Z93" s="115"/>
    </x:row>
    <x:row r="94" ht="15" hidden="0" customHeight="1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  <x:c r="S94" s="115"/>
      <x:c r="T94" s="115"/>
      <x:c r="U94" s="115"/>
      <x:c r="V94" s="115"/>
      <x:c r="W94" s="115"/>
      <x:c r="X94" s="115"/>
      <x:c r="Y94" s="115"/>
      <x:c r="Z94" s="115"/>
    </x:row>
    <x:row r="95" ht="15" hidden="0" customHeight="1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  <x:c r="S95" s="115"/>
      <x:c r="T95" s="115"/>
      <x:c r="U95" s="115"/>
      <x:c r="V95" s="115"/>
      <x:c r="W95" s="115"/>
      <x:c r="X95" s="115"/>
      <x:c r="Y95" s="115"/>
      <x:c r="Z95" s="115"/>
    </x:row>
    <x:row r="96" ht="15" hidden="0" customHeight="1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  <x:c r="S96" s="115"/>
      <x:c r="T96" s="115"/>
      <x:c r="U96" s="115"/>
      <x:c r="V96" s="115"/>
      <x:c r="W96" s="115"/>
      <x:c r="X96" s="115"/>
      <x:c r="Y96" s="115"/>
      <x:c r="Z96" s="115"/>
    </x:row>
    <x:row r="97" ht="15" hidden="0" customHeight="1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  <x:c r="S97" s="115"/>
      <x:c r="T97" s="115"/>
      <x:c r="U97" s="115"/>
      <x:c r="V97" s="115"/>
      <x:c r="W97" s="115"/>
      <x:c r="X97" s="115"/>
      <x:c r="Y97" s="115"/>
      <x:c r="Z97" s="115"/>
    </x:row>
    <x:row r="98" ht="15" hidden="0" customHeight="1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  <x:c r="S98" s="115"/>
      <x:c r="T98" s="115"/>
      <x:c r="U98" s="115"/>
      <x:c r="V98" s="115"/>
      <x:c r="W98" s="115"/>
      <x:c r="X98" s="115"/>
      <x:c r="Y98" s="115"/>
      <x:c r="Z98" s="115"/>
    </x:row>
    <x:row r="99" ht="15" hidden="0" customHeight="1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  <x:c r="S99" s="115"/>
      <x:c r="T99" s="115"/>
      <x:c r="U99" s="115"/>
      <x:c r="V99" s="115"/>
      <x:c r="W99" s="115"/>
      <x:c r="X99" s="115"/>
      <x:c r="Y99" s="115"/>
      <x:c r="Z99" s="115"/>
    </x:row>
    <x:row r="100" ht="15" hidden="0" customHeight="1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  <x:c r="S100" s="115"/>
      <x:c r="T100" s="115"/>
      <x:c r="U100" s="115"/>
      <x:c r="V100" s="115"/>
      <x:c r="W100" s="115"/>
      <x:c r="X100" s="115"/>
      <x:c r="Y100" s="115"/>
      <x:c r="Z100" s="115"/>
    </x:row>
    <x:row r="101" ht="15" hidden="0" customHeight="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  <x:c r="S101" s="115"/>
      <x:c r="T101" s="115"/>
      <x:c r="U101" s="115"/>
      <x:c r="V101" s="115"/>
      <x:c r="W101" s="115"/>
      <x:c r="X101" s="115"/>
      <x:c r="Y101" s="115"/>
      <x:c r="Z101" s="115"/>
    </x:row>
    <x:row r="102" ht="15" hidden="0" customHeight="1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  <x:c r="S102" s="115"/>
      <x:c r="T102" s="115"/>
      <x:c r="U102" s="115"/>
      <x:c r="V102" s="115"/>
      <x:c r="W102" s="115"/>
      <x:c r="X102" s="115"/>
      <x:c r="Y102" s="115"/>
      <x:c r="Z102" s="115"/>
    </x:row>
    <x:row r="103" ht="15" hidden="0" customHeight="1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  <x:c r="S103" s="115"/>
      <x:c r="T103" s="115"/>
      <x:c r="U103" s="115"/>
      <x:c r="V103" s="115"/>
      <x:c r="W103" s="115"/>
      <x:c r="X103" s="115"/>
      <x:c r="Y103" s="115"/>
      <x:c r="Z103" s="115"/>
    </x:row>
    <x:row r="104" ht="15" hidden="0" customHeight="1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  <x:c r="S104" s="115"/>
      <x:c r="T104" s="115"/>
      <x:c r="U104" s="115"/>
      <x:c r="V104" s="115"/>
      <x:c r="W104" s="115"/>
      <x:c r="X104" s="115"/>
      <x:c r="Y104" s="115"/>
      <x:c r="Z104" s="115"/>
    </x:row>
    <x:row r="105" ht="15" hidden="0" customHeight="1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  <x:c r="S105" s="115"/>
      <x:c r="T105" s="115"/>
      <x:c r="U105" s="115"/>
      <x:c r="V105" s="115"/>
      <x:c r="W105" s="115"/>
      <x:c r="X105" s="115"/>
      <x:c r="Y105" s="115"/>
      <x:c r="Z105" s="115"/>
    </x:row>
    <x:row r="106" ht="15" hidden="0" customHeight="1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  <x:c r="S106" s="115"/>
      <x:c r="T106" s="115"/>
      <x:c r="U106" s="115"/>
      <x:c r="V106" s="115"/>
      <x:c r="W106" s="115"/>
      <x:c r="X106" s="115"/>
      <x:c r="Y106" s="115"/>
      <x:c r="Z106" s="115"/>
    </x:row>
    <x:row r="107" ht="15" hidden="0" customHeight="1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  <x:c r="S107" s="115"/>
      <x:c r="T107" s="115"/>
      <x:c r="U107" s="115"/>
      <x:c r="V107" s="115"/>
      <x:c r="W107" s="115"/>
      <x:c r="X107" s="115"/>
      <x:c r="Y107" s="115"/>
      <x:c r="Z107" s="115"/>
    </x:row>
    <x:row r="108" ht="15" hidden="0" customHeight="1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  <x:c r="S108" s="115"/>
      <x:c r="T108" s="115"/>
      <x:c r="U108" s="115"/>
      <x:c r="V108" s="115"/>
      <x:c r="W108" s="115"/>
      <x:c r="X108" s="115"/>
      <x:c r="Y108" s="115"/>
      <x:c r="Z108" s="115"/>
    </x:row>
    <x:row r="109" ht="15" hidden="0" customHeight="1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  <x:c r="S109" s="115"/>
      <x:c r="T109" s="115"/>
      <x:c r="U109" s="115"/>
      <x:c r="V109" s="115"/>
      <x:c r="W109" s="115"/>
      <x:c r="X109" s="115"/>
      <x:c r="Y109" s="115"/>
      <x:c r="Z109" s="115"/>
    </x:row>
    <x:row r="110" ht="15" hidden="0" customHeight="1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  <x:c r="S110" s="115"/>
      <x:c r="T110" s="115"/>
      <x:c r="U110" s="115"/>
      <x:c r="V110" s="115"/>
      <x:c r="W110" s="115"/>
      <x:c r="X110" s="115"/>
      <x:c r="Y110" s="115"/>
      <x:c r="Z110" s="115"/>
    </x:row>
    <x:row r="111" ht="15" hidden="0" customHeight="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  <x:c r="S111" s="115"/>
      <x:c r="T111" s="115"/>
      <x:c r="U111" s="115"/>
      <x:c r="V111" s="115"/>
      <x:c r="W111" s="115"/>
      <x:c r="X111" s="115"/>
      <x:c r="Y111" s="115"/>
      <x:c r="Z111" s="115"/>
    </x:row>
    <x:row r="112" ht="15" hidden="0" customHeight="1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  <x:c r="S112" s="115"/>
      <x:c r="T112" s="115"/>
      <x:c r="U112" s="115"/>
      <x:c r="V112" s="115"/>
      <x:c r="W112" s="115"/>
      <x:c r="X112" s="115"/>
      <x:c r="Y112" s="115"/>
      <x:c r="Z112" s="115"/>
    </x:row>
    <x:row r="113" ht="15" hidden="0" customHeight="1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  <x:c r="S113" s="115"/>
      <x:c r="T113" s="115"/>
      <x:c r="U113" s="115"/>
      <x:c r="V113" s="115"/>
      <x:c r="W113" s="115"/>
      <x:c r="X113" s="115"/>
      <x:c r="Y113" s="115"/>
      <x:c r="Z113" s="115"/>
    </x:row>
    <x:row r="114" ht="15" hidden="0" customHeight="1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  <x:c r="S114" s="115"/>
      <x:c r="T114" s="115"/>
      <x:c r="U114" s="115"/>
      <x:c r="V114" s="115"/>
      <x:c r="W114" s="115"/>
      <x:c r="X114" s="115"/>
      <x:c r="Y114" s="115"/>
      <x:c r="Z114" s="115"/>
    </x:row>
    <x:row r="115" ht="15" hidden="0" customHeight="1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  <x:c r="S115" s="115"/>
      <x:c r="T115" s="115"/>
      <x:c r="U115" s="115"/>
      <x:c r="V115" s="115"/>
      <x:c r="W115" s="115"/>
      <x:c r="X115" s="115"/>
      <x:c r="Y115" s="115"/>
      <x:c r="Z115" s="115"/>
    </x:row>
    <x:row r="116" ht="15" hidden="0" customHeight="1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  <x:c r="S116" s="115"/>
      <x:c r="T116" s="115"/>
      <x:c r="U116" s="115"/>
      <x:c r="V116" s="115"/>
      <x:c r="W116" s="115"/>
      <x:c r="X116" s="115"/>
      <x:c r="Y116" s="115"/>
      <x:c r="Z116" s="115"/>
    </x:row>
    <x:row r="117" ht="15" hidden="0" customHeight="1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  <x:c r="S117" s="115"/>
      <x:c r="T117" s="115"/>
      <x:c r="U117" s="115"/>
      <x:c r="V117" s="115"/>
      <x:c r="W117" s="115"/>
      <x:c r="X117" s="115"/>
      <x:c r="Y117" s="115"/>
      <x:c r="Z117" s="115"/>
    </x:row>
    <x:row r="118" ht="15" hidden="0" customHeight="1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  <x:c r="S118" s="115"/>
      <x:c r="T118" s="115"/>
      <x:c r="U118" s="115"/>
      <x:c r="V118" s="115"/>
      <x:c r="W118" s="115"/>
      <x:c r="X118" s="115"/>
      <x:c r="Y118" s="115"/>
      <x:c r="Z118" s="115"/>
    </x:row>
    <x:row r="119" ht="15" hidden="0" customHeight="1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  <x:c r="S119" s="115"/>
      <x:c r="T119" s="115"/>
      <x:c r="U119" s="115"/>
      <x:c r="V119" s="115"/>
      <x:c r="W119" s="115"/>
      <x:c r="X119" s="115"/>
      <x:c r="Y119" s="115"/>
      <x:c r="Z119" s="115"/>
    </x:row>
    <x:row r="120" ht="15" hidden="0" customHeight="1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  <x:c r="S120" s="115"/>
      <x:c r="T120" s="115"/>
      <x:c r="U120" s="115"/>
      <x:c r="V120" s="115"/>
      <x:c r="W120" s="115"/>
      <x:c r="X120" s="115"/>
      <x:c r="Y120" s="115"/>
      <x:c r="Z120" s="115"/>
    </x:row>
    <x:row r="121" ht="15" hidden="0" customHeight="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  <x:c r="S121" s="115"/>
      <x:c r="T121" s="115"/>
      <x:c r="U121" s="115"/>
      <x:c r="V121" s="115"/>
      <x:c r="W121" s="115"/>
      <x:c r="X121" s="115"/>
      <x:c r="Y121" s="115"/>
      <x:c r="Z121" s="115"/>
    </x:row>
    <x:row r="122" ht="15" hidden="0" customHeight="1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  <x:c r="S122" s="115"/>
      <x:c r="T122" s="115"/>
      <x:c r="U122" s="115"/>
      <x:c r="V122" s="115"/>
      <x:c r="W122" s="115"/>
      <x:c r="X122" s="115"/>
      <x:c r="Y122" s="115"/>
      <x:c r="Z122" s="115"/>
    </x:row>
    <x:row r="123" ht="15" hidden="0" customHeight="1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  <x:c r="S123" s="115"/>
      <x:c r="T123" s="115"/>
      <x:c r="U123" s="115"/>
      <x:c r="V123" s="115"/>
      <x:c r="W123" s="115"/>
      <x:c r="X123" s="115"/>
      <x:c r="Y123" s="115"/>
      <x:c r="Z123" s="115"/>
    </x:row>
    <x:row r="124" ht="15" hidden="0" customHeight="1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  <x:c r="S124" s="115"/>
      <x:c r="T124" s="115"/>
      <x:c r="U124" s="115"/>
      <x:c r="V124" s="115"/>
      <x:c r="W124" s="115"/>
      <x:c r="X124" s="115"/>
      <x:c r="Y124" s="115"/>
      <x:c r="Z124" s="115"/>
    </x:row>
    <x:row r="125" ht="15" hidden="0" customHeight="1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  <x:c r="S125" s="115"/>
      <x:c r="T125" s="115"/>
      <x:c r="U125" s="115"/>
      <x:c r="V125" s="115"/>
      <x:c r="W125" s="115"/>
      <x:c r="X125" s="115"/>
      <x:c r="Y125" s="115"/>
      <x:c r="Z125" s="115"/>
    </x:row>
    <x:row r="126" ht="15" hidden="0" customHeight="1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  <x:c r="S126" s="115"/>
      <x:c r="T126" s="115"/>
      <x:c r="U126" s="115"/>
      <x:c r="V126" s="115"/>
      <x:c r="W126" s="115"/>
      <x:c r="X126" s="115"/>
      <x:c r="Y126" s="115"/>
      <x:c r="Z126" s="115"/>
    </x:row>
    <x:row r="127" ht="15" hidden="0" customHeight="1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  <x:c r="S127" s="115"/>
      <x:c r="T127" s="115"/>
      <x:c r="U127" s="115"/>
      <x:c r="V127" s="115"/>
      <x:c r="W127" s="115"/>
      <x:c r="X127" s="115"/>
      <x:c r="Y127" s="115"/>
      <x:c r="Z127" s="115"/>
    </x:row>
    <x:row r="128" ht="15" hidden="0" customHeight="1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  <x:c r="S128" s="115"/>
      <x:c r="T128" s="115"/>
      <x:c r="U128" s="115"/>
      <x:c r="V128" s="115"/>
      <x:c r="W128" s="115"/>
      <x:c r="X128" s="115"/>
      <x:c r="Y128" s="115"/>
      <x:c r="Z128" s="115"/>
    </x:row>
    <x:row r="129" ht="15" hidden="0" customHeight="1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  <x:c r="S129" s="115"/>
      <x:c r="T129" s="115"/>
      <x:c r="U129" s="115"/>
      <x:c r="V129" s="115"/>
      <x:c r="W129" s="115"/>
      <x:c r="X129" s="115"/>
      <x:c r="Y129" s="115"/>
      <x:c r="Z129" s="115"/>
    </x:row>
    <x:row r="130" ht="15" hidden="0" customHeight="1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  <x:c r="S130" s="115"/>
      <x:c r="T130" s="115"/>
      <x:c r="U130" s="115"/>
      <x:c r="V130" s="115"/>
      <x:c r="W130" s="115"/>
      <x:c r="X130" s="115"/>
      <x:c r="Y130" s="115"/>
      <x:c r="Z130" s="115"/>
    </x:row>
    <x:row r="131" ht="15" hidden="0" customHeight="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  <x:c r="S131" s="115"/>
      <x:c r="T131" s="115"/>
      <x:c r="U131" s="115"/>
      <x:c r="V131" s="115"/>
      <x:c r="W131" s="115"/>
      <x:c r="X131" s="115"/>
      <x:c r="Y131" s="115"/>
      <x:c r="Z131" s="115"/>
    </x:row>
    <x:row r="132" ht="15" hidden="0" customHeight="1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  <x:c r="S132" s="115"/>
      <x:c r="T132" s="115"/>
      <x:c r="U132" s="115"/>
      <x:c r="V132" s="115"/>
      <x:c r="W132" s="115"/>
      <x:c r="X132" s="115"/>
      <x:c r="Y132" s="115"/>
      <x:c r="Z132" s="115"/>
    </x:row>
    <x:row r="133" ht="15" hidden="0" customHeight="1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  <x:c r="S133" s="115"/>
      <x:c r="T133" s="115"/>
      <x:c r="U133" s="115"/>
      <x:c r="V133" s="115"/>
      <x:c r="W133" s="115"/>
      <x:c r="X133" s="115"/>
      <x:c r="Y133" s="115"/>
      <x:c r="Z133" s="115"/>
    </x:row>
    <x:row r="134" ht="15" hidden="0" customHeight="1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  <x:c r="S134" s="115"/>
      <x:c r="T134" s="115"/>
      <x:c r="U134" s="115"/>
      <x:c r="V134" s="115"/>
      <x:c r="W134" s="115"/>
      <x:c r="X134" s="115"/>
      <x:c r="Y134" s="115"/>
      <x:c r="Z134" s="115"/>
    </x:row>
    <x:row r="135" ht="15" hidden="0" customHeight="1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  <x:c r="S135" s="115"/>
      <x:c r="T135" s="115"/>
      <x:c r="U135" s="115"/>
      <x:c r="V135" s="115"/>
      <x:c r="W135" s="115"/>
      <x:c r="X135" s="115"/>
      <x:c r="Y135" s="115"/>
      <x:c r="Z135" s="115"/>
    </x:row>
    <x:row r="136" ht="15" hidden="0" customHeight="1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  <x:c r="S136" s="115"/>
      <x:c r="T136" s="115"/>
      <x:c r="U136" s="115"/>
      <x:c r="V136" s="115"/>
      <x:c r="W136" s="115"/>
      <x:c r="X136" s="115"/>
      <x:c r="Y136" s="115"/>
      <x:c r="Z136" s="115"/>
    </x:row>
    <x:row r="137" ht="15" hidden="0" customHeight="1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  <x:c r="S137" s="115"/>
      <x:c r="T137" s="115"/>
      <x:c r="U137" s="115"/>
      <x:c r="V137" s="115"/>
      <x:c r="W137" s="115"/>
      <x:c r="X137" s="115"/>
      <x:c r="Y137" s="115"/>
      <x:c r="Z137" s="115"/>
    </x:row>
    <x:row r="138" ht="15" hidden="0" customHeight="1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5"/>
      <x:c r="T138" s="115"/>
      <x:c r="U138" s="115"/>
      <x:c r="V138" s="115"/>
      <x:c r="W138" s="115"/>
      <x:c r="X138" s="115"/>
      <x:c r="Y138" s="115"/>
      <x:c r="Z138" s="115"/>
    </x:row>
    <x:row r="139" ht="15" hidden="0" customHeight="1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  <x:c r="S139" s="115"/>
      <x:c r="T139" s="115"/>
      <x:c r="U139" s="115"/>
      <x:c r="V139" s="115"/>
      <x:c r="W139" s="115"/>
      <x:c r="X139" s="115"/>
      <x:c r="Y139" s="115"/>
      <x:c r="Z139" s="115"/>
    </x:row>
    <x:row r="140" ht="15" hidden="0" customHeight="1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  <x:c r="S140" s="115"/>
      <x:c r="T140" s="115"/>
      <x:c r="U140" s="115"/>
      <x:c r="V140" s="115"/>
      <x:c r="W140" s="115"/>
      <x:c r="X140" s="115"/>
      <x:c r="Y140" s="115"/>
      <x:c r="Z140" s="115"/>
    </x:row>
    <x:row r="141" ht="15" hidden="0" customHeight="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  <x:c r="S141" s="115"/>
      <x:c r="T141" s="115"/>
      <x:c r="U141" s="115"/>
      <x:c r="V141" s="115"/>
      <x:c r="W141" s="115"/>
      <x:c r="X141" s="115"/>
      <x:c r="Y141" s="115"/>
      <x:c r="Z141" s="115"/>
    </x:row>
    <x:row r="142" ht="15" hidden="0" customHeight="1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  <x:c r="S142" s="115"/>
      <x:c r="T142" s="115"/>
      <x:c r="U142" s="115"/>
      <x:c r="V142" s="115"/>
      <x:c r="W142" s="115"/>
      <x:c r="X142" s="115"/>
      <x:c r="Y142" s="115"/>
      <x:c r="Z142" s="115"/>
    </x:row>
    <x:row r="143" ht="15" hidden="0" customHeight="1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  <x:c r="S143" s="115"/>
      <x:c r="T143" s="115"/>
      <x:c r="U143" s="115"/>
      <x:c r="V143" s="115"/>
      <x:c r="W143" s="115"/>
      <x:c r="X143" s="115"/>
      <x:c r="Y143" s="115"/>
      <x:c r="Z143" s="115"/>
    </x:row>
    <x:row r="144" ht="15" hidden="0" customHeight="1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  <x:c r="S144" s="115"/>
      <x:c r="T144" s="115"/>
      <x:c r="U144" s="115"/>
      <x:c r="V144" s="115"/>
      <x:c r="W144" s="115"/>
      <x:c r="X144" s="115"/>
      <x:c r="Y144" s="115"/>
      <x:c r="Z144" s="115"/>
    </x:row>
    <x:row r="145" ht="15" hidden="0" customHeight="1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  <x:c r="S145" s="115"/>
      <x:c r="T145" s="115"/>
      <x:c r="U145" s="115"/>
      <x:c r="V145" s="115"/>
      <x:c r="W145" s="115"/>
      <x:c r="X145" s="115"/>
      <x:c r="Y145" s="115"/>
      <x:c r="Z145" s="115"/>
    </x:row>
    <x:row r="146" ht="15" hidden="0" customHeight="1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  <x:c r="S146" s="115"/>
      <x:c r="T146" s="115"/>
      <x:c r="U146" s="115"/>
      <x:c r="V146" s="115"/>
      <x:c r="W146" s="115"/>
      <x:c r="X146" s="115"/>
      <x:c r="Y146" s="115"/>
      <x:c r="Z146" s="115"/>
    </x:row>
    <x:row r="147" ht="15" hidden="0" customHeight="1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  <x:c r="S147" s="115"/>
      <x:c r="T147" s="115"/>
      <x:c r="U147" s="115"/>
      <x:c r="V147" s="115"/>
      <x:c r="W147" s="115"/>
      <x:c r="X147" s="115"/>
      <x:c r="Y147" s="115"/>
      <x:c r="Z147" s="115"/>
    </x:row>
    <x:row r="148" ht="15" hidden="0" customHeight="1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  <x:c r="S148" s="115"/>
      <x:c r="T148" s="115"/>
      <x:c r="U148" s="115"/>
      <x:c r="V148" s="115"/>
      <x:c r="W148" s="115"/>
      <x:c r="X148" s="115"/>
      <x:c r="Y148" s="115"/>
      <x:c r="Z148" s="115"/>
    </x:row>
    <x:row r="149" ht="15" hidden="0" customHeight="1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  <x:c r="S149" s="115"/>
      <x:c r="T149" s="115"/>
      <x:c r="U149" s="115"/>
      <x:c r="V149" s="115"/>
      <x:c r="W149" s="115"/>
      <x:c r="X149" s="115"/>
      <x:c r="Y149" s="115"/>
      <x:c r="Z149" s="115"/>
    </x:row>
    <x:row r="150" ht="15" hidden="0" customHeight="1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  <x:c r="S150" s="115"/>
      <x:c r="T150" s="115"/>
      <x:c r="U150" s="115"/>
      <x:c r="V150" s="115"/>
      <x:c r="W150" s="115"/>
      <x:c r="X150" s="115"/>
      <x:c r="Y150" s="115"/>
      <x:c r="Z150" s="115"/>
    </x:row>
    <x:row r="151" ht="15" hidden="0" customHeight="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  <x:c r="S151" s="115"/>
      <x:c r="T151" s="115"/>
      <x:c r="U151" s="115"/>
      <x:c r="V151" s="115"/>
      <x:c r="W151" s="115"/>
      <x:c r="X151" s="115"/>
      <x:c r="Y151" s="115"/>
      <x:c r="Z151" s="115"/>
    </x:row>
    <x:row r="152" ht="15" hidden="0" customHeight="1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  <x:c r="S152" s="115"/>
      <x:c r="T152" s="115"/>
      <x:c r="U152" s="115"/>
      <x:c r="V152" s="115"/>
      <x:c r="W152" s="115"/>
      <x:c r="X152" s="115"/>
      <x:c r="Y152" s="115"/>
      <x:c r="Z152" s="115"/>
    </x:row>
    <x:row r="153" ht="15" hidden="0" customHeight="1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  <x:c r="S153" s="115"/>
      <x:c r="T153" s="115"/>
      <x:c r="U153" s="115"/>
      <x:c r="V153" s="115"/>
      <x:c r="W153" s="115"/>
      <x:c r="X153" s="115"/>
      <x:c r="Y153" s="115"/>
      <x:c r="Z153" s="115"/>
    </x:row>
    <x:row r="154" ht="15" hidden="0" customHeight="1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  <x:c r="S154" s="115"/>
      <x:c r="T154" s="115"/>
      <x:c r="U154" s="115"/>
      <x:c r="V154" s="115"/>
      <x:c r="W154" s="115"/>
      <x:c r="X154" s="115"/>
      <x:c r="Y154" s="115"/>
      <x:c r="Z154" s="115"/>
    </x:row>
    <x:row r="155" ht="15" hidden="0" customHeight="1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  <x:c r="S155" s="115"/>
      <x:c r="T155" s="115"/>
      <x:c r="U155" s="115"/>
      <x:c r="V155" s="115"/>
      <x:c r="W155" s="115"/>
      <x:c r="X155" s="115"/>
      <x:c r="Y155" s="115"/>
      <x:c r="Z155" s="115"/>
    </x:row>
    <x:row r="156" ht="15" hidden="0" customHeight="1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  <x:c r="S156" s="115"/>
      <x:c r="T156" s="115"/>
      <x:c r="U156" s="115"/>
      <x:c r="V156" s="115"/>
      <x:c r="W156" s="115"/>
      <x:c r="X156" s="115"/>
      <x:c r="Y156" s="115"/>
      <x:c r="Z156" s="115"/>
    </x:row>
    <x:row r="157" ht="15" hidden="0" customHeight="1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  <x:c r="S157" s="115"/>
      <x:c r="T157" s="115"/>
      <x:c r="U157" s="115"/>
      <x:c r="V157" s="115"/>
      <x:c r="W157" s="115"/>
      <x:c r="X157" s="115"/>
      <x:c r="Y157" s="115"/>
      <x:c r="Z157" s="115"/>
    </x:row>
    <x:row r="158" ht="15" hidden="0" customHeight="1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  <x:c r="S158" s="115"/>
      <x:c r="T158" s="115"/>
      <x:c r="U158" s="115"/>
      <x:c r="V158" s="115"/>
      <x:c r="W158" s="115"/>
      <x:c r="X158" s="115"/>
      <x:c r="Y158" s="115"/>
      <x:c r="Z158" s="115"/>
    </x:row>
    <x:row r="159" ht="15" hidden="0" customHeight="1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  <x:c r="S159" s="115"/>
      <x:c r="T159" s="115"/>
      <x:c r="U159" s="115"/>
      <x:c r="V159" s="115"/>
      <x:c r="W159" s="115"/>
      <x:c r="X159" s="115"/>
      <x:c r="Y159" s="115"/>
      <x:c r="Z159" s="115"/>
    </x:row>
    <x:row r="160" ht="15" hidden="0" customHeight="1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  <x:c r="S160" s="115"/>
      <x:c r="T160" s="115"/>
      <x:c r="U160" s="115"/>
      <x:c r="V160" s="115"/>
      <x:c r="W160" s="115"/>
      <x:c r="X160" s="115"/>
      <x:c r="Y160" s="115"/>
      <x:c r="Z160" s="115"/>
    </x:row>
    <x:row r="161" ht="15" hidden="0" customHeight="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  <x:c r="S161" s="115"/>
      <x:c r="T161" s="115"/>
      <x:c r="U161" s="115"/>
      <x:c r="V161" s="115"/>
      <x:c r="W161" s="115"/>
      <x:c r="X161" s="115"/>
      <x:c r="Y161" s="115"/>
      <x:c r="Z161" s="115"/>
    </x:row>
    <x:row r="162" ht="15" hidden="0" customHeight="1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  <x:c r="S162" s="115"/>
      <x:c r="T162" s="115"/>
      <x:c r="U162" s="115"/>
      <x:c r="V162" s="115"/>
      <x:c r="W162" s="115"/>
      <x:c r="X162" s="115"/>
      <x:c r="Y162" s="115"/>
      <x:c r="Z162" s="115"/>
    </x:row>
    <x:row r="163" ht="15" hidden="0" customHeight="1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  <x:c r="S163" s="115"/>
      <x:c r="T163" s="115"/>
      <x:c r="U163" s="115"/>
      <x:c r="V163" s="115"/>
      <x:c r="W163" s="115"/>
      <x:c r="X163" s="115"/>
      <x:c r="Y163" s="115"/>
      <x:c r="Z163" s="115"/>
    </x:row>
    <x:row r="164" ht="15" hidden="0" customHeight="1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  <x:c r="S164" s="115"/>
      <x:c r="T164" s="115"/>
      <x:c r="U164" s="115"/>
      <x:c r="V164" s="115"/>
      <x:c r="W164" s="115"/>
      <x:c r="X164" s="115"/>
      <x:c r="Y164" s="115"/>
      <x:c r="Z164" s="115"/>
    </x:row>
    <x:row r="165" ht="15" hidden="0" customHeight="1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  <x:c r="S165" s="115"/>
      <x:c r="T165" s="115"/>
      <x:c r="U165" s="115"/>
      <x:c r="V165" s="115"/>
      <x:c r="W165" s="115"/>
      <x:c r="X165" s="115"/>
      <x:c r="Y165" s="115"/>
      <x:c r="Z165" s="115"/>
    </x:row>
    <x:row r="166" ht="15" hidden="0" customHeight="1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  <x:c r="S166" s="115"/>
      <x:c r="T166" s="115"/>
      <x:c r="U166" s="115"/>
      <x:c r="V166" s="115"/>
      <x:c r="W166" s="115"/>
      <x:c r="X166" s="115"/>
      <x:c r="Y166" s="115"/>
      <x:c r="Z166" s="115"/>
    </x:row>
    <x:row r="167" ht="15" hidden="0" customHeight="1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  <x:c r="S167" s="115"/>
      <x:c r="T167" s="115"/>
      <x:c r="U167" s="115"/>
      <x:c r="V167" s="115"/>
      <x:c r="W167" s="115"/>
      <x:c r="X167" s="115"/>
      <x:c r="Y167" s="115"/>
      <x:c r="Z167" s="115"/>
    </x:row>
    <x:row r="168" ht="15" hidden="0" customHeight="1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  <x:c r="S168" s="115"/>
      <x:c r="T168" s="115"/>
      <x:c r="U168" s="115"/>
      <x:c r="V168" s="115"/>
      <x:c r="W168" s="115"/>
      <x:c r="X168" s="115"/>
      <x:c r="Y168" s="115"/>
      <x:c r="Z168" s="115"/>
    </x:row>
    <x:row r="169" ht="15" hidden="0" customHeight="1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  <x:c r="S169" s="115"/>
      <x:c r="T169" s="115"/>
      <x:c r="U169" s="115"/>
      <x:c r="V169" s="115"/>
      <x:c r="W169" s="115"/>
      <x:c r="X169" s="115"/>
      <x:c r="Y169" s="115"/>
      <x:c r="Z169" s="115"/>
    </x:row>
    <x:row r="170" ht="15" hidden="0" customHeight="1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  <x:c r="S170" s="115"/>
      <x:c r="T170" s="115"/>
      <x:c r="U170" s="115"/>
      <x:c r="V170" s="115"/>
      <x:c r="W170" s="115"/>
      <x:c r="X170" s="115"/>
      <x:c r="Y170" s="115"/>
      <x:c r="Z170" s="115"/>
    </x:row>
    <x:row r="171" ht="15" hidden="0" customHeight="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  <x:c r="S171" s="115"/>
      <x:c r="T171" s="115"/>
      <x:c r="U171" s="115"/>
      <x:c r="V171" s="115"/>
      <x:c r="W171" s="115"/>
      <x:c r="X171" s="115"/>
      <x:c r="Y171" s="115"/>
      <x:c r="Z171" s="115"/>
    </x:row>
    <x:row r="172" ht="15" hidden="0" customHeight="1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  <x:c r="S172" s="115"/>
      <x:c r="T172" s="115"/>
      <x:c r="U172" s="115"/>
      <x:c r="V172" s="115"/>
      <x:c r="W172" s="115"/>
      <x:c r="X172" s="115"/>
      <x:c r="Y172" s="115"/>
      <x:c r="Z172" s="115"/>
    </x:row>
    <x:row r="173" ht="15" hidden="0" customHeight="1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  <x:c r="S173" s="115"/>
      <x:c r="T173" s="115"/>
      <x:c r="U173" s="115"/>
      <x:c r="V173" s="115"/>
      <x:c r="W173" s="115"/>
      <x:c r="X173" s="115"/>
      <x:c r="Y173" s="115"/>
      <x:c r="Z173" s="115"/>
    </x:row>
    <x:row r="174" ht="15" hidden="0" customHeight="1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  <x:c r="S174" s="115"/>
      <x:c r="T174" s="115"/>
      <x:c r="U174" s="115"/>
      <x:c r="V174" s="115"/>
      <x:c r="W174" s="115"/>
      <x:c r="X174" s="115"/>
      <x:c r="Y174" s="115"/>
      <x:c r="Z174" s="115"/>
    </x:row>
    <x:row r="175" ht="15" hidden="0" customHeight="1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  <x:c r="S175" s="115"/>
      <x:c r="T175" s="115"/>
      <x:c r="U175" s="115"/>
      <x:c r="V175" s="115"/>
      <x:c r="W175" s="115"/>
      <x:c r="X175" s="115"/>
      <x:c r="Y175" s="115"/>
      <x:c r="Z175" s="115"/>
    </x:row>
    <x:row r="176" ht="15" hidden="0" customHeight="1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  <x:c r="S176" s="115"/>
      <x:c r="T176" s="115"/>
      <x:c r="U176" s="115"/>
      <x:c r="V176" s="115"/>
      <x:c r="W176" s="115"/>
      <x:c r="X176" s="115"/>
      <x:c r="Y176" s="115"/>
      <x:c r="Z176" s="115"/>
    </x:row>
    <x:row r="177" ht="15" hidden="0" customHeight="1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  <x:c r="S177" s="115"/>
      <x:c r="T177" s="115"/>
      <x:c r="U177" s="115"/>
      <x:c r="V177" s="115"/>
      <x:c r="W177" s="115"/>
      <x:c r="X177" s="115"/>
      <x:c r="Y177" s="115"/>
      <x:c r="Z177" s="115"/>
    </x:row>
    <x:row r="178" ht="15" hidden="0" customHeight="1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  <x:c r="S178" s="115"/>
      <x:c r="T178" s="115"/>
      <x:c r="U178" s="115"/>
      <x:c r="V178" s="115"/>
      <x:c r="W178" s="115"/>
      <x:c r="X178" s="115"/>
      <x:c r="Y178" s="115"/>
      <x:c r="Z178" s="115"/>
    </x:row>
    <x:row r="179" ht="15" hidden="0" customHeight="1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  <x:c r="S179" s="115"/>
      <x:c r="T179" s="115"/>
      <x:c r="U179" s="115"/>
      <x:c r="V179" s="115"/>
      <x:c r="W179" s="115"/>
      <x:c r="X179" s="115"/>
      <x:c r="Y179" s="115"/>
      <x:c r="Z179" s="115"/>
    </x:row>
    <x:row r="180" ht="15" hidden="0" customHeight="1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  <x:c r="S180" s="115"/>
      <x:c r="T180" s="115"/>
      <x:c r="U180" s="115"/>
      <x:c r="V180" s="115"/>
      <x:c r="W180" s="115"/>
      <x:c r="X180" s="115"/>
      <x:c r="Y180" s="115"/>
      <x:c r="Z180" s="115"/>
    </x:row>
    <x:row r="181" ht="15" hidden="0" customHeight="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  <x:c r="S181" s="115"/>
      <x:c r="T181" s="115"/>
      <x:c r="U181" s="115"/>
      <x:c r="V181" s="115"/>
      <x:c r="W181" s="115"/>
      <x:c r="X181" s="115"/>
      <x:c r="Y181" s="115"/>
      <x:c r="Z181" s="115"/>
    </x:row>
    <x:row r="182" ht="15" hidden="0" customHeight="1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  <x:c r="S182" s="115"/>
      <x:c r="T182" s="115"/>
      <x:c r="U182" s="115"/>
      <x:c r="V182" s="115"/>
      <x:c r="W182" s="115"/>
      <x:c r="X182" s="115"/>
      <x:c r="Y182" s="115"/>
      <x:c r="Z182" s="115"/>
    </x:row>
    <x:row r="183" ht="15" hidden="0" customHeight="1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5"/>
      <x:c r="U183" s="115"/>
      <x:c r="V183" s="115"/>
      <x:c r="W183" s="115"/>
      <x:c r="X183" s="115"/>
      <x:c r="Y183" s="115"/>
      <x:c r="Z183" s="115"/>
    </x:row>
    <x:row r="184" ht="15" hidden="0" customHeight="1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  <x:c r="S184" s="115"/>
      <x:c r="T184" s="115"/>
      <x:c r="U184" s="115"/>
      <x:c r="V184" s="115"/>
      <x:c r="W184" s="115"/>
      <x:c r="X184" s="115"/>
      <x:c r="Y184" s="115"/>
      <x:c r="Z184" s="115"/>
    </x:row>
    <x:row r="185" ht="15" hidden="0" customHeight="1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  <x:c r="S185" s="115"/>
      <x:c r="T185" s="115"/>
      <x:c r="U185" s="115"/>
      <x:c r="V185" s="115"/>
      <x:c r="W185" s="115"/>
      <x:c r="X185" s="115"/>
      <x:c r="Y185" s="115"/>
      <x:c r="Z185" s="115"/>
    </x:row>
    <x:row r="186" ht="15" hidden="0" customHeight="1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  <x:c r="S186" s="115"/>
      <x:c r="T186" s="115"/>
      <x:c r="U186" s="115"/>
      <x:c r="V186" s="115"/>
      <x:c r="W186" s="115"/>
      <x:c r="X186" s="115"/>
      <x:c r="Y186" s="115"/>
      <x:c r="Z186" s="115"/>
    </x:row>
    <x:row r="187" ht="15" hidden="0" customHeight="1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  <x:c r="S187" s="115"/>
      <x:c r="T187" s="115"/>
      <x:c r="U187" s="115"/>
      <x:c r="V187" s="115"/>
      <x:c r="W187" s="115"/>
      <x:c r="X187" s="115"/>
      <x:c r="Y187" s="115"/>
      <x:c r="Z187" s="115"/>
    </x:row>
    <x:row r="188" ht="15" hidden="0" customHeight="1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  <x:c r="S188" s="115"/>
      <x:c r="T188" s="115"/>
      <x:c r="U188" s="115"/>
      <x:c r="V188" s="115"/>
      <x:c r="W188" s="115"/>
      <x:c r="X188" s="115"/>
      <x:c r="Y188" s="115"/>
      <x:c r="Z188" s="115"/>
    </x:row>
    <x:row r="189" ht="15" hidden="0" customHeight="1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  <x:c r="S189" s="115"/>
      <x:c r="T189" s="115"/>
      <x:c r="U189" s="115"/>
      <x:c r="V189" s="115"/>
      <x:c r="W189" s="115"/>
      <x:c r="X189" s="115"/>
      <x:c r="Y189" s="115"/>
      <x:c r="Z189" s="115"/>
    </x:row>
    <x:row r="190" ht="15" hidden="0" customHeight="1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  <x:c r="S190" s="115"/>
      <x:c r="T190" s="115"/>
      <x:c r="U190" s="115"/>
      <x:c r="V190" s="115"/>
      <x:c r="W190" s="115"/>
      <x:c r="X190" s="115"/>
      <x:c r="Y190" s="115"/>
      <x:c r="Z190" s="115"/>
    </x:row>
    <x:row r="191" ht="15" hidden="0" customHeight="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  <x:c r="S191" s="115"/>
      <x:c r="T191" s="115"/>
      <x:c r="U191" s="115"/>
      <x:c r="V191" s="115"/>
      <x:c r="W191" s="115"/>
      <x:c r="X191" s="115"/>
      <x:c r="Y191" s="115"/>
      <x:c r="Z191" s="115"/>
    </x:row>
    <x:row r="192" ht="15" hidden="0" customHeight="1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  <x:c r="S192" s="115"/>
      <x:c r="T192" s="115"/>
      <x:c r="U192" s="115"/>
      <x:c r="V192" s="115"/>
      <x:c r="W192" s="115"/>
      <x:c r="X192" s="115"/>
      <x:c r="Y192" s="115"/>
      <x:c r="Z192" s="115"/>
    </x:row>
    <x:row r="193" ht="15" hidden="0" customHeight="1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  <x:c r="S193" s="115"/>
      <x:c r="T193" s="115"/>
      <x:c r="U193" s="115"/>
      <x:c r="V193" s="115"/>
      <x:c r="W193" s="115"/>
      <x:c r="X193" s="115"/>
      <x:c r="Y193" s="115"/>
      <x:c r="Z193" s="115"/>
    </x:row>
    <x:row r="194" ht="15" hidden="0" customHeight="1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  <x:c r="S194" s="115"/>
      <x:c r="T194" s="115"/>
      <x:c r="U194" s="115"/>
      <x:c r="V194" s="115"/>
      <x:c r="W194" s="115"/>
      <x:c r="X194" s="115"/>
      <x:c r="Y194" s="115"/>
      <x:c r="Z194" s="115"/>
    </x:row>
    <x:row r="195" ht="15" hidden="0" customHeight="1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  <x:c r="S195" s="115"/>
      <x:c r="T195" s="115"/>
      <x:c r="U195" s="115"/>
      <x:c r="V195" s="115"/>
      <x:c r="W195" s="115"/>
      <x:c r="X195" s="115"/>
      <x:c r="Y195" s="115"/>
      <x:c r="Z195" s="115"/>
    </x:row>
    <x:row r="196" ht="15" hidden="0" customHeight="1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  <x:c r="S196" s="115"/>
      <x:c r="T196" s="115"/>
      <x:c r="U196" s="115"/>
      <x:c r="V196" s="115"/>
      <x:c r="W196" s="115"/>
      <x:c r="X196" s="115"/>
      <x:c r="Y196" s="115"/>
      <x:c r="Z196" s="115"/>
    </x:row>
    <x:row r="197" ht="15" hidden="0" customHeight="1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  <x:c r="S197" s="115"/>
      <x:c r="T197" s="115"/>
      <x:c r="U197" s="115"/>
      <x:c r="V197" s="115"/>
      <x:c r="W197" s="115"/>
      <x:c r="X197" s="115"/>
      <x:c r="Y197" s="115"/>
      <x:c r="Z197" s="115"/>
    </x:row>
    <x:row r="198" ht="15" hidden="0" customHeight="1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  <x:c r="S198" s="115"/>
      <x:c r="T198" s="115"/>
      <x:c r="U198" s="115"/>
      <x:c r="V198" s="115"/>
      <x:c r="W198" s="115"/>
      <x:c r="X198" s="115"/>
      <x:c r="Y198" s="115"/>
      <x:c r="Z198" s="115"/>
    </x:row>
    <x:row r="199" ht="15" hidden="0" customHeight="1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  <x:c r="S199" s="115"/>
      <x:c r="T199" s="115"/>
      <x:c r="U199" s="115"/>
      <x:c r="V199" s="115"/>
      <x:c r="W199" s="115"/>
      <x:c r="X199" s="115"/>
      <x:c r="Y199" s="115"/>
      <x:c r="Z199" s="115"/>
    </x:row>
    <x:row r="200" ht="15" hidden="0" customHeight="1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  <x:c r="S200" s="115"/>
      <x:c r="T200" s="115"/>
      <x:c r="U200" s="115"/>
      <x:c r="V200" s="115"/>
      <x:c r="W200" s="115"/>
      <x:c r="X200" s="115"/>
      <x:c r="Y200" s="115"/>
      <x:c r="Z200" s="115"/>
    </x:row>
  </x:sheetData>
  <x:mergeCells>
    <x:mergeCell ref="A1:F1"/>
  </x:mergeCells>
  <x:pageMargins left="0.7" right="0.7" top="0.75" bottom="0.75" header="0.3" footer="0.3"/>
</x:worksheet>
</file>